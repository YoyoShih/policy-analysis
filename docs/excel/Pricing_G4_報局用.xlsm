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ih\ActuaViz\docs\excel\"/>
    </mc:Choice>
  </mc:AlternateContent>
  <xr:revisionPtr revIDLastSave="0" documentId="13_ncr:1_{EA5D836C-0CF8-4075-8D62-D9199E1B0F01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et" sheetId="4" r:id="rId1"/>
    <sheet name="Code" sheetId="5" r:id="rId2"/>
    <sheet name="Life" sheetId="7" r:id="rId3"/>
    <sheet name="Pricing" sheetId="8" r:id="rId4"/>
    <sheet name="Reserve" sheetId="9" r:id="rId5"/>
    <sheet name="Change" sheetId="10" r:id="rId6"/>
    <sheet name="AssetShare_Table" sheetId="11" r:id="rId7"/>
    <sheet name="AssetShare_Cal" sheetId="12" r:id="rId8"/>
    <sheet name="GP" sheetId="13" r:id="rId9"/>
    <sheet name="EL" sheetId="14" r:id="rId10"/>
    <sheet name="IRR" sheetId="15" r:id="rId11"/>
    <sheet name="DU" sheetId="16" r:id="rId12"/>
    <sheet name="PM" sheetId="18" r:id="rId13"/>
    <sheet name="FC" sheetId="19" r:id="rId1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5" i="11" l="1"/>
  <c r="V3" i="11"/>
  <c r="V4" i="11"/>
  <c r="V5" i="11"/>
  <c r="V6" i="11"/>
  <c r="V7" i="11"/>
  <c r="V2" i="11"/>
  <c r="V1" i="11" s="1"/>
  <c r="U3" i="11"/>
  <c r="U8" i="11"/>
  <c r="U7" i="11"/>
  <c r="U6" i="11"/>
  <c r="U5" i="11"/>
  <c r="U4" i="11"/>
  <c r="Q11" i="11" l="1"/>
  <c r="Q4" i="11"/>
  <c r="Q5" i="11"/>
  <c r="Q6" i="11"/>
  <c r="Q7" i="11"/>
  <c r="Q8" i="11"/>
  <c r="Q9" i="11"/>
  <c r="Q10" i="11"/>
  <c r="Q3" i="11"/>
  <c r="D12" i="12"/>
  <c r="D11" i="12"/>
  <c r="B8" i="11"/>
  <c r="D6" i="12" l="1"/>
  <c r="D7" i="12"/>
  <c r="D8" i="12"/>
  <c r="D9" i="12"/>
  <c r="B10" i="11"/>
  <c r="N69" i="11"/>
  <c r="J72" i="11"/>
  <c r="J73" i="11"/>
  <c r="J74" i="11"/>
  <c r="J75" i="11"/>
  <c r="J76" i="11"/>
  <c r="J77" i="11"/>
  <c r="J78" i="11"/>
  <c r="J79" i="11"/>
  <c r="J80" i="11"/>
  <c r="B81" i="11"/>
  <c r="D81" i="11"/>
  <c r="F81" i="11"/>
  <c r="H81" i="11"/>
  <c r="AC4" i="12"/>
  <c r="J92" i="11"/>
  <c r="U92" i="11"/>
  <c r="AF92" i="11"/>
  <c r="AQ92" i="11"/>
  <c r="BB92" i="11"/>
  <c r="BM92" i="11"/>
  <c r="J93" i="11"/>
  <c r="U93" i="11"/>
  <c r="AF93" i="11"/>
  <c r="AQ93" i="11"/>
  <c r="BB93" i="11"/>
  <c r="BM93" i="11"/>
  <c r="J94" i="11"/>
  <c r="U94" i="11"/>
  <c r="AF94" i="11"/>
  <c r="AQ94" i="11"/>
  <c r="BB94" i="11"/>
  <c r="BM94" i="11"/>
  <c r="J95" i="11"/>
  <c r="U95" i="11"/>
  <c r="AF95" i="11"/>
  <c r="AQ95" i="11"/>
  <c r="BB95" i="11"/>
  <c r="BM95" i="11"/>
  <c r="J96" i="11"/>
  <c r="U96" i="11"/>
  <c r="AF96" i="11"/>
  <c r="AQ96" i="11"/>
  <c r="BB96" i="11"/>
  <c r="BM96" i="11"/>
  <c r="J97" i="11"/>
  <c r="U97" i="11"/>
  <c r="AF97" i="11"/>
  <c r="AQ97" i="11"/>
  <c r="BB97" i="11"/>
  <c r="BM97" i="11"/>
  <c r="J98" i="11"/>
  <c r="U98" i="11"/>
  <c r="AF98" i="11"/>
  <c r="AQ98" i="11"/>
  <c r="BB98" i="11"/>
  <c r="BM98" i="11"/>
  <c r="J99" i="11"/>
  <c r="U99" i="11"/>
  <c r="AF99" i="11"/>
  <c r="AQ99" i="11"/>
  <c r="BB99" i="11"/>
  <c r="BM99" i="11"/>
  <c r="J100" i="11"/>
  <c r="U100" i="11"/>
  <c r="AF100" i="11"/>
  <c r="AQ100" i="11"/>
  <c r="BB100" i="11"/>
  <c r="BM100" i="11"/>
  <c r="B101" i="11"/>
  <c r="B104" i="11" s="1"/>
  <c r="D101" i="11"/>
  <c r="B105" i="11" s="1"/>
  <c r="F101" i="11"/>
  <c r="B106" i="11" s="1"/>
  <c r="H101" i="11"/>
  <c r="B107" i="11" s="1"/>
  <c r="J101" i="11"/>
  <c r="B108" i="11" s="1"/>
  <c r="G5" i="11" s="1"/>
  <c r="M101" i="11"/>
  <c r="C104" i="11" s="1"/>
  <c r="O101" i="11"/>
  <c r="C105" i="11" s="1"/>
  <c r="Q101" i="11"/>
  <c r="C106" i="11" s="1"/>
  <c r="S101" i="11"/>
  <c r="C107" i="11" s="1"/>
  <c r="U101" i="11"/>
  <c r="C108" i="11" s="1"/>
  <c r="G6" i="11" s="1"/>
  <c r="X101" i="11"/>
  <c r="D104" i="11" s="1"/>
  <c r="Z101" i="11"/>
  <c r="D105" i="11" s="1"/>
  <c r="AB101" i="11"/>
  <c r="D106" i="11" s="1"/>
  <c r="AD101" i="11"/>
  <c r="D107" i="11" s="1"/>
  <c r="AF101" i="11"/>
  <c r="D108" i="11" s="1"/>
  <c r="G7" i="11" s="1"/>
  <c r="AI101" i="11"/>
  <c r="E104" i="11" s="1"/>
  <c r="AK101" i="11"/>
  <c r="E105" i="11" s="1"/>
  <c r="AM101" i="11"/>
  <c r="E106" i="11" s="1"/>
  <c r="AO101" i="11"/>
  <c r="E107" i="11" s="1"/>
  <c r="AQ101" i="11"/>
  <c r="E108" i="11" s="1"/>
  <c r="G8" i="11" s="1"/>
  <c r="AT101" i="11"/>
  <c r="F104" i="11" s="1"/>
  <c r="AV101" i="11"/>
  <c r="F105" i="11" s="1"/>
  <c r="AX101" i="11"/>
  <c r="F106" i="11" s="1"/>
  <c r="AZ101" i="11"/>
  <c r="F107" i="11" s="1"/>
  <c r="BB101" i="11"/>
  <c r="F108" i="11" s="1"/>
  <c r="G9" i="11" s="1"/>
  <c r="BE101" i="11"/>
  <c r="G104" i="11" s="1"/>
  <c r="BG101" i="11"/>
  <c r="G105" i="11" s="1"/>
  <c r="BI101" i="11"/>
  <c r="G106" i="11" s="1"/>
  <c r="BK101" i="11"/>
  <c r="G107" i="11" s="1"/>
  <c r="BM101" i="11"/>
  <c r="G108" i="11" s="1"/>
  <c r="G10" i="11" s="1"/>
  <c r="J113" i="11"/>
  <c r="U113" i="11"/>
  <c r="AF113" i="11"/>
  <c r="AQ113" i="11"/>
  <c r="BB113" i="11"/>
  <c r="J114" i="11"/>
  <c r="U114" i="11"/>
  <c r="AF114" i="11"/>
  <c r="AQ114" i="11"/>
  <c r="BB114" i="11"/>
  <c r="J115" i="11"/>
  <c r="U115" i="11"/>
  <c r="AF115" i="11"/>
  <c r="AQ115" i="11"/>
  <c r="BB115" i="11"/>
  <c r="J116" i="11"/>
  <c r="U116" i="11"/>
  <c r="AF116" i="11"/>
  <c r="AQ116" i="11"/>
  <c r="BB116" i="11"/>
  <c r="J117" i="11"/>
  <c r="U117" i="11"/>
  <c r="AF117" i="11"/>
  <c r="AQ117" i="11"/>
  <c r="BB117" i="11"/>
  <c r="J118" i="11"/>
  <c r="U118" i="11"/>
  <c r="AF118" i="11"/>
  <c r="AQ118" i="11"/>
  <c r="BB118" i="11"/>
  <c r="J119" i="11"/>
  <c r="U119" i="11"/>
  <c r="AF119" i="11"/>
  <c r="AQ119" i="11"/>
  <c r="BB119" i="11"/>
  <c r="J120" i="11"/>
  <c r="U120" i="11"/>
  <c r="AF120" i="11"/>
  <c r="AQ120" i="11"/>
  <c r="BB120" i="11"/>
  <c r="J121" i="11"/>
  <c r="U121" i="11"/>
  <c r="AF121" i="11"/>
  <c r="AQ121" i="11"/>
  <c r="BB121" i="11"/>
  <c r="B122" i="11"/>
  <c r="B125" i="11" s="1"/>
  <c r="D122" i="11"/>
  <c r="B126" i="11" s="1"/>
  <c r="F122" i="11"/>
  <c r="B127" i="11" s="1"/>
  <c r="H122" i="11"/>
  <c r="B128" i="11" s="1"/>
  <c r="J122" i="11"/>
  <c r="B129" i="11" s="1"/>
  <c r="J5" i="11" s="1"/>
  <c r="M122" i="11"/>
  <c r="C125" i="11" s="1"/>
  <c r="O122" i="11"/>
  <c r="C126" i="11" s="1"/>
  <c r="Q122" i="11"/>
  <c r="C127" i="11" s="1"/>
  <c r="S122" i="11"/>
  <c r="C128" i="11" s="1"/>
  <c r="U122" i="11"/>
  <c r="C129" i="11" s="1"/>
  <c r="J6" i="11" s="1"/>
  <c r="X122" i="11"/>
  <c r="D125" i="11" s="1"/>
  <c r="Z122" i="11"/>
  <c r="D126" i="11" s="1"/>
  <c r="AB122" i="11"/>
  <c r="D127" i="11" s="1"/>
  <c r="AD122" i="11"/>
  <c r="D128" i="11" s="1"/>
  <c r="AF122" i="11"/>
  <c r="D129" i="11" s="1"/>
  <c r="J7" i="11" s="1"/>
  <c r="AI122" i="11"/>
  <c r="E125" i="11" s="1"/>
  <c r="AK122" i="11"/>
  <c r="E126" i="11" s="1"/>
  <c r="AM122" i="11"/>
  <c r="E127" i="11" s="1"/>
  <c r="AO122" i="11"/>
  <c r="E128" i="11" s="1"/>
  <c r="AQ122" i="11"/>
  <c r="E129" i="11" s="1"/>
  <c r="J8" i="11" s="1"/>
  <c r="AT122" i="11"/>
  <c r="F125" i="11" s="1"/>
  <c r="AV122" i="11"/>
  <c r="F126" i="11" s="1"/>
  <c r="AX122" i="11"/>
  <c r="F127" i="11" s="1"/>
  <c r="AZ122" i="11"/>
  <c r="F128" i="11" s="1"/>
  <c r="BB122" i="11"/>
  <c r="F129" i="11" s="1"/>
  <c r="J9" i="11" s="1"/>
  <c r="J134" i="11"/>
  <c r="U134" i="11"/>
  <c r="AF134" i="11"/>
  <c r="AQ134" i="11"/>
  <c r="BB134" i="11"/>
  <c r="J135" i="11"/>
  <c r="U135" i="11"/>
  <c r="AF135" i="11"/>
  <c r="AQ135" i="11"/>
  <c r="BB135" i="11"/>
  <c r="J136" i="11"/>
  <c r="U136" i="11"/>
  <c r="AF136" i="11"/>
  <c r="AQ136" i="11"/>
  <c r="BB136" i="11"/>
  <c r="J137" i="11"/>
  <c r="U137" i="11"/>
  <c r="AF137" i="11"/>
  <c r="AQ137" i="11"/>
  <c r="BB137" i="11"/>
  <c r="J138" i="11"/>
  <c r="U138" i="11"/>
  <c r="AF138" i="11"/>
  <c r="AQ138" i="11"/>
  <c r="BB138" i="11"/>
  <c r="J139" i="11"/>
  <c r="U139" i="11"/>
  <c r="AF139" i="11"/>
  <c r="AQ139" i="11"/>
  <c r="BB139" i="11"/>
  <c r="J140" i="11"/>
  <c r="U140" i="11"/>
  <c r="AF140" i="11"/>
  <c r="AQ140" i="11"/>
  <c r="BB140" i="11"/>
  <c r="J141" i="11"/>
  <c r="U141" i="11"/>
  <c r="AF141" i="11"/>
  <c r="AQ141" i="11"/>
  <c r="BB141" i="11"/>
  <c r="J142" i="11"/>
  <c r="U142" i="11"/>
  <c r="AF142" i="11"/>
  <c r="AQ142" i="11"/>
  <c r="BB142" i="11"/>
  <c r="B143" i="11"/>
  <c r="B146" i="11" s="1"/>
  <c r="D143" i="11"/>
  <c r="B147" i="11" s="1"/>
  <c r="F143" i="11"/>
  <c r="B148" i="11" s="1"/>
  <c r="H143" i="11"/>
  <c r="B149" i="11" s="1"/>
  <c r="J143" i="11"/>
  <c r="B150" i="11" s="1"/>
  <c r="M5" i="11" s="1"/>
  <c r="M143" i="11"/>
  <c r="C146" i="11" s="1"/>
  <c r="O143" i="11"/>
  <c r="C147" i="11" s="1"/>
  <c r="Q143" i="11"/>
  <c r="C148" i="11" s="1"/>
  <c r="S143" i="11"/>
  <c r="C149" i="11" s="1"/>
  <c r="U143" i="11"/>
  <c r="C150" i="11" s="1"/>
  <c r="M7" i="11" s="1"/>
  <c r="X143" i="11"/>
  <c r="D146" i="11" s="1"/>
  <c r="Z143" i="11"/>
  <c r="D147" i="11" s="1"/>
  <c r="AB143" i="11"/>
  <c r="D148" i="11" s="1"/>
  <c r="AD143" i="11"/>
  <c r="D149" i="11" s="1"/>
  <c r="AF143" i="11"/>
  <c r="D150" i="11" s="1"/>
  <c r="M8" i="11" s="1"/>
  <c r="AI143" i="11"/>
  <c r="E146" i="11" s="1"/>
  <c r="AK143" i="11"/>
  <c r="E147" i="11" s="1"/>
  <c r="AM143" i="11"/>
  <c r="E148" i="11" s="1"/>
  <c r="AO143" i="11"/>
  <c r="E149" i="11" s="1"/>
  <c r="AQ143" i="11"/>
  <c r="E150" i="11" s="1"/>
  <c r="M9" i="11" s="1"/>
  <c r="AT143" i="11"/>
  <c r="F146" i="11" s="1"/>
  <c r="AV143" i="11"/>
  <c r="F147" i="11" s="1"/>
  <c r="AX143" i="11"/>
  <c r="F148" i="11" s="1"/>
  <c r="AZ143" i="11"/>
  <c r="F149" i="11" s="1"/>
  <c r="BB143" i="11"/>
  <c r="F150" i="11" s="1"/>
  <c r="M10" i="11" s="1"/>
  <c r="Q3" i="10"/>
  <c r="B11" i="10"/>
  <c r="B11" i="9"/>
  <c r="B13" i="9"/>
  <c r="D9" i="11" s="1"/>
  <c r="L3" i="8"/>
  <c r="B6" i="8"/>
  <c r="A1" i="7" s="1"/>
  <c r="B7" i="8"/>
  <c r="B8" i="8"/>
  <c r="B9" i="8" s="1"/>
  <c r="B9" i="12" s="1"/>
  <c r="B17" i="8"/>
  <c r="E3" i="7"/>
  <c r="L3" i="7"/>
  <c r="D113" i="7"/>
  <c r="K113" i="7"/>
  <c r="B14" i="4"/>
  <c r="B15" i="4" s="1"/>
  <c r="C14" i="4"/>
  <c r="C15" i="4" s="1"/>
  <c r="D14" i="4"/>
  <c r="D15" i="4" s="1"/>
  <c r="E14" i="4"/>
  <c r="E15" i="4" s="1"/>
  <c r="J81" i="11" l="1"/>
  <c r="B16" i="11"/>
  <c r="B44" i="12" s="1"/>
  <c r="C16" i="11"/>
  <c r="B23" i="11"/>
  <c r="B51" i="12" s="1"/>
  <c r="C21" i="11"/>
  <c r="C49" i="12" s="1"/>
  <c r="C19" i="11"/>
  <c r="C47" i="12" s="1"/>
  <c r="B14" i="11"/>
  <c r="C17" i="11"/>
  <c r="C45" i="12" s="1"/>
  <c r="C20" i="11"/>
  <c r="C48" i="12" s="1"/>
  <c r="A14" i="11"/>
  <c r="C18" i="11"/>
  <c r="C46" i="12" s="1"/>
  <c r="B17" i="11"/>
  <c r="B45" i="12" s="1"/>
  <c r="B22" i="11"/>
  <c r="B50" i="12" s="1"/>
  <c r="B18" i="11"/>
  <c r="B46" i="12" s="1"/>
  <c r="B19" i="8"/>
  <c r="H1" i="7" s="1"/>
  <c r="H3" i="7" s="1"/>
  <c r="D13" i="12"/>
  <c r="L15" i="11"/>
  <c r="D14" i="12"/>
  <c r="B8" i="12"/>
  <c r="D5" i="11"/>
  <c r="F14" i="11" s="1"/>
  <c r="B7" i="12"/>
  <c r="B6" i="12"/>
  <c r="C44" i="12"/>
  <c r="M15" i="11"/>
  <c r="B5" i="11"/>
  <c r="D6" i="11" s="1"/>
  <c r="B8" i="10"/>
  <c r="B9" i="9"/>
  <c r="B9" i="10"/>
  <c r="B7" i="9"/>
  <c r="B7" i="10"/>
  <c r="B6" i="10"/>
  <c r="B8" i="9"/>
  <c r="B17" i="9" s="1"/>
  <c r="B6" i="9"/>
  <c r="C1" i="7"/>
  <c r="B20" i="8"/>
  <c r="B10" i="8"/>
  <c r="B10" i="12" s="1"/>
  <c r="G6" i="12" s="1"/>
  <c r="G14" i="11" l="1"/>
  <c r="E14" i="11" s="1"/>
  <c r="L6" i="12"/>
  <c r="B34" i="12"/>
  <c r="D10" i="12"/>
  <c r="E79" i="8"/>
  <c r="E47" i="8"/>
  <c r="E111" i="8"/>
  <c r="M111" i="8" s="1"/>
  <c r="E27" i="8"/>
  <c r="I27" i="8" s="1"/>
  <c r="E63" i="8"/>
  <c r="E95" i="8"/>
  <c r="M95" i="8" s="1"/>
  <c r="E58" i="8"/>
  <c r="E9" i="8"/>
  <c r="N9" i="8" s="1"/>
  <c r="E10" i="8"/>
  <c r="F10" i="8" s="1"/>
  <c r="E17" i="8"/>
  <c r="N17" i="8" s="1"/>
  <c r="E39" i="8"/>
  <c r="E55" i="8"/>
  <c r="E71" i="8"/>
  <c r="E87" i="8"/>
  <c r="M87" i="8" s="1"/>
  <c r="E103" i="8"/>
  <c r="M103" i="8" s="1"/>
  <c r="E28" i="8"/>
  <c r="L28" i="8" s="1"/>
  <c r="E90" i="8"/>
  <c r="M90" i="8" s="1"/>
  <c r="E8" i="8"/>
  <c r="N8" i="8" s="1"/>
  <c r="E11" i="8"/>
  <c r="N11" i="8" s="1"/>
  <c r="E15" i="8"/>
  <c r="N15" i="8" s="1"/>
  <c r="E22" i="8"/>
  <c r="F22" i="8" s="1"/>
  <c r="E31" i="8"/>
  <c r="N31" i="8" s="1"/>
  <c r="E43" i="8"/>
  <c r="E51" i="8"/>
  <c r="E59" i="8"/>
  <c r="E67" i="8"/>
  <c r="E75" i="8"/>
  <c r="E83" i="8"/>
  <c r="M83" i="8" s="1"/>
  <c r="E91" i="8"/>
  <c r="M91" i="8" s="1"/>
  <c r="E99" i="8"/>
  <c r="M99" i="8" s="1"/>
  <c r="E107" i="8"/>
  <c r="M107" i="8" s="1"/>
  <c r="E115" i="8"/>
  <c r="M115" i="8" s="1"/>
  <c r="E42" i="8"/>
  <c r="E74" i="8"/>
  <c r="E106" i="8"/>
  <c r="M106" i="8" s="1"/>
  <c r="E7" i="8"/>
  <c r="F7" i="8" s="1"/>
  <c r="E6" i="8"/>
  <c r="F6" i="8" s="1"/>
  <c r="E12" i="8"/>
  <c r="E13" i="8"/>
  <c r="E16" i="8"/>
  <c r="L16" i="8" s="1"/>
  <c r="E19" i="8"/>
  <c r="E24" i="8"/>
  <c r="E29" i="8"/>
  <c r="L29" i="8" s="1"/>
  <c r="E33" i="8"/>
  <c r="L33" i="8" s="1"/>
  <c r="E37" i="8"/>
  <c r="E41" i="8"/>
  <c r="E45" i="8"/>
  <c r="E49" i="8"/>
  <c r="E53" i="8"/>
  <c r="E57" i="8"/>
  <c r="E61" i="8"/>
  <c r="E65" i="8"/>
  <c r="E69" i="8"/>
  <c r="E73" i="8"/>
  <c r="E77" i="8"/>
  <c r="E81" i="8"/>
  <c r="M81" i="8" s="1"/>
  <c r="E85" i="8"/>
  <c r="M85" i="8" s="1"/>
  <c r="E89" i="8"/>
  <c r="M89" i="8" s="1"/>
  <c r="E93" i="8"/>
  <c r="M93" i="8" s="1"/>
  <c r="E97" i="8"/>
  <c r="M97" i="8" s="1"/>
  <c r="E101" i="8"/>
  <c r="M101" i="8" s="1"/>
  <c r="E105" i="8"/>
  <c r="M105" i="8" s="1"/>
  <c r="E109" i="8"/>
  <c r="M109" i="8" s="1"/>
  <c r="E113" i="8"/>
  <c r="M113" i="8" s="1"/>
  <c r="E21" i="8"/>
  <c r="E35" i="8"/>
  <c r="E50" i="8"/>
  <c r="E66" i="8"/>
  <c r="E82" i="8"/>
  <c r="M82" i="8" s="1"/>
  <c r="E98" i="8"/>
  <c r="M98" i="8" s="1"/>
  <c r="E114" i="8"/>
  <c r="M114" i="8" s="1"/>
  <c r="E18" i="8"/>
  <c r="E25" i="8"/>
  <c r="S25" i="8" s="1"/>
  <c r="E32" i="8"/>
  <c r="L32" i="8" s="1"/>
  <c r="E38" i="8"/>
  <c r="E46" i="8"/>
  <c r="E54" i="8"/>
  <c r="E62" i="8"/>
  <c r="E70" i="8"/>
  <c r="E78" i="8"/>
  <c r="E86" i="8"/>
  <c r="M86" i="8" s="1"/>
  <c r="E94" i="8"/>
  <c r="M94" i="8" s="1"/>
  <c r="E102" i="8"/>
  <c r="M102" i="8" s="1"/>
  <c r="E110" i="8"/>
  <c r="M110" i="8" s="1"/>
  <c r="F1" i="7"/>
  <c r="B35" i="12"/>
  <c r="M1" i="7"/>
  <c r="K30" i="7" s="1"/>
  <c r="C35" i="12"/>
  <c r="G9" i="12"/>
  <c r="G5" i="12"/>
  <c r="G10" i="12"/>
  <c r="G14" i="12"/>
  <c r="G17" i="12"/>
  <c r="G18" i="12"/>
  <c r="G21" i="12"/>
  <c r="G22" i="12"/>
  <c r="G23" i="12"/>
  <c r="G27" i="12"/>
  <c r="G29" i="12"/>
  <c r="G36" i="12"/>
  <c r="G37" i="12"/>
  <c r="G40" i="12"/>
  <c r="G41" i="12"/>
  <c r="G44" i="12"/>
  <c r="G45" i="12"/>
  <c r="G52" i="12"/>
  <c r="G59" i="12"/>
  <c r="G60" i="12"/>
  <c r="G62" i="12"/>
  <c r="G64" i="12"/>
  <c r="G66" i="12"/>
  <c r="G68" i="12"/>
  <c r="G70" i="12"/>
  <c r="G72" i="12"/>
  <c r="G74" i="12"/>
  <c r="G76" i="12"/>
  <c r="G11" i="12"/>
  <c r="G12" i="12"/>
  <c r="G13" i="12"/>
  <c r="G15" i="12"/>
  <c r="G16" i="12"/>
  <c r="G19" i="12"/>
  <c r="G20" i="12"/>
  <c r="G24" i="12"/>
  <c r="G25" i="12"/>
  <c r="G26" i="12"/>
  <c r="G28" i="12"/>
  <c r="G30" i="12"/>
  <c r="G31" i="12"/>
  <c r="G32" i="12"/>
  <c r="G33" i="12"/>
  <c r="G34" i="12"/>
  <c r="G35" i="12"/>
  <c r="G38" i="12"/>
  <c r="G39" i="12"/>
  <c r="G42" i="12"/>
  <c r="G43" i="12"/>
  <c r="G46" i="12"/>
  <c r="G47" i="12"/>
  <c r="G48" i="12"/>
  <c r="G49" i="12"/>
  <c r="G50" i="12"/>
  <c r="G51" i="12"/>
  <c r="G53" i="12"/>
  <c r="G54" i="12"/>
  <c r="G55" i="12"/>
  <c r="G56" i="12"/>
  <c r="G57" i="12"/>
  <c r="G58" i="12"/>
  <c r="G61" i="12"/>
  <c r="G63" i="12"/>
  <c r="G65" i="12"/>
  <c r="G67" i="12"/>
  <c r="G69" i="12"/>
  <c r="G71" i="12"/>
  <c r="G73" i="12"/>
  <c r="G75" i="12"/>
  <c r="G78" i="12"/>
  <c r="G80" i="12"/>
  <c r="G82" i="12"/>
  <c r="G85" i="12"/>
  <c r="G86" i="12"/>
  <c r="G89" i="12"/>
  <c r="G90" i="12"/>
  <c r="G93" i="12"/>
  <c r="G94" i="12"/>
  <c r="G97" i="12"/>
  <c r="G99" i="12"/>
  <c r="G101" i="12"/>
  <c r="G103" i="12"/>
  <c r="G105" i="12"/>
  <c r="G107" i="12"/>
  <c r="G109" i="12"/>
  <c r="G111" i="12"/>
  <c r="G113" i="12"/>
  <c r="G115" i="12"/>
  <c r="G77" i="12"/>
  <c r="G79" i="12"/>
  <c r="G81" i="12"/>
  <c r="G83" i="12"/>
  <c r="G84" i="12"/>
  <c r="G87" i="12"/>
  <c r="G88" i="12"/>
  <c r="G91" i="12"/>
  <c r="G92" i="12"/>
  <c r="G95" i="12"/>
  <c r="G96" i="12"/>
  <c r="G98" i="12"/>
  <c r="G100" i="12"/>
  <c r="G102" i="12"/>
  <c r="G104" i="12"/>
  <c r="G106" i="12"/>
  <c r="G108" i="12"/>
  <c r="G110" i="12"/>
  <c r="G112" i="12"/>
  <c r="G114" i="12"/>
  <c r="G7" i="12"/>
  <c r="G8" i="12"/>
  <c r="B14" i="12"/>
  <c r="H6" i="12"/>
  <c r="Z6" i="12" s="1"/>
  <c r="U6" i="12"/>
  <c r="Y6" i="12"/>
  <c r="AC6" i="12"/>
  <c r="B10" i="9"/>
  <c r="E5" i="9" s="1"/>
  <c r="F5" i="9" s="1"/>
  <c r="B10" i="10"/>
  <c r="B16" i="9"/>
  <c r="E5" i="8"/>
  <c r="E20" i="8"/>
  <c r="E26" i="8"/>
  <c r="E34" i="8"/>
  <c r="E40" i="8"/>
  <c r="E48" i="8"/>
  <c r="E56" i="8"/>
  <c r="E64" i="8"/>
  <c r="E72" i="8"/>
  <c r="E80" i="8"/>
  <c r="M80" i="8" s="1"/>
  <c r="E96" i="8"/>
  <c r="M96" i="8" s="1"/>
  <c r="E104" i="8"/>
  <c r="M104" i="8" s="1"/>
  <c r="E112" i="8"/>
  <c r="M112" i="8" s="1"/>
  <c r="E14" i="8"/>
  <c r="E23" i="8"/>
  <c r="E30" i="8"/>
  <c r="E36" i="8"/>
  <c r="E44" i="8"/>
  <c r="E52" i="8"/>
  <c r="E60" i="8"/>
  <c r="E68" i="8"/>
  <c r="E76" i="8"/>
  <c r="E84" i="8"/>
  <c r="M84" i="8" s="1"/>
  <c r="E92" i="8"/>
  <c r="M92" i="8" s="1"/>
  <c r="E100" i="8"/>
  <c r="M100" i="8" s="1"/>
  <c r="E108" i="8"/>
  <c r="M108" i="8" s="1"/>
  <c r="E116" i="8"/>
  <c r="E88" i="8"/>
  <c r="M88" i="8" s="1"/>
  <c r="BM84" i="12" l="1"/>
  <c r="AN84" i="12"/>
  <c r="Q84" i="12"/>
  <c r="T84" i="12"/>
  <c r="BM112" i="12"/>
  <c r="T112" i="12"/>
  <c r="Q112" i="12"/>
  <c r="AN112" i="12"/>
  <c r="AN81" i="12"/>
  <c r="BM81" i="12"/>
  <c r="T81" i="12"/>
  <c r="Q81" i="12"/>
  <c r="AN89" i="12"/>
  <c r="BM89" i="12"/>
  <c r="Q89" i="12"/>
  <c r="T89" i="12"/>
  <c r="T110" i="12"/>
  <c r="Q110" i="12"/>
  <c r="AN110" i="12"/>
  <c r="BM110" i="12"/>
  <c r="T95" i="12"/>
  <c r="Q95" i="12"/>
  <c r="BM95" i="12"/>
  <c r="AN95" i="12"/>
  <c r="T103" i="12"/>
  <c r="Q103" i="12"/>
  <c r="AN103" i="12"/>
  <c r="BM103" i="12"/>
  <c r="T86" i="12"/>
  <c r="Q86" i="12"/>
  <c r="AN86" i="12"/>
  <c r="BM86" i="12"/>
  <c r="T27" i="12"/>
  <c r="BM96" i="12"/>
  <c r="T96" i="12"/>
  <c r="Q96" i="12"/>
  <c r="AN96" i="12"/>
  <c r="AN105" i="12"/>
  <c r="BM105" i="12"/>
  <c r="T105" i="12"/>
  <c r="Q105" i="12"/>
  <c r="AN108" i="12"/>
  <c r="BM108" i="12"/>
  <c r="Q108" i="12"/>
  <c r="T108" i="12"/>
  <c r="BM92" i="12"/>
  <c r="AN92" i="12"/>
  <c r="T92" i="12"/>
  <c r="Q92" i="12"/>
  <c r="Q101" i="12"/>
  <c r="AN101" i="12"/>
  <c r="BM101" i="12"/>
  <c r="T101" i="12"/>
  <c r="Q85" i="12"/>
  <c r="AN85" i="12"/>
  <c r="BM85" i="12"/>
  <c r="T85" i="12"/>
  <c r="BM100" i="12"/>
  <c r="AN100" i="12"/>
  <c r="Q100" i="12"/>
  <c r="T100" i="12"/>
  <c r="Q93" i="12"/>
  <c r="AN93" i="12"/>
  <c r="BM93" i="12"/>
  <c r="T93" i="12"/>
  <c r="AN91" i="12"/>
  <c r="BM91" i="12"/>
  <c r="T91" i="12"/>
  <c r="Q91" i="12"/>
  <c r="AN99" i="12"/>
  <c r="BM99" i="12"/>
  <c r="T99" i="12"/>
  <c r="Q99" i="12"/>
  <c r="BM104" i="12"/>
  <c r="T104" i="12"/>
  <c r="Q104" i="12"/>
  <c r="AN104" i="12"/>
  <c r="BM88" i="12"/>
  <c r="T88" i="12"/>
  <c r="Q88" i="12"/>
  <c r="AN88" i="12"/>
  <c r="AN113" i="12"/>
  <c r="BM113" i="12"/>
  <c r="Q113" i="12"/>
  <c r="T113" i="12"/>
  <c r="AN97" i="12"/>
  <c r="BM97" i="12"/>
  <c r="Q97" i="12"/>
  <c r="T97" i="12"/>
  <c r="BM80" i="12"/>
  <c r="T80" i="12"/>
  <c r="Q80" i="12"/>
  <c r="AN80" i="12"/>
  <c r="AN106" i="12"/>
  <c r="BM106" i="12"/>
  <c r="T106" i="12"/>
  <c r="Q106" i="12"/>
  <c r="AO115" i="12"/>
  <c r="AN115" i="12"/>
  <c r="BM115" i="12"/>
  <c r="T115" i="12"/>
  <c r="Q115" i="12"/>
  <c r="AN82" i="12"/>
  <c r="BM82" i="12"/>
  <c r="T82" i="12"/>
  <c r="Q82" i="12"/>
  <c r="T102" i="12"/>
  <c r="Q102" i="12"/>
  <c r="AN102" i="12"/>
  <c r="BM102" i="12"/>
  <c r="T87" i="12"/>
  <c r="Q87" i="12"/>
  <c r="AN87" i="12"/>
  <c r="BM87" i="12"/>
  <c r="T111" i="12"/>
  <c r="Q111" i="12"/>
  <c r="BM111" i="12"/>
  <c r="AN111" i="12"/>
  <c r="T94" i="12"/>
  <c r="Q94" i="12"/>
  <c r="AN94" i="12"/>
  <c r="BM94" i="12"/>
  <c r="Q109" i="12"/>
  <c r="AN109" i="12"/>
  <c r="BM109" i="12"/>
  <c r="T109" i="12"/>
  <c r="AN114" i="12"/>
  <c r="T114" i="12"/>
  <c r="BM114" i="12"/>
  <c r="Q114" i="12"/>
  <c r="AN98" i="12"/>
  <c r="T98" i="12"/>
  <c r="BM98" i="12"/>
  <c r="Q98" i="12"/>
  <c r="AN83" i="12"/>
  <c r="BM83" i="12"/>
  <c r="T83" i="12"/>
  <c r="Q83" i="12"/>
  <c r="AN107" i="12"/>
  <c r="BM107" i="12"/>
  <c r="T107" i="12"/>
  <c r="Q107" i="12"/>
  <c r="AN90" i="12"/>
  <c r="BM90" i="12"/>
  <c r="T90" i="12"/>
  <c r="Q90" i="12"/>
  <c r="T36" i="12"/>
  <c r="H17" i="11"/>
  <c r="G18" i="11"/>
  <c r="I18" i="11"/>
  <c r="H19" i="11"/>
  <c r="G20" i="11"/>
  <c r="I20" i="11"/>
  <c r="H21" i="11"/>
  <c r="I16" i="11"/>
  <c r="G16" i="11"/>
  <c r="F17" i="11"/>
  <c r="F19" i="11"/>
  <c r="F21" i="11"/>
  <c r="G17" i="11"/>
  <c r="I17" i="11"/>
  <c r="H18" i="11"/>
  <c r="G19" i="11"/>
  <c r="I19" i="11"/>
  <c r="H20" i="11"/>
  <c r="G21" i="11"/>
  <c r="I21" i="11"/>
  <c r="H16" i="11"/>
  <c r="F16" i="11"/>
  <c r="F18" i="11"/>
  <c r="F20" i="11"/>
  <c r="K26" i="7"/>
  <c r="S69" i="8"/>
  <c r="L84" i="12"/>
  <c r="L81" i="12"/>
  <c r="L77" i="12"/>
  <c r="L80" i="12"/>
  <c r="L75" i="12"/>
  <c r="L71" i="12"/>
  <c r="L67" i="12"/>
  <c r="L63" i="12"/>
  <c r="L58" i="12"/>
  <c r="L56" i="12"/>
  <c r="L54" i="12"/>
  <c r="L51" i="12"/>
  <c r="L49" i="12"/>
  <c r="L47" i="12"/>
  <c r="L43" i="12"/>
  <c r="L39" i="12"/>
  <c r="L35" i="12"/>
  <c r="L33" i="12"/>
  <c r="L31" i="12"/>
  <c r="L28" i="12"/>
  <c r="L25" i="12"/>
  <c r="L20" i="12"/>
  <c r="L16" i="12"/>
  <c r="L13" i="12"/>
  <c r="L11" i="12"/>
  <c r="L74" i="12"/>
  <c r="L70" i="12"/>
  <c r="L66" i="12"/>
  <c r="L62" i="12"/>
  <c r="L59" i="12"/>
  <c r="L45" i="12"/>
  <c r="L41" i="12"/>
  <c r="L37" i="12"/>
  <c r="L29" i="12"/>
  <c r="L23" i="12"/>
  <c r="L21" i="12"/>
  <c r="L17" i="12"/>
  <c r="L10" i="12"/>
  <c r="L8" i="12"/>
  <c r="L83" i="12"/>
  <c r="L79" i="12"/>
  <c r="BU115" i="12"/>
  <c r="BQ115" i="12"/>
  <c r="BS115" i="12"/>
  <c r="BR115" i="12"/>
  <c r="BP115" i="12"/>
  <c r="BN115" i="12"/>
  <c r="BL115" i="12"/>
  <c r="L82" i="12"/>
  <c r="L78" i="12"/>
  <c r="L73" i="12"/>
  <c r="L69" i="12"/>
  <c r="L65" i="12"/>
  <c r="L61" i="12"/>
  <c r="L57" i="12"/>
  <c r="L55" i="12"/>
  <c r="L53" i="12"/>
  <c r="L50" i="12"/>
  <c r="L48" i="12"/>
  <c r="L46" i="12"/>
  <c r="L42" i="12"/>
  <c r="L38" i="12"/>
  <c r="L34" i="12"/>
  <c r="L32" i="12"/>
  <c r="L30" i="12"/>
  <c r="L26" i="12"/>
  <c r="L24" i="12"/>
  <c r="L19" i="12"/>
  <c r="L15" i="12"/>
  <c r="L12" i="12"/>
  <c r="L76" i="12"/>
  <c r="L72" i="12"/>
  <c r="L68" i="12"/>
  <c r="L64" i="12"/>
  <c r="L60" i="12"/>
  <c r="L52" i="12"/>
  <c r="L44" i="12"/>
  <c r="L40" i="12"/>
  <c r="L36" i="12"/>
  <c r="L27" i="12"/>
  <c r="L22" i="12"/>
  <c r="L18" i="12"/>
  <c r="L14" i="12"/>
  <c r="M5" i="12"/>
  <c r="N5" i="12"/>
  <c r="AA6" i="12"/>
  <c r="S65" i="8"/>
  <c r="L15" i="8"/>
  <c r="J10" i="8"/>
  <c r="L114" i="12"/>
  <c r="L110" i="12"/>
  <c r="L106" i="12"/>
  <c r="L102" i="12"/>
  <c r="L98" i="12"/>
  <c r="L95" i="12"/>
  <c r="L91" i="12"/>
  <c r="L87" i="12"/>
  <c r="O115" i="12"/>
  <c r="BO115" i="12" s="1"/>
  <c r="M115" i="12"/>
  <c r="P115" i="12"/>
  <c r="N115" i="12"/>
  <c r="L115" i="12"/>
  <c r="L111" i="12"/>
  <c r="L107" i="12"/>
  <c r="L103" i="12"/>
  <c r="L99" i="12"/>
  <c r="L94" i="12"/>
  <c r="L90" i="12"/>
  <c r="L86" i="12"/>
  <c r="U7" i="12"/>
  <c r="L7" i="12"/>
  <c r="L112" i="12"/>
  <c r="L108" i="12"/>
  <c r="L104" i="12"/>
  <c r="L100" i="12"/>
  <c r="L96" i="12"/>
  <c r="L92" i="12"/>
  <c r="L88" i="12"/>
  <c r="L113" i="12"/>
  <c r="L109" i="12"/>
  <c r="L105" i="12"/>
  <c r="L101" i="12"/>
  <c r="L97" i="12"/>
  <c r="L93" i="12"/>
  <c r="L89" i="12"/>
  <c r="L85" i="12"/>
  <c r="U9" i="12"/>
  <c r="L9" i="12"/>
  <c r="O87" i="8"/>
  <c r="J9" i="8"/>
  <c r="K115" i="8"/>
  <c r="L67" i="8"/>
  <c r="L38" i="8"/>
  <c r="S37" i="8"/>
  <c r="S41" i="8"/>
  <c r="F42" i="8"/>
  <c r="I39" i="8"/>
  <c r="S67" i="8"/>
  <c r="F111" i="8"/>
  <c r="F79" i="8"/>
  <c r="L53" i="8"/>
  <c r="S46" i="8"/>
  <c r="S49" i="8"/>
  <c r="O59" i="8"/>
  <c r="F71" i="8"/>
  <c r="I58" i="8"/>
  <c r="I63" i="8"/>
  <c r="L62" i="8"/>
  <c r="F33" i="8"/>
  <c r="L90" i="8"/>
  <c r="S111" i="8"/>
  <c r="F63" i="8"/>
  <c r="O74" i="8"/>
  <c r="L65" i="8"/>
  <c r="L58" i="8"/>
  <c r="F58" i="8"/>
  <c r="F39" i="8"/>
  <c r="O71" i="8"/>
  <c r="O83" i="8"/>
  <c r="F75" i="8"/>
  <c r="I79" i="8"/>
  <c r="S86" i="8"/>
  <c r="L85" i="8"/>
  <c r="I87" i="8"/>
  <c r="S90" i="8"/>
  <c r="I103" i="8"/>
  <c r="S101" i="8"/>
  <c r="S103" i="8"/>
  <c r="L111" i="8"/>
  <c r="S58" i="8"/>
  <c r="O58" i="8"/>
  <c r="O111" i="8"/>
  <c r="O79" i="8"/>
  <c r="O63" i="8"/>
  <c r="O39" i="8"/>
  <c r="N10" i="8"/>
  <c r="L103" i="8"/>
  <c r="O8" i="8"/>
  <c r="S29" i="8"/>
  <c r="S54" i="8"/>
  <c r="S53" i="8"/>
  <c r="S39" i="8"/>
  <c r="L115" i="8"/>
  <c r="L97" i="8"/>
  <c r="S97" i="8"/>
  <c r="L49" i="8"/>
  <c r="L39" i="8"/>
  <c r="L51" i="8"/>
  <c r="L99" i="8"/>
  <c r="L79" i="8"/>
  <c r="L63" i="8"/>
  <c r="S99" i="8"/>
  <c r="S79" i="8"/>
  <c r="S63" i="8"/>
  <c r="O90" i="8"/>
  <c r="F90" i="8"/>
  <c r="F74" i="8"/>
  <c r="F115" i="8"/>
  <c r="O103" i="8"/>
  <c r="F103" i="8"/>
  <c r="F83" i="8"/>
  <c r="F67" i="8"/>
  <c r="O10" i="8"/>
  <c r="L71" i="8"/>
  <c r="S71" i="8"/>
  <c r="I90" i="8"/>
  <c r="I111" i="8"/>
  <c r="I71" i="8"/>
  <c r="L61" i="8"/>
  <c r="I55" i="8"/>
  <c r="S62" i="8"/>
  <c r="S57" i="8"/>
  <c r="S70" i="8"/>
  <c r="L69" i="8"/>
  <c r="S73" i="8"/>
  <c r="S77" i="8"/>
  <c r="L94" i="8"/>
  <c r="S78" i="8"/>
  <c r="S81" i="8"/>
  <c r="L113" i="8"/>
  <c r="L81" i="8"/>
  <c r="S113" i="8"/>
  <c r="H9" i="12"/>
  <c r="Z9" i="12" s="1"/>
  <c r="AA9" i="12" s="1"/>
  <c r="F106" i="8"/>
  <c r="S94" i="8"/>
  <c r="S89" i="8"/>
  <c r="S93" i="8"/>
  <c r="S85" i="8"/>
  <c r="F9" i="8"/>
  <c r="S43" i="8"/>
  <c r="S102" i="8"/>
  <c r="S38" i="8"/>
  <c r="L101" i="8"/>
  <c r="L17" i="8"/>
  <c r="L109" i="8"/>
  <c r="L93" i="8"/>
  <c r="L77" i="8"/>
  <c r="S109" i="8"/>
  <c r="K14" i="7"/>
  <c r="K22" i="7"/>
  <c r="O107" i="8"/>
  <c r="N22" i="8"/>
  <c r="F95" i="8"/>
  <c r="L110" i="8"/>
  <c r="L78" i="8"/>
  <c r="L22" i="8"/>
  <c r="S110" i="8"/>
  <c r="L11" i="8"/>
  <c r="L46" i="8"/>
  <c r="L57" i="8"/>
  <c r="L105" i="8"/>
  <c r="L89" i="8"/>
  <c r="L73" i="8"/>
  <c r="S105" i="8"/>
  <c r="S32" i="8"/>
  <c r="Y9" i="12"/>
  <c r="F28" i="8"/>
  <c r="F55" i="8"/>
  <c r="F11" i="8"/>
  <c r="F31" i="8"/>
  <c r="O15" i="8"/>
  <c r="F43" i="8"/>
  <c r="E80" i="9"/>
  <c r="I47" i="8"/>
  <c r="E7" i="9"/>
  <c r="F7" i="9" s="1"/>
  <c r="E20" i="9"/>
  <c r="F20" i="9" s="1"/>
  <c r="L54" i="8"/>
  <c r="L45" i="8"/>
  <c r="F51" i="8"/>
  <c r="Y8" i="12"/>
  <c r="S55" i="8"/>
  <c r="S61" i="8"/>
  <c r="E111" i="9"/>
  <c r="E48" i="9"/>
  <c r="F48" i="9" s="1"/>
  <c r="E67" i="9"/>
  <c r="N67" i="9" s="1"/>
  <c r="K67" i="12" s="1"/>
  <c r="H8" i="12"/>
  <c r="Z8" i="12" s="1"/>
  <c r="AA8" i="12" s="1"/>
  <c r="L70" i="8"/>
  <c r="E101" i="9"/>
  <c r="E96" i="9"/>
  <c r="E64" i="9"/>
  <c r="N64" i="9" s="1"/>
  <c r="K64" i="12" s="1"/>
  <c r="E33" i="9"/>
  <c r="N33" i="9" s="1"/>
  <c r="K33" i="12" s="1"/>
  <c r="E84" i="9"/>
  <c r="E51" i="9"/>
  <c r="N51" i="9" s="1"/>
  <c r="K51" i="12" s="1"/>
  <c r="O75" i="8"/>
  <c r="E8" i="9"/>
  <c r="F8" i="9" s="1"/>
  <c r="E109" i="9"/>
  <c r="E93" i="9"/>
  <c r="E103" i="9"/>
  <c r="E87" i="9"/>
  <c r="E72" i="9"/>
  <c r="F72" i="9" s="1"/>
  <c r="E56" i="9"/>
  <c r="N56" i="9" s="1"/>
  <c r="K56" i="12" s="1"/>
  <c r="E41" i="9"/>
  <c r="F41" i="9" s="1"/>
  <c r="E25" i="9"/>
  <c r="F25" i="9" s="1"/>
  <c r="E15" i="9"/>
  <c r="F15" i="9" s="1"/>
  <c r="E75" i="9"/>
  <c r="F75" i="9" s="1"/>
  <c r="E59" i="9"/>
  <c r="N59" i="9" s="1"/>
  <c r="K59" i="12" s="1"/>
  <c r="E43" i="9"/>
  <c r="N43" i="9" s="1"/>
  <c r="K43" i="12" s="1"/>
  <c r="AC9" i="12"/>
  <c r="L42" i="8"/>
  <c r="S42" i="8"/>
  <c r="L106" i="8"/>
  <c r="L27" i="8"/>
  <c r="S47" i="8"/>
  <c r="O106" i="8"/>
  <c r="O42" i="8"/>
  <c r="N28" i="8"/>
  <c r="F107" i="8"/>
  <c r="F59" i="8"/>
  <c r="O47" i="8"/>
  <c r="F27" i="8"/>
  <c r="O17" i="8"/>
  <c r="O11" i="8"/>
  <c r="O9" i="8"/>
  <c r="F91" i="8"/>
  <c r="S87" i="8"/>
  <c r="L86" i="8"/>
  <c r="E34" i="9"/>
  <c r="F34" i="9" s="1"/>
  <c r="I95" i="8"/>
  <c r="O67" i="8"/>
  <c r="O31" i="8"/>
  <c r="F15" i="8"/>
  <c r="L102" i="8"/>
  <c r="F99" i="8"/>
  <c r="E11" i="9"/>
  <c r="F11" i="9" s="1"/>
  <c r="E114" i="9"/>
  <c r="E105" i="9"/>
  <c r="E97" i="9"/>
  <c r="E115" i="9"/>
  <c r="E108" i="9"/>
  <c r="E100" i="9"/>
  <c r="E92" i="9"/>
  <c r="E83" i="9"/>
  <c r="E76" i="9"/>
  <c r="N76" i="9" s="1"/>
  <c r="K76" i="12" s="1"/>
  <c r="E68" i="9"/>
  <c r="F68" i="9" s="1"/>
  <c r="E60" i="9"/>
  <c r="N60" i="9" s="1"/>
  <c r="K60" i="12" s="1"/>
  <c r="E52" i="9"/>
  <c r="F52" i="9" s="1"/>
  <c r="E44" i="9"/>
  <c r="N44" i="9" s="1"/>
  <c r="K44" i="12" s="1"/>
  <c r="E37" i="9"/>
  <c r="N37" i="9" s="1"/>
  <c r="K37" i="12" s="1"/>
  <c r="E29" i="9"/>
  <c r="F29" i="9" s="1"/>
  <c r="E22" i="9"/>
  <c r="F22" i="9" s="1"/>
  <c r="E18" i="9"/>
  <c r="F18" i="9" s="1"/>
  <c r="E88" i="9"/>
  <c r="E79" i="9"/>
  <c r="F79" i="9" s="1"/>
  <c r="E71" i="9"/>
  <c r="F71" i="9" s="1"/>
  <c r="E63" i="9"/>
  <c r="N63" i="9" s="1"/>
  <c r="K63" i="12" s="1"/>
  <c r="E55" i="9"/>
  <c r="F55" i="9" s="1"/>
  <c r="E47" i="9"/>
  <c r="F47" i="9" s="1"/>
  <c r="E38" i="9"/>
  <c r="N38" i="9" s="1"/>
  <c r="K38" i="12" s="1"/>
  <c r="E30" i="9"/>
  <c r="N30" i="9" s="1"/>
  <c r="K30" i="12" s="1"/>
  <c r="T30" i="12" s="1"/>
  <c r="F8" i="8"/>
  <c r="L47" i="8"/>
  <c r="S45" i="8"/>
  <c r="K18" i="7"/>
  <c r="K34" i="7"/>
  <c r="G115" i="8"/>
  <c r="L95" i="8"/>
  <c r="L83" i="8"/>
  <c r="L74" i="8"/>
  <c r="S95" i="8"/>
  <c r="S83" i="8"/>
  <c r="S74" i="8"/>
  <c r="S51" i="8"/>
  <c r="S31" i="8"/>
  <c r="O115" i="8"/>
  <c r="O99" i="8"/>
  <c r="F87" i="8"/>
  <c r="O51" i="8"/>
  <c r="F47" i="8"/>
  <c r="O27" i="8"/>
  <c r="F17" i="8"/>
  <c r="L87" i="8"/>
  <c r="S27" i="8"/>
  <c r="I28" i="8"/>
  <c r="E16" i="9"/>
  <c r="F16" i="9" s="1"/>
  <c r="AC8" i="12"/>
  <c r="U8" i="12"/>
  <c r="L43" i="8"/>
  <c r="S106" i="8"/>
  <c r="S28" i="8"/>
  <c r="O28" i="8"/>
  <c r="O95" i="8"/>
  <c r="O91" i="8"/>
  <c r="O55" i="8"/>
  <c r="O43" i="8"/>
  <c r="N27" i="8"/>
  <c r="O22" i="8"/>
  <c r="E26" i="9"/>
  <c r="N26" i="9" s="1"/>
  <c r="K26" i="12" s="1"/>
  <c r="E13" i="9"/>
  <c r="F13" i="9" s="1"/>
  <c r="H7" i="12"/>
  <c r="Z7" i="12" s="1"/>
  <c r="AA7" i="12" s="1"/>
  <c r="E10" i="9"/>
  <c r="F10" i="9" s="1"/>
  <c r="E6" i="9"/>
  <c r="F6" i="9" s="1"/>
  <c r="E9" i="9"/>
  <c r="F9" i="9" s="1"/>
  <c r="E116" i="9"/>
  <c r="E112" i="9"/>
  <c r="E107" i="9"/>
  <c r="E104" i="9"/>
  <c r="E99" i="9"/>
  <c r="E95" i="9"/>
  <c r="E91" i="9"/>
  <c r="E113" i="9"/>
  <c r="E110" i="9"/>
  <c r="E106" i="9"/>
  <c r="E102" i="9"/>
  <c r="E98" i="9"/>
  <c r="E94" i="9"/>
  <c r="E89" i="9"/>
  <c r="E85" i="9"/>
  <c r="E81" i="9"/>
  <c r="E78" i="9"/>
  <c r="F78" i="9" s="1"/>
  <c r="E74" i="9"/>
  <c r="N74" i="9" s="1"/>
  <c r="K74" i="12" s="1"/>
  <c r="E69" i="9"/>
  <c r="N69" i="9" s="1"/>
  <c r="K69" i="12" s="1"/>
  <c r="E65" i="9"/>
  <c r="F65" i="9" s="1"/>
  <c r="E61" i="9"/>
  <c r="N61" i="9" s="1"/>
  <c r="K61" i="12" s="1"/>
  <c r="E57" i="9"/>
  <c r="F57" i="9" s="1"/>
  <c r="E53" i="9"/>
  <c r="N53" i="9" s="1"/>
  <c r="K53" i="12" s="1"/>
  <c r="E50" i="9"/>
  <c r="F50" i="9" s="1"/>
  <c r="E46" i="9"/>
  <c r="N46" i="9" s="1"/>
  <c r="K46" i="12" s="1"/>
  <c r="E42" i="9"/>
  <c r="F42" i="9" s="1"/>
  <c r="E39" i="9"/>
  <c r="N39" i="9" s="1"/>
  <c r="K39" i="12" s="1"/>
  <c r="E35" i="9"/>
  <c r="N35" i="9" s="1"/>
  <c r="K35" i="12" s="1"/>
  <c r="E31" i="9"/>
  <c r="N31" i="9" s="1"/>
  <c r="K31" i="12" s="1"/>
  <c r="E27" i="9"/>
  <c r="N27" i="9" s="1"/>
  <c r="K27" i="12" s="1"/>
  <c r="E23" i="9"/>
  <c r="F23" i="9" s="1"/>
  <c r="E21" i="9"/>
  <c r="F21" i="9" s="1"/>
  <c r="E19" i="9"/>
  <c r="F19" i="9" s="1"/>
  <c r="E17" i="9"/>
  <c r="F17" i="9" s="1"/>
  <c r="E90" i="9"/>
  <c r="E86" i="9"/>
  <c r="E82" i="9"/>
  <c r="E77" i="9"/>
  <c r="F77" i="9" s="1"/>
  <c r="E73" i="9"/>
  <c r="N73" i="9" s="1"/>
  <c r="K73" i="12" s="1"/>
  <c r="E70" i="9"/>
  <c r="N70" i="9" s="1"/>
  <c r="K70" i="12" s="1"/>
  <c r="E66" i="9"/>
  <c r="N66" i="9" s="1"/>
  <c r="K66" i="12" s="1"/>
  <c r="E62" i="9"/>
  <c r="F62" i="9" s="1"/>
  <c r="E58" i="9"/>
  <c r="N58" i="9" s="1"/>
  <c r="K58" i="12" s="1"/>
  <c r="E54" i="9"/>
  <c r="F54" i="9" s="1"/>
  <c r="E49" i="9"/>
  <c r="F49" i="9" s="1"/>
  <c r="E45" i="9"/>
  <c r="N45" i="9" s="1"/>
  <c r="K45" i="12" s="1"/>
  <c r="E40" i="9"/>
  <c r="N40" i="9" s="1"/>
  <c r="K40" i="12" s="1"/>
  <c r="E36" i="9"/>
  <c r="N36" i="9" s="1"/>
  <c r="K36" i="12" s="1"/>
  <c r="E32" i="9"/>
  <c r="N32" i="9" s="1"/>
  <c r="K32" i="12" s="1"/>
  <c r="E28" i="9"/>
  <c r="N28" i="9" s="1"/>
  <c r="K28" i="12" s="1"/>
  <c r="E24" i="9"/>
  <c r="F24" i="9" s="1"/>
  <c r="E14" i="9"/>
  <c r="F14" i="9" s="1"/>
  <c r="E12" i="9"/>
  <c r="F12" i="9" s="1"/>
  <c r="AC7" i="12"/>
  <c r="Y7" i="12"/>
  <c r="L55" i="8"/>
  <c r="I88" i="8"/>
  <c r="I108" i="8"/>
  <c r="I92" i="8"/>
  <c r="I76" i="8"/>
  <c r="I60" i="8"/>
  <c r="I44" i="8"/>
  <c r="I30" i="8"/>
  <c r="I104" i="8"/>
  <c r="I80" i="8"/>
  <c r="I64" i="8"/>
  <c r="I48" i="8"/>
  <c r="I34" i="8"/>
  <c r="I102" i="8"/>
  <c r="I86" i="8"/>
  <c r="I70" i="8"/>
  <c r="I54" i="8"/>
  <c r="I38" i="8"/>
  <c r="I25" i="8"/>
  <c r="I114" i="8"/>
  <c r="I82" i="8"/>
  <c r="I50" i="8"/>
  <c r="I109" i="8"/>
  <c r="I101" i="8"/>
  <c r="I93" i="8"/>
  <c r="I85" i="8"/>
  <c r="I77" i="8"/>
  <c r="I69" i="8"/>
  <c r="I61" i="8"/>
  <c r="I53" i="8"/>
  <c r="I45" i="8"/>
  <c r="I37" i="8"/>
  <c r="I29" i="8"/>
  <c r="J6" i="8"/>
  <c r="I74" i="8"/>
  <c r="J115" i="8"/>
  <c r="I115" i="8"/>
  <c r="S115" i="8"/>
  <c r="V115" i="8"/>
  <c r="I99" i="8"/>
  <c r="I83" i="8"/>
  <c r="I67" i="8"/>
  <c r="I51" i="8"/>
  <c r="I31" i="8"/>
  <c r="L31" i="8"/>
  <c r="J8" i="8"/>
  <c r="I116" i="8"/>
  <c r="J116" i="8"/>
  <c r="I100" i="8"/>
  <c r="I84" i="8"/>
  <c r="I68" i="8"/>
  <c r="I52" i="8"/>
  <c r="I36" i="8"/>
  <c r="I112" i="8"/>
  <c r="I96" i="8"/>
  <c r="I72" i="8"/>
  <c r="I56" i="8"/>
  <c r="I40" i="8"/>
  <c r="I26" i="8"/>
  <c r="J5" i="8"/>
  <c r="I110" i="8"/>
  <c r="I94" i="8"/>
  <c r="I78" i="8"/>
  <c r="I62" i="8"/>
  <c r="I46" i="8"/>
  <c r="I32" i="8"/>
  <c r="I98" i="8"/>
  <c r="I66" i="8"/>
  <c r="I35" i="8"/>
  <c r="I113" i="8"/>
  <c r="I105" i="8"/>
  <c r="I97" i="8"/>
  <c r="I89" i="8"/>
  <c r="I81" i="8"/>
  <c r="I73" i="8"/>
  <c r="I65" i="8"/>
  <c r="I57" i="8"/>
  <c r="I49" i="8"/>
  <c r="I41" i="8"/>
  <c r="I33" i="8"/>
  <c r="J7" i="8"/>
  <c r="I106" i="8"/>
  <c r="I42" i="8"/>
  <c r="I107" i="8"/>
  <c r="L107" i="8"/>
  <c r="S107" i="8"/>
  <c r="I91" i="8"/>
  <c r="L91" i="8"/>
  <c r="S91" i="8"/>
  <c r="I75" i="8"/>
  <c r="L75" i="8"/>
  <c r="S75" i="8"/>
  <c r="I59" i="8"/>
  <c r="L59" i="8"/>
  <c r="S59" i="8"/>
  <c r="I43" i="8"/>
  <c r="O116" i="8"/>
  <c r="N116" i="8"/>
  <c r="O100" i="8"/>
  <c r="O84" i="8"/>
  <c r="O68" i="8"/>
  <c r="O52" i="8"/>
  <c r="N36" i="8"/>
  <c r="O36" i="8"/>
  <c r="N23" i="8"/>
  <c r="O23" i="8"/>
  <c r="O112" i="8"/>
  <c r="O96" i="8"/>
  <c r="O72" i="8"/>
  <c r="O56" i="8"/>
  <c r="O40" i="8"/>
  <c r="N26" i="8"/>
  <c r="O26" i="8"/>
  <c r="F5" i="8"/>
  <c r="N5" i="8"/>
  <c r="O5" i="8"/>
  <c r="F110" i="8"/>
  <c r="O110" i="8"/>
  <c r="F94" i="8"/>
  <c r="O94" i="8"/>
  <c r="F78" i="8"/>
  <c r="O78" i="8"/>
  <c r="F62" i="8"/>
  <c r="O62" i="8"/>
  <c r="F46" i="8"/>
  <c r="O46" i="8"/>
  <c r="F32" i="8"/>
  <c r="N32" i="8"/>
  <c r="O32" i="8"/>
  <c r="N18" i="8"/>
  <c r="O18" i="8"/>
  <c r="F98" i="8"/>
  <c r="O98" i="8"/>
  <c r="L98" i="8"/>
  <c r="S98" i="8"/>
  <c r="F66" i="8"/>
  <c r="O66" i="8"/>
  <c r="L66" i="8"/>
  <c r="S66" i="8"/>
  <c r="F35" i="8"/>
  <c r="N35" i="8"/>
  <c r="O35" i="8"/>
  <c r="S35" i="8"/>
  <c r="L35" i="8"/>
  <c r="F113" i="8"/>
  <c r="N113" i="8"/>
  <c r="O113" i="8"/>
  <c r="F105" i="8"/>
  <c r="O105" i="8"/>
  <c r="F97" i="8"/>
  <c r="N97" i="8"/>
  <c r="O97" i="8"/>
  <c r="F89" i="8"/>
  <c r="N89" i="8"/>
  <c r="O89" i="8"/>
  <c r="F81" i="8"/>
  <c r="O81" i="8"/>
  <c r="F73" i="8"/>
  <c r="O73" i="8"/>
  <c r="F65" i="8"/>
  <c r="O65" i="8"/>
  <c r="F57" i="8"/>
  <c r="O57" i="8"/>
  <c r="F49" i="8"/>
  <c r="O49" i="8"/>
  <c r="F41" i="8"/>
  <c r="O41" i="8"/>
  <c r="L41" i="8"/>
  <c r="S33" i="8"/>
  <c r="N33" i="8"/>
  <c r="O33" i="8"/>
  <c r="N24" i="8"/>
  <c r="O24" i="8"/>
  <c r="F24" i="8"/>
  <c r="L24" i="8"/>
  <c r="F16" i="8"/>
  <c r="N16" i="8"/>
  <c r="O16" i="8"/>
  <c r="F12" i="8"/>
  <c r="N12" i="8"/>
  <c r="O12" i="8"/>
  <c r="L12" i="8"/>
  <c r="N6" i="8"/>
  <c r="O6" i="8"/>
  <c r="N88" i="8"/>
  <c r="O88" i="8"/>
  <c r="O108" i="8"/>
  <c r="O92" i="8"/>
  <c r="O76" i="8"/>
  <c r="O60" i="8"/>
  <c r="O44" i="8"/>
  <c r="N30" i="8"/>
  <c r="O30" i="8"/>
  <c r="N14" i="8"/>
  <c r="O14" i="8"/>
  <c r="O104" i="8"/>
  <c r="O80" i="8"/>
  <c r="O64" i="8"/>
  <c r="O48" i="8"/>
  <c r="N34" i="8"/>
  <c r="O34" i="8"/>
  <c r="N20" i="8"/>
  <c r="O20" i="8"/>
  <c r="F102" i="8"/>
  <c r="O102" i="8"/>
  <c r="F86" i="8"/>
  <c r="O86" i="8"/>
  <c r="F70" i="8"/>
  <c r="O70" i="8"/>
  <c r="F54" i="8"/>
  <c r="O54" i="8"/>
  <c r="F38" i="8"/>
  <c r="O38" i="8"/>
  <c r="N25" i="8"/>
  <c r="O25" i="8"/>
  <c r="F114" i="8"/>
  <c r="O114" i="8"/>
  <c r="L114" i="8"/>
  <c r="S114" i="8"/>
  <c r="F82" i="8"/>
  <c r="O82" i="8"/>
  <c r="L82" i="8"/>
  <c r="S82" i="8"/>
  <c r="F50" i="8"/>
  <c r="O50" i="8"/>
  <c r="L50" i="8"/>
  <c r="S50" i="8"/>
  <c r="N21" i="8"/>
  <c r="O21" i="8"/>
  <c r="F21" i="8"/>
  <c r="L21" i="8"/>
  <c r="F109" i="8"/>
  <c r="O109" i="8"/>
  <c r="F101" i="8"/>
  <c r="O101" i="8"/>
  <c r="F93" i="8"/>
  <c r="O93" i="8"/>
  <c r="F85" i="8"/>
  <c r="O85" i="8"/>
  <c r="F77" i="8"/>
  <c r="O77" i="8"/>
  <c r="F69" i="8"/>
  <c r="O69" i="8"/>
  <c r="F61" i="8"/>
  <c r="O61" i="8"/>
  <c r="F53" i="8"/>
  <c r="O53" i="8"/>
  <c r="F45" i="8"/>
  <c r="O45" i="8"/>
  <c r="F37" i="8"/>
  <c r="O37" i="8"/>
  <c r="L37" i="8"/>
  <c r="F29" i="8"/>
  <c r="N29" i="8"/>
  <c r="O29" i="8"/>
  <c r="N19" i="8"/>
  <c r="O19" i="8"/>
  <c r="F19" i="8"/>
  <c r="L19" i="8"/>
  <c r="F13" i="8"/>
  <c r="N13" i="8"/>
  <c r="O13" i="8"/>
  <c r="L13" i="8"/>
  <c r="N7" i="8"/>
  <c r="O7" i="8"/>
  <c r="F18" i="8"/>
  <c r="L18" i="8"/>
  <c r="F25" i="8"/>
  <c r="L25" i="8"/>
  <c r="K6" i="7"/>
  <c r="K10" i="7"/>
  <c r="K42" i="7"/>
  <c r="K50" i="7"/>
  <c r="K54" i="7"/>
  <c r="K58" i="7"/>
  <c r="K62" i="7"/>
  <c r="K66" i="7"/>
  <c r="K70" i="7"/>
  <c r="K74" i="7"/>
  <c r="K78" i="7"/>
  <c r="K82" i="7"/>
  <c r="K86" i="7"/>
  <c r="K90" i="7"/>
  <c r="K94" i="7"/>
  <c r="K98" i="7"/>
  <c r="K102" i="7"/>
  <c r="K106" i="7"/>
  <c r="K110" i="7"/>
  <c r="K4" i="7"/>
  <c r="K12" i="7"/>
  <c r="K20" i="7"/>
  <c r="K28" i="7"/>
  <c r="K36" i="7"/>
  <c r="K44" i="7"/>
  <c r="K51" i="7"/>
  <c r="K55" i="7"/>
  <c r="K59" i="7"/>
  <c r="K63" i="7"/>
  <c r="K67" i="7"/>
  <c r="K71" i="7"/>
  <c r="K75" i="7"/>
  <c r="K79" i="7"/>
  <c r="K83" i="7"/>
  <c r="K87" i="7"/>
  <c r="K91" i="7"/>
  <c r="K95" i="7"/>
  <c r="K99" i="7"/>
  <c r="K103" i="7"/>
  <c r="K107" i="7"/>
  <c r="K111" i="7"/>
  <c r="K49" i="7"/>
  <c r="K45" i="7"/>
  <c r="K41" i="7"/>
  <c r="K37" i="7"/>
  <c r="K33" i="7"/>
  <c r="K29" i="7"/>
  <c r="K25" i="7"/>
  <c r="K21" i="7"/>
  <c r="K17" i="7"/>
  <c r="K13" i="7"/>
  <c r="K9" i="7"/>
  <c r="K5" i="7"/>
  <c r="K47" i="7"/>
  <c r="K43" i="7"/>
  <c r="K39" i="7"/>
  <c r="K35" i="7"/>
  <c r="K31" i="7"/>
  <c r="K27" i="7"/>
  <c r="K23" i="7"/>
  <c r="K19" i="7"/>
  <c r="K15" i="7"/>
  <c r="K11" i="7"/>
  <c r="K7" i="7"/>
  <c r="K3" i="7"/>
  <c r="M3" i="7" s="1"/>
  <c r="K38" i="7"/>
  <c r="K46" i="7"/>
  <c r="K52" i="7"/>
  <c r="K56" i="7"/>
  <c r="K60" i="7"/>
  <c r="K64" i="7"/>
  <c r="K68" i="7"/>
  <c r="K72" i="7"/>
  <c r="K76" i="7"/>
  <c r="K80" i="7"/>
  <c r="K84" i="7"/>
  <c r="K88" i="7"/>
  <c r="K92" i="7"/>
  <c r="K96" i="7"/>
  <c r="K100" i="7"/>
  <c r="K104" i="7"/>
  <c r="K108" i="7"/>
  <c r="K112" i="7"/>
  <c r="K8" i="7"/>
  <c r="K16" i="7"/>
  <c r="K24" i="7"/>
  <c r="K32" i="7"/>
  <c r="K40" i="7"/>
  <c r="K48" i="7"/>
  <c r="K53" i="7"/>
  <c r="K57" i="7"/>
  <c r="K61" i="7"/>
  <c r="K65" i="7"/>
  <c r="K69" i="7"/>
  <c r="K73" i="7"/>
  <c r="K77" i="7"/>
  <c r="K81" i="7"/>
  <c r="K85" i="7"/>
  <c r="K89" i="7"/>
  <c r="K93" i="7"/>
  <c r="K97" i="7"/>
  <c r="K101" i="7"/>
  <c r="K105" i="7"/>
  <c r="K109" i="7"/>
  <c r="D5" i="7"/>
  <c r="D111" i="7"/>
  <c r="D109" i="7"/>
  <c r="D107" i="7"/>
  <c r="D105" i="7"/>
  <c r="D103" i="7"/>
  <c r="D101" i="7"/>
  <c r="D99" i="7"/>
  <c r="D97" i="7"/>
  <c r="D95" i="7"/>
  <c r="D93" i="7"/>
  <c r="D91" i="7"/>
  <c r="D89" i="7"/>
  <c r="D87" i="7"/>
  <c r="D85" i="7"/>
  <c r="D83" i="7"/>
  <c r="D81" i="7"/>
  <c r="D79" i="7"/>
  <c r="D77" i="7"/>
  <c r="D75" i="7"/>
  <c r="D73" i="7"/>
  <c r="D71" i="7"/>
  <c r="D69" i="7"/>
  <c r="D67" i="7"/>
  <c r="D65" i="7"/>
  <c r="D63" i="7"/>
  <c r="D61" i="7"/>
  <c r="D59" i="7"/>
  <c r="D57" i="7"/>
  <c r="D55" i="7"/>
  <c r="D53" i="7"/>
  <c r="D51" i="7"/>
  <c r="D49" i="7"/>
  <c r="D47" i="7"/>
  <c r="D45" i="7"/>
  <c r="D43" i="7"/>
  <c r="D41" i="7"/>
  <c r="D39" i="7"/>
  <c r="D37" i="7"/>
  <c r="D35" i="7"/>
  <c r="D33" i="7"/>
  <c r="D31" i="7"/>
  <c r="D29" i="7"/>
  <c r="D27" i="7"/>
  <c r="D25" i="7"/>
  <c r="D23" i="7"/>
  <c r="D21" i="7"/>
  <c r="D19" i="7"/>
  <c r="D17" i="7"/>
  <c r="D15" i="7"/>
  <c r="D13" i="7"/>
  <c r="D11" i="7"/>
  <c r="D9" i="7"/>
  <c r="D7" i="7"/>
  <c r="D3" i="7"/>
  <c r="F3" i="7" s="1"/>
  <c r="D112" i="7"/>
  <c r="D110" i="7"/>
  <c r="D108" i="7"/>
  <c r="D106" i="7"/>
  <c r="D104" i="7"/>
  <c r="D102" i="7"/>
  <c r="D100" i="7"/>
  <c r="D98" i="7"/>
  <c r="D96" i="7"/>
  <c r="D94" i="7"/>
  <c r="D92" i="7"/>
  <c r="D90" i="7"/>
  <c r="D88" i="7"/>
  <c r="D86" i="7"/>
  <c r="D84" i="7"/>
  <c r="D82" i="7"/>
  <c r="D80" i="7"/>
  <c r="D78" i="7"/>
  <c r="D76" i="7"/>
  <c r="D74" i="7"/>
  <c r="D72" i="7"/>
  <c r="D70" i="7"/>
  <c r="D68" i="7"/>
  <c r="D66" i="7"/>
  <c r="D64" i="7"/>
  <c r="D62" i="7"/>
  <c r="D60" i="7"/>
  <c r="D58" i="7"/>
  <c r="D56" i="7"/>
  <c r="D54" i="7"/>
  <c r="D52" i="7"/>
  <c r="D50" i="7"/>
  <c r="D48" i="7"/>
  <c r="D46" i="7"/>
  <c r="D44" i="7"/>
  <c r="D42" i="7"/>
  <c r="D40" i="7"/>
  <c r="D38" i="7"/>
  <c r="D36" i="7"/>
  <c r="D34" i="7"/>
  <c r="D32" i="7"/>
  <c r="D30" i="7"/>
  <c r="D28" i="7"/>
  <c r="D26" i="7"/>
  <c r="D24" i="7"/>
  <c r="D22" i="7"/>
  <c r="D20" i="7"/>
  <c r="D18" i="7"/>
  <c r="D16" i="7"/>
  <c r="D14" i="7"/>
  <c r="D12" i="7"/>
  <c r="D10" i="7"/>
  <c r="D8" i="7"/>
  <c r="D6" i="7"/>
  <c r="D4" i="7"/>
  <c r="H112" i="12"/>
  <c r="Z112" i="12" s="1"/>
  <c r="AA112" i="12" s="1"/>
  <c r="I112" i="12"/>
  <c r="U112" i="12"/>
  <c r="AC112" i="12"/>
  <c r="Y112" i="12"/>
  <c r="J112" i="12"/>
  <c r="O112" i="12" s="1"/>
  <c r="BO112" i="12" s="1"/>
  <c r="H108" i="12"/>
  <c r="Z108" i="12" s="1"/>
  <c r="AA108" i="12" s="1"/>
  <c r="I108" i="12"/>
  <c r="U108" i="12"/>
  <c r="AC108" i="12"/>
  <c r="Y108" i="12"/>
  <c r="J108" i="12"/>
  <c r="O108" i="12" s="1"/>
  <c r="BO108" i="12" s="1"/>
  <c r="H104" i="12"/>
  <c r="Z104" i="12" s="1"/>
  <c r="AA104" i="12" s="1"/>
  <c r="I104" i="12"/>
  <c r="U104" i="12"/>
  <c r="AC104" i="12"/>
  <c r="Y104" i="12"/>
  <c r="J104" i="12"/>
  <c r="O104" i="12" s="1"/>
  <c r="BO104" i="12" s="1"/>
  <c r="H100" i="12"/>
  <c r="Z100" i="12" s="1"/>
  <c r="AA100" i="12" s="1"/>
  <c r="I100" i="12"/>
  <c r="U100" i="12"/>
  <c r="AC100" i="12"/>
  <c r="Y100" i="12"/>
  <c r="J100" i="12"/>
  <c r="O100" i="12" s="1"/>
  <c r="BO100" i="12" s="1"/>
  <c r="I96" i="12"/>
  <c r="Y96" i="12"/>
  <c r="H96" i="12"/>
  <c r="Z96" i="12" s="1"/>
  <c r="AA96" i="12" s="1"/>
  <c r="AC96" i="12"/>
  <c r="U96" i="12"/>
  <c r="J96" i="12"/>
  <c r="O96" i="12" s="1"/>
  <c r="BO96" i="12" s="1"/>
  <c r="I92" i="12"/>
  <c r="Y92" i="12"/>
  <c r="H92" i="12"/>
  <c r="Z92" i="12" s="1"/>
  <c r="AA92" i="12" s="1"/>
  <c r="AC92" i="12"/>
  <c r="U92" i="12"/>
  <c r="J92" i="12"/>
  <c r="O92" i="12" s="1"/>
  <c r="BO92" i="12" s="1"/>
  <c r="I88" i="12"/>
  <c r="Y88" i="12"/>
  <c r="H88" i="12"/>
  <c r="Z88" i="12" s="1"/>
  <c r="AA88" i="12" s="1"/>
  <c r="AC88" i="12"/>
  <c r="U88" i="12"/>
  <c r="J88" i="12"/>
  <c r="O88" i="12" s="1"/>
  <c r="BO88" i="12" s="1"/>
  <c r="I84" i="12"/>
  <c r="Y84" i="12"/>
  <c r="H84" i="12"/>
  <c r="Z84" i="12" s="1"/>
  <c r="AA84" i="12" s="1"/>
  <c r="AC84" i="12"/>
  <c r="U84" i="12"/>
  <c r="J84" i="12"/>
  <c r="O84" i="12" s="1"/>
  <c r="BO84" i="12" s="1"/>
  <c r="H81" i="12"/>
  <c r="Z81" i="12" s="1"/>
  <c r="AA81" i="12" s="1"/>
  <c r="J81" i="12"/>
  <c r="O81" i="12" s="1"/>
  <c r="BO81" i="12" s="1"/>
  <c r="U81" i="12"/>
  <c r="AC81" i="12"/>
  <c r="I81" i="12"/>
  <c r="Y81" i="12"/>
  <c r="H77" i="12"/>
  <c r="Z77" i="12" s="1"/>
  <c r="AA77" i="12" s="1"/>
  <c r="J77" i="12"/>
  <c r="O77" i="12" s="1"/>
  <c r="BO77" i="12" s="1"/>
  <c r="U77" i="12"/>
  <c r="AC77" i="12"/>
  <c r="I77" i="12"/>
  <c r="Y77" i="12"/>
  <c r="I113" i="12"/>
  <c r="Y113" i="12"/>
  <c r="H113" i="12"/>
  <c r="Z113" i="12" s="1"/>
  <c r="AA113" i="12" s="1"/>
  <c r="J113" i="12"/>
  <c r="O113" i="12" s="1"/>
  <c r="BO113" i="12" s="1"/>
  <c r="U113" i="12"/>
  <c r="AC113" i="12"/>
  <c r="I109" i="12"/>
  <c r="Y109" i="12"/>
  <c r="H109" i="12"/>
  <c r="Z109" i="12" s="1"/>
  <c r="AA109" i="12" s="1"/>
  <c r="J109" i="12"/>
  <c r="O109" i="12" s="1"/>
  <c r="BO109" i="12" s="1"/>
  <c r="U109" i="12"/>
  <c r="AC109" i="12"/>
  <c r="I105" i="12"/>
  <c r="Y105" i="12"/>
  <c r="H105" i="12"/>
  <c r="Z105" i="12" s="1"/>
  <c r="AA105" i="12" s="1"/>
  <c r="J105" i="12"/>
  <c r="O105" i="12" s="1"/>
  <c r="BO105" i="12" s="1"/>
  <c r="U105" i="12"/>
  <c r="AC105" i="12"/>
  <c r="I101" i="12"/>
  <c r="Y101" i="12"/>
  <c r="H101" i="12"/>
  <c r="Z101" i="12" s="1"/>
  <c r="AA101" i="12" s="1"/>
  <c r="J101" i="12"/>
  <c r="O101" i="12" s="1"/>
  <c r="BO101" i="12" s="1"/>
  <c r="U101" i="12"/>
  <c r="AC101" i="12"/>
  <c r="I97" i="12"/>
  <c r="Y97" i="12"/>
  <c r="H97" i="12"/>
  <c r="Z97" i="12" s="1"/>
  <c r="AA97" i="12" s="1"/>
  <c r="J97" i="12"/>
  <c r="O97" i="12" s="1"/>
  <c r="BO97" i="12" s="1"/>
  <c r="U97" i="12"/>
  <c r="AC97" i="12"/>
  <c r="I93" i="12"/>
  <c r="U93" i="12"/>
  <c r="AC93" i="12"/>
  <c r="H93" i="12"/>
  <c r="Z93" i="12" s="1"/>
  <c r="AA93" i="12" s="1"/>
  <c r="J93" i="12"/>
  <c r="O93" i="12" s="1"/>
  <c r="BO93" i="12" s="1"/>
  <c r="Y93" i="12"/>
  <c r="I89" i="12"/>
  <c r="U89" i="12"/>
  <c r="AC89" i="12"/>
  <c r="H89" i="12"/>
  <c r="Z89" i="12" s="1"/>
  <c r="AA89" i="12" s="1"/>
  <c r="J89" i="12"/>
  <c r="O89" i="12" s="1"/>
  <c r="BO89" i="12" s="1"/>
  <c r="Y89" i="12"/>
  <c r="I85" i="12"/>
  <c r="U85" i="12"/>
  <c r="AC85" i="12"/>
  <c r="H85" i="12"/>
  <c r="Z85" i="12" s="1"/>
  <c r="AA85" i="12" s="1"/>
  <c r="J85" i="12"/>
  <c r="O85" i="12" s="1"/>
  <c r="BO85" i="12" s="1"/>
  <c r="Y85" i="12"/>
  <c r="H80" i="12"/>
  <c r="Z80" i="12" s="1"/>
  <c r="AA80" i="12" s="1"/>
  <c r="Y80" i="12"/>
  <c r="I80" i="12"/>
  <c r="U80" i="12"/>
  <c r="AC80" i="12"/>
  <c r="J80" i="12"/>
  <c r="O80" i="12" s="1"/>
  <c r="BO80" i="12" s="1"/>
  <c r="H75" i="12"/>
  <c r="Z75" i="12" s="1"/>
  <c r="AA75" i="12" s="1"/>
  <c r="J75" i="12"/>
  <c r="O75" i="12" s="1"/>
  <c r="BO75" i="12" s="1"/>
  <c r="U75" i="12"/>
  <c r="AC75" i="12"/>
  <c r="I75" i="12"/>
  <c r="Y75" i="12"/>
  <c r="H71" i="12"/>
  <c r="Z71" i="12" s="1"/>
  <c r="AA71" i="12" s="1"/>
  <c r="J71" i="12"/>
  <c r="O71" i="12" s="1"/>
  <c r="BO71" i="12" s="1"/>
  <c r="U71" i="12"/>
  <c r="AC71" i="12"/>
  <c r="I71" i="12"/>
  <c r="Y71" i="12"/>
  <c r="H67" i="12"/>
  <c r="Z67" i="12" s="1"/>
  <c r="AA67" i="12" s="1"/>
  <c r="J67" i="12"/>
  <c r="O67" i="12" s="1"/>
  <c r="BO67" i="12" s="1"/>
  <c r="U67" i="12"/>
  <c r="AC67" i="12"/>
  <c r="I67" i="12"/>
  <c r="Y67" i="12"/>
  <c r="H63" i="12"/>
  <c r="Z63" i="12" s="1"/>
  <c r="AA63" i="12" s="1"/>
  <c r="J63" i="12"/>
  <c r="O63" i="12" s="1"/>
  <c r="BO63" i="12" s="1"/>
  <c r="U63" i="12"/>
  <c r="AC63" i="12"/>
  <c r="I63" i="12"/>
  <c r="Y63" i="12"/>
  <c r="H58" i="12"/>
  <c r="Z58" i="12" s="1"/>
  <c r="AA58" i="12" s="1"/>
  <c r="J58" i="12"/>
  <c r="O58" i="12" s="1"/>
  <c r="BO58" i="12" s="1"/>
  <c r="Y58" i="12"/>
  <c r="I58" i="12"/>
  <c r="U58" i="12"/>
  <c r="AC58" i="12"/>
  <c r="I56" i="12"/>
  <c r="U56" i="12"/>
  <c r="AC56" i="12"/>
  <c r="Y56" i="12"/>
  <c r="J56" i="12"/>
  <c r="O56" i="12" s="1"/>
  <c r="BO56" i="12" s="1"/>
  <c r="H56" i="12"/>
  <c r="Z56" i="12" s="1"/>
  <c r="AA56" i="12" s="1"/>
  <c r="I54" i="12"/>
  <c r="U54" i="12"/>
  <c r="AC54" i="12"/>
  <c r="Y54" i="12"/>
  <c r="J54" i="12"/>
  <c r="O54" i="12" s="1"/>
  <c r="BO54" i="12" s="1"/>
  <c r="H54" i="12"/>
  <c r="Z54" i="12" s="1"/>
  <c r="AA54" i="12" s="1"/>
  <c r="I51" i="12"/>
  <c r="U51" i="12"/>
  <c r="AC51" i="12"/>
  <c r="Y51" i="12"/>
  <c r="H51" i="12"/>
  <c r="Z51" i="12" s="1"/>
  <c r="AA51" i="12" s="1"/>
  <c r="J51" i="12"/>
  <c r="O51" i="12" s="1"/>
  <c r="BO51" i="12" s="1"/>
  <c r="H49" i="12"/>
  <c r="Z49" i="12" s="1"/>
  <c r="AA49" i="12" s="1"/>
  <c r="I49" i="12"/>
  <c r="U49" i="12"/>
  <c r="AC49" i="12"/>
  <c r="Y49" i="12"/>
  <c r="J49" i="12"/>
  <c r="O49" i="12" s="1"/>
  <c r="BO49" i="12" s="1"/>
  <c r="H47" i="12"/>
  <c r="Z47" i="12" s="1"/>
  <c r="AA47" i="12" s="1"/>
  <c r="I47" i="12"/>
  <c r="U47" i="12"/>
  <c r="AC47" i="12"/>
  <c r="Y47" i="12"/>
  <c r="J47" i="12"/>
  <c r="O47" i="12" s="1"/>
  <c r="BO47" i="12" s="1"/>
  <c r="H43" i="12"/>
  <c r="Z43" i="12" s="1"/>
  <c r="AA43" i="12" s="1"/>
  <c r="J43" i="12"/>
  <c r="O43" i="12" s="1"/>
  <c r="BO43" i="12" s="1"/>
  <c r="AC43" i="12"/>
  <c r="I43" i="12"/>
  <c r="Y43" i="12"/>
  <c r="U43" i="12"/>
  <c r="H39" i="12"/>
  <c r="Z39" i="12" s="1"/>
  <c r="AA39" i="12" s="1"/>
  <c r="J39" i="12"/>
  <c r="O39" i="12" s="1"/>
  <c r="BO39" i="12" s="1"/>
  <c r="AC39" i="12"/>
  <c r="I39" i="12"/>
  <c r="Y39" i="12"/>
  <c r="U39" i="12"/>
  <c r="H35" i="12"/>
  <c r="Z35" i="12" s="1"/>
  <c r="AA35" i="12" s="1"/>
  <c r="J35" i="12"/>
  <c r="O35" i="12" s="1"/>
  <c r="BO35" i="12" s="1"/>
  <c r="AC35" i="12"/>
  <c r="I35" i="12"/>
  <c r="Y35" i="12"/>
  <c r="U35" i="12"/>
  <c r="H33" i="12"/>
  <c r="Z33" i="12" s="1"/>
  <c r="AA33" i="12" s="1"/>
  <c r="J33" i="12"/>
  <c r="O33" i="12" s="1"/>
  <c r="BO33" i="12" s="1"/>
  <c r="AC33" i="12"/>
  <c r="I33" i="12"/>
  <c r="Y33" i="12"/>
  <c r="U33" i="12"/>
  <c r="H31" i="12"/>
  <c r="Z31" i="12" s="1"/>
  <c r="AA31" i="12" s="1"/>
  <c r="J31" i="12"/>
  <c r="O31" i="12" s="1"/>
  <c r="BO31" i="12" s="1"/>
  <c r="AC31" i="12"/>
  <c r="I31" i="12"/>
  <c r="Y31" i="12"/>
  <c r="U31" i="12"/>
  <c r="H28" i="12"/>
  <c r="Z28" i="12" s="1"/>
  <c r="AA28" i="12" s="1"/>
  <c r="I28" i="12"/>
  <c r="Y28" i="12"/>
  <c r="AC28" i="12"/>
  <c r="J28" i="12"/>
  <c r="O28" i="12" s="1"/>
  <c r="BO28" i="12" s="1"/>
  <c r="U28" i="12"/>
  <c r="H25" i="12"/>
  <c r="Z25" i="12" s="1"/>
  <c r="AA25" i="12" s="1"/>
  <c r="J25" i="12"/>
  <c r="O25" i="12" s="1"/>
  <c r="BO25" i="12" s="1"/>
  <c r="AC25" i="12"/>
  <c r="I25" i="12"/>
  <c r="Y25" i="12"/>
  <c r="U25" i="12"/>
  <c r="H20" i="12"/>
  <c r="Z20" i="12" s="1"/>
  <c r="AA20" i="12" s="1"/>
  <c r="Y20" i="12"/>
  <c r="AC20" i="12"/>
  <c r="U20" i="12"/>
  <c r="H16" i="12"/>
  <c r="Z16" i="12" s="1"/>
  <c r="AA16" i="12" s="1"/>
  <c r="Y16" i="12"/>
  <c r="AC16" i="12"/>
  <c r="U16" i="12"/>
  <c r="H13" i="12"/>
  <c r="Z13" i="12" s="1"/>
  <c r="AA13" i="12" s="1"/>
  <c r="AC13" i="12"/>
  <c r="Y13" i="12"/>
  <c r="U13" i="12"/>
  <c r="H11" i="12"/>
  <c r="Z11" i="12" s="1"/>
  <c r="AA11" i="12" s="1"/>
  <c r="Y11" i="12"/>
  <c r="AC11" i="12"/>
  <c r="U11" i="12"/>
  <c r="H74" i="12"/>
  <c r="Z74" i="12" s="1"/>
  <c r="AA74" i="12" s="1"/>
  <c r="Y74" i="12"/>
  <c r="I74" i="12"/>
  <c r="U74" i="12"/>
  <c r="AC74" i="12"/>
  <c r="J74" i="12"/>
  <c r="O74" i="12" s="1"/>
  <c r="BO74" i="12" s="1"/>
  <c r="H70" i="12"/>
  <c r="Z70" i="12" s="1"/>
  <c r="AA70" i="12" s="1"/>
  <c r="Y70" i="12"/>
  <c r="I70" i="12"/>
  <c r="U70" i="12"/>
  <c r="AC70" i="12"/>
  <c r="J70" i="12"/>
  <c r="O70" i="12" s="1"/>
  <c r="BO70" i="12" s="1"/>
  <c r="H66" i="12"/>
  <c r="Z66" i="12" s="1"/>
  <c r="AA66" i="12" s="1"/>
  <c r="Y66" i="12"/>
  <c r="I66" i="12"/>
  <c r="U66" i="12"/>
  <c r="AC66" i="12"/>
  <c r="J66" i="12"/>
  <c r="O66" i="12" s="1"/>
  <c r="BO66" i="12" s="1"/>
  <c r="H62" i="12"/>
  <c r="Z62" i="12" s="1"/>
  <c r="AA62" i="12" s="1"/>
  <c r="Y62" i="12"/>
  <c r="I62" i="12"/>
  <c r="U62" i="12"/>
  <c r="AC62" i="12"/>
  <c r="J62" i="12"/>
  <c r="O62" i="12" s="1"/>
  <c r="BO62" i="12" s="1"/>
  <c r="I59" i="12"/>
  <c r="U59" i="12"/>
  <c r="AC59" i="12"/>
  <c r="H59" i="12"/>
  <c r="Z59" i="12" s="1"/>
  <c r="AA59" i="12" s="1"/>
  <c r="J59" i="12"/>
  <c r="O59" i="12" s="1"/>
  <c r="BO59" i="12" s="1"/>
  <c r="Y59" i="12"/>
  <c r="I45" i="12"/>
  <c r="Y45" i="12"/>
  <c r="H45" i="12"/>
  <c r="Z45" i="12" s="1"/>
  <c r="AA45" i="12" s="1"/>
  <c r="J45" i="12"/>
  <c r="O45" i="12" s="1"/>
  <c r="BO45" i="12" s="1"/>
  <c r="AC45" i="12"/>
  <c r="U45" i="12"/>
  <c r="I41" i="12"/>
  <c r="Y41" i="12"/>
  <c r="H41" i="12"/>
  <c r="Z41" i="12" s="1"/>
  <c r="AA41" i="12" s="1"/>
  <c r="J41" i="12"/>
  <c r="O41" i="12" s="1"/>
  <c r="BO41" i="12" s="1"/>
  <c r="AC41" i="12"/>
  <c r="U41" i="12"/>
  <c r="I37" i="12"/>
  <c r="Y37" i="12"/>
  <c r="H37" i="12"/>
  <c r="Z37" i="12" s="1"/>
  <c r="AA37" i="12" s="1"/>
  <c r="J37" i="12"/>
  <c r="O37" i="12" s="1"/>
  <c r="BO37" i="12" s="1"/>
  <c r="AC37" i="12"/>
  <c r="U37" i="12"/>
  <c r="H29" i="12"/>
  <c r="Z29" i="12" s="1"/>
  <c r="AA29" i="12" s="1"/>
  <c r="AC29" i="12"/>
  <c r="I29" i="12"/>
  <c r="Y29" i="12"/>
  <c r="U29" i="12"/>
  <c r="J29" i="12"/>
  <c r="O29" i="12" s="1"/>
  <c r="BO29" i="12" s="1"/>
  <c r="H23" i="12"/>
  <c r="Z23" i="12" s="1"/>
  <c r="AA23" i="12" s="1"/>
  <c r="AC23" i="12"/>
  <c r="Y23" i="12"/>
  <c r="U23" i="12"/>
  <c r="Y21" i="12"/>
  <c r="H21" i="12"/>
  <c r="Z21" i="12" s="1"/>
  <c r="AA21" i="12" s="1"/>
  <c r="AC21" i="12"/>
  <c r="U21" i="12"/>
  <c r="Y17" i="12"/>
  <c r="H17" i="12"/>
  <c r="Z17" i="12" s="1"/>
  <c r="AA17" i="12" s="1"/>
  <c r="AC17" i="12"/>
  <c r="U17" i="12"/>
  <c r="H10" i="12"/>
  <c r="Z10" i="12" s="1"/>
  <c r="AA10" i="12" s="1"/>
  <c r="Y10" i="12"/>
  <c r="U10" i="12"/>
  <c r="AC10" i="12"/>
  <c r="O1" i="7"/>
  <c r="O3" i="7" s="1"/>
  <c r="C34" i="12"/>
  <c r="AY112" i="12" s="1"/>
  <c r="H114" i="12"/>
  <c r="Z114" i="12" s="1"/>
  <c r="AA114" i="12" s="1"/>
  <c r="I114" i="12"/>
  <c r="U114" i="12"/>
  <c r="AC114" i="12"/>
  <c r="Y114" i="12"/>
  <c r="J114" i="12"/>
  <c r="O114" i="12" s="1"/>
  <c r="BO114" i="12" s="1"/>
  <c r="H110" i="12"/>
  <c r="Z110" i="12" s="1"/>
  <c r="AA110" i="12" s="1"/>
  <c r="I110" i="12"/>
  <c r="U110" i="12"/>
  <c r="AC110" i="12"/>
  <c r="Y110" i="12"/>
  <c r="J110" i="12"/>
  <c r="O110" i="12" s="1"/>
  <c r="BO110" i="12" s="1"/>
  <c r="H106" i="12"/>
  <c r="Z106" i="12" s="1"/>
  <c r="AA106" i="12" s="1"/>
  <c r="I106" i="12"/>
  <c r="U106" i="12"/>
  <c r="AC106" i="12"/>
  <c r="Y106" i="12"/>
  <c r="J106" i="12"/>
  <c r="O106" i="12" s="1"/>
  <c r="BO106" i="12" s="1"/>
  <c r="H102" i="12"/>
  <c r="Z102" i="12" s="1"/>
  <c r="AA102" i="12" s="1"/>
  <c r="I102" i="12"/>
  <c r="U102" i="12"/>
  <c r="AC102" i="12"/>
  <c r="Y102" i="12"/>
  <c r="J102" i="12"/>
  <c r="O102" i="12" s="1"/>
  <c r="BO102" i="12" s="1"/>
  <c r="H98" i="12"/>
  <c r="Z98" i="12" s="1"/>
  <c r="AA98" i="12" s="1"/>
  <c r="I98" i="12"/>
  <c r="U98" i="12"/>
  <c r="AC98" i="12"/>
  <c r="Y98" i="12"/>
  <c r="AY98" i="12"/>
  <c r="J98" i="12"/>
  <c r="O98" i="12" s="1"/>
  <c r="BO98" i="12" s="1"/>
  <c r="H95" i="12"/>
  <c r="Z95" i="12" s="1"/>
  <c r="AA95" i="12" s="1"/>
  <c r="J95" i="12"/>
  <c r="O95" i="12" s="1"/>
  <c r="BO95" i="12" s="1"/>
  <c r="Y95" i="12"/>
  <c r="I95" i="12"/>
  <c r="U95" i="12"/>
  <c r="AC95" i="12"/>
  <c r="H91" i="12"/>
  <c r="Z91" i="12" s="1"/>
  <c r="AA91" i="12" s="1"/>
  <c r="J91" i="12"/>
  <c r="O91" i="12" s="1"/>
  <c r="BO91" i="12" s="1"/>
  <c r="Y91" i="12"/>
  <c r="I91" i="12"/>
  <c r="U91" i="12"/>
  <c r="AC91" i="12"/>
  <c r="H87" i="12"/>
  <c r="Z87" i="12" s="1"/>
  <c r="AA87" i="12" s="1"/>
  <c r="J87" i="12"/>
  <c r="O87" i="12" s="1"/>
  <c r="BO87" i="12" s="1"/>
  <c r="Y87" i="12"/>
  <c r="I87" i="12"/>
  <c r="U87" i="12"/>
  <c r="AC87" i="12"/>
  <c r="H83" i="12"/>
  <c r="Z83" i="12" s="1"/>
  <c r="AA83" i="12" s="1"/>
  <c r="J83" i="12"/>
  <c r="O83" i="12" s="1"/>
  <c r="BO83" i="12" s="1"/>
  <c r="Y83" i="12"/>
  <c r="I83" i="12"/>
  <c r="U83" i="12"/>
  <c r="AC83" i="12"/>
  <c r="H79" i="12"/>
  <c r="Z79" i="12" s="1"/>
  <c r="AA79" i="12" s="1"/>
  <c r="J79" i="12"/>
  <c r="O79" i="12" s="1"/>
  <c r="BO79" i="12" s="1"/>
  <c r="U79" i="12"/>
  <c r="AC79" i="12"/>
  <c r="I79" i="12"/>
  <c r="Y79" i="12"/>
  <c r="I115" i="12"/>
  <c r="K115" i="12"/>
  <c r="S115" i="12"/>
  <c r="U115" i="12"/>
  <c r="W115" i="12"/>
  <c r="Y115" i="12"/>
  <c r="AA115" i="12"/>
  <c r="AC115" i="12"/>
  <c r="AE115" i="12"/>
  <c r="AG115" i="12"/>
  <c r="AI115" i="12"/>
  <c r="AK115" i="12"/>
  <c r="AM115" i="12"/>
  <c r="AQ115" i="12"/>
  <c r="AS115" i="12"/>
  <c r="AU115" i="12"/>
  <c r="AW115" i="12"/>
  <c r="AY115" i="12"/>
  <c r="BA115" i="12"/>
  <c r="BC115" i="12"/>
  <c r="BE115" i="12"/>
  <c r="BG115" i="12"/>
  <c r="BI115" i="12"/>
  <c r="BK115" i="12"/>
  <c r="H115" i="12"/>
  <c r="J115" i="12"/>
  <c r="R115" i="12"/>
  <c r="V115" i="12"/>
  <c r="X115" i="12"/>
  <c r="Z115" i="12"/>
  <c r="AB115" i="12"/>
  <c r="AD115" i="12"/>
  <c r="AF115" i="12"/>
  <c r="AH115" i="12"/>
  <c r="AJ115" i="12"/>
  <c r="AL115" i="12"/>
  <c r="BT115" i="12"/>
  <c r="AP115" i="12"/>
  <c r="AR115" i="12"/>
  <c r="AT115" i="12"/>
  <c r="AV115" i="12"/>
  <c r="AX115" i="12"/>
  <c r="AZ115" i="12"/>
  <c r="BB115" i="12"/>
  <c r="BD115" i="12"/>
  <c r="BF115" i="12"/>
  <c r="BH115" i="12"/>
  <c r="BJ115" i="12"/>
  <c r="I111" i="12"/>
  <c r="Y111" i="12"/>
  <c r="H111" i="12"/>
  <c r="Z111" i="12" s="1"/>
  <c r="AA111" i="12" s="1"/>
  <c r="J111" i="12"/>
  <c r="O111" i="12" s="1"/>
  <c r="BO111" i="12" s="1"/>
  <c r="U111" i="12"/>
  <c r="AC111" i="12"/>
  <c r="I107" i="12"/>
  <c r="Y107" i="12"/>
  <c r="H107" i="12"/>
  <c r="Z107" i="12" s="1"/>
  <c r="AA107" i="12" s="1"/>
  <c r="J107" i="12"/>
  <c r="O107" i="12" s="1"/>
  <c r="BO107" i="12" s="1"/>
  <c r="U107" i="12"/>
  <c r="AC107" i="12"/>
  <c r="I103" i="12"/>
  <c r="Y103" i="12"/>
  <c r="H103" i="12"/>
  <c r="Z103" i="12" s="1"/>
  <c r="AA103" i="12" s="1"/>
  <c r="J103" i="12"/>
  <c r="O103" i="12" s="1"/>
  <c r="BO103" i="12" s="1"/>
  <c r="U103" i="12"/>
  <c r="AC103" i="12"/>
  <c r="I99" i="12"/>
  <c r="Y99" i="12"/>
  <c r="H99" i="12"/>
  <c r="Z99" i="12" s="1"/>
  <c r="AA99" i="12" s="1"/>
  <c r="J99" i="12"/>
  <c r="O99" i="12" s="1"/>
  <c r="BO99" i="12" s="1"/>
  <c r="U99" i="12"/>
  <c r="AC99" i="12"/>
  <c r="I94" i="12"/>
  <c r="AC94" i="12"/>
  <c r="U94" i="12"/>
  <c r="J94" i="12"/>
  <c r="O94" i="12" s="1"/>
  <c r="BO94" i="12" s="1"/>
  <c r="Y94" i="12"/>
  <c r="H94" i="12"/>
  <c r="Z94" i="12" s="1"/>
  <c r="AA94" i="12" s="1"/>
  <c r="I90" i="12"/>
  <c r="AC90" i="12"/>
  <c r="U90" i="12"/>
  <c r="J90" i="12"/>
  <c r="O90" i="12" s="1"/>
  <c r="BO90" i="12" s="1"/>
  <c r="Y90" i="12"/>
  <c r="H90" i="12"/>
  <c r="Z90" i="12" s="1"/>
  <c r="AA90" i="12" s="1"/>
  <c r="I86" i="12"/>
  <c r="AC86" i="12"/>
  <c r="U86" i="12"/>
  <c r="J86" i="12"/>
  <c r="O86" i="12" s="1"/>
  <c r="BO86" i="12" s="1"/>
  <c r="Y86" i="12"/>
  <c r="H86" i="12"/>
  <c r="Z86" i="12" s="1"/>
  <c r="AA86" i="12" s="1"/>
  <c r="H82" i="12"/>
  <c r="Z82" i="12" s="1"/>
  <c r="AA82" i="12" s="1"/>
  <c r="Y82" i="12"/>
  <c r="I82" i="12"/>
  <c r="U82" i="12"/>
  <c r="AC82" i="12"/>
  <c r="J82" i="12"/>
  <c r="O82" i="12" s="1"/>
  <c r="BO82" i="12" s="1"/>
  <c r="H78" i="12"/>
  <c r="Z78" i="12" s="1"/>
  <c r="AA78" i="12" s="1"/>
  <c r="Y78" i="12"/>
  <c r="I78" i="12"/>
  <c r="U78" i="12"/>
  <c r="AC78" i="12"/>
  <c r="J78" i="12"/>
  <c r="O78" i="12" s="1"/>
  <c r="BO78" i="12" s="1"/>
  <c r="H73" i="12"/>
  <c r="Z73" i="12" s="1"/>
  <c r="AA73" i="12" s="1"/>
  <c r="J73" i="12"/>
  <c r="O73" i="12" s="1"/>
  <c r="BO73" i="12" s="1"/>
  <c r="U73" i="12"/>
  <c r="AC73" i="12"/>
  <c r="I73" i="12"/>
  <c r="Y73" i="12"/>
  <c r="H69" i="12"/>
  <c r="Z69" i="12" s="1"/>
  <c r="AA69" i="12" s="1"/>
  <c r="J69" i="12"/>
  <c r="O69" i="12" s="1"/>
  <c r="BO69" i="12" s="1"/>
  <c r="U69" i="12"/>
  <c r="AC69" i="12"/>
  <c r="I69" i="12"/>
  <c r="Y69" i="12"/>
  <c r="H65" i="12"/>
  <c r="Z65" i="12" s="1"/>
  <c r="AA65" i="12" s="1"/>
  <c r="J65" i="12"/>
  <c r="O65" i="12" s="1"/>
  <c r="BO65" i="12" s="1"/>
  <c r="U65" i="12"/>
  <c r="AC65" i="12"/>
  <c r="I65" i="12"/>
  <c r="Y65" i="12"/>
  <c r="H61" i="12"/>
  <c r="Z61" i="12" s="1"/>
  <c r="AA61" i="12" s="1"/>
  <c r="J61" i="12"/>
  <c r="O61" i="12" s="1"/>
  <c r="BO61" i="12" s="1"/>
  <c r="U61" i="12"/>
  <c r="AC61" i="12"/>
  <c r="I61" i="12"/>
  <c r="Y61" i="12"/>
  <c r="I57" i="12"/>
  <c r="U57" i="12"/>
  <c r="AC57" i="12"/>
  <c r="Y57" i="12"/>
  <c r="J57" i="12"/>
  <c r="O57" i="12" s="1"/>
  <c r="BO57" i="12" s="1"/>
  <c r="H57" i="12"/>
  <c r="Z57" i="12" s="1"/>
  <c r="AA57" i="12" s="1"/>
  <c r="I55" i="12"/>
  <c r="U55" i="12"/>
  <c r="AC55" i="12"/>
  <c r="Y55" i="12"/>
  <c r="J55" i="12"/>
  <c r="O55" i="12" s="1"/>
  <c r="BO55" i="12" s="1"/>
  <c r="H55" i="12"/>
  <c r="Z55" i="12" s="1"/>
  <c r="AA55" i="12" s="1"/>
  <c r="I53" i="12"/>
  <c r="U53" i="12"/>
  <c r="AC53" i="12"/>
  <c r="Y53" i="12"/>
  <c r="J53" i="12"/>
  <c r="O53" i="12" s="1"/>
  <c r="BO53" i="12" s="1"/>
  <c r="H53" i="12"/>
  <c r="Z53" i="12" s="1"/>
  <c r="AA53" i="12" s="1"/>
  <c r="I50" i="12"/>
  <c r="U50" i="12"/>
  <c r="AC50" i="12"/>
  <c r="Y50" i="12"/>
  <c r="H50" i="12"/>
  <c r="Z50" i="12" s="1"/>
  <c r="AA50" i="12" s="1"/>
  <c r="J50" i="12"/>
  <c r="O50" i="12" s="1"/>
  <c r="BO50" i="12" s="1"/>
  <c r="H48" i="12"/>
  <c r="Z48" i="12" s="1"/>
  <c r="AA48" i="12" s="1"/>
  <c r="I48" i="12"/>
  <c r="U48" i="12"/>
  <c r="AC48" i="12"/>
  <c r="Y48" i="12"/>
  <c r="J48" i="12"/>
  <c r="O48" i="12" s="1"/>
  <c r="BO48" i="12" s="1"/>
  <c r="H46" i="12"/>
  <c r="Z46" i="12" s="1"/>
  <c r="AA46" i="12" s="1"/>
  <c r="I46" i="12"/>
  <c r="U46" i="12"/>
  <c r="AC46" i="12"/>
  <c r="Y46" i="12"/>
  <c r="J46" i="12"/>
  <c r="O46" i="12" s="1"/>
  <c r="BO46" i="12" s="1"/>
  <c r="H42" i="12"/>
  <c r="Z42" i="12" s="1"/>
  <c r="AA42" i="12" s="1"/>
  <c r="I42" i="12"/>
  <c r="Y42" i="12"/>
  <c r="AC42" i="12"/>
  <c r="U42" i="12"/>
  <c r="J42" i="12"/>
  <c r="O42" i="12" s="1"/>
  <c r="BO42" i="12" s="1"/>
  <c r="I38" i="12"/>
  <c r="Y38" i="12"/>
  <c r="AC38" i="12"/>
  <c r="H38" i="12"/>
  <c r="Z38" i="12" s="1"/>
  <c r="AA38" i="12" s="1"/>
  <c r="U38" i="12"/>
  <c r="J38" i="12"/>
  <c r="O38" i="12" s="1"/>
  <c r="BO38" i="12" s="1"/>
  <c r="H34" i="12"/>
  <c r="Z34" i="12" s="1"/>
  <c r="AA34" i="12" s="1"/>
  <c r="I34" i="12"/>
  <c r="Y34" i="12"/>
  <c r="AC34" i="12"/>
  <c r="J34" i="12"/>
  <c r="O34" i="12" s="1"/>
  <c r="BO34" i="12" s="1"/>
  <c r="U34" i="12"/>
  <c r="H32" i="12"/>
  <c r="Z32" i="12" s="1"/>
  <c r="AA32" i="12" s="1"/>
  <c r="I32" i="12"/>
  <c r="Y32" i="12"/>
  <c r="AC32" i="12"/>
  <c r="U32" i="12"/>
  <c r="J32" i="12"/>
  <c r="O32" i="12" s="1"/>
  <c r="BO32" i="12" s="1"/>
  <c r="H30" i="12"/>
  <c r="Z30" i="12" s="1"/>
  <c r="AA30" i="12" s="1"/>
  <c r="I30" i="12"/>
  <c r="Y30" i="12"/>
  <c r="AC30" i="12"/>
  <c r="J30" i="12"/>
  <c r="O30" i="12" s="1"/>
  <c r="BO30" i="12" s="1"/>
  <c r="U30" i="12"/>
  <c r="H26" i="12"/>
  <c r="Z26" i="12" s="1"/>
  <c r="AA26" i="12" s="1"/>
  <c r="I26" i="12"/>
  <c r="Y26" i="12"/>
  <c r="AC26" i="12"/>
  <c r="J26" i="12"/>
  <c r="O26" i="12" s="1"/>
  <c r="BO26" i="12" s="1"/>
  <c r="U26" i="12"/>
  <c r="H24" i="12"/>
  <c r="Z24" i="12" s="1"/>
  <c r="AA24" i="12" s="1"/>
  <c r="AC24" i="12"/>
  <c r="Y24" i="12"/>
  <c r="U24" i="12"/>
  <c r="H19" i="12"/>
  <c r="Z19" i="12" s="1"/>
  <c r="AA19" i="12" s="1"/>
  <c r="AC19" i="12"/>
  <c r="Y19" i="12"/>
  <c r="U19" i="12"/>
  <c r="H15" i="12"/>
  <c r="Z15" i="12" s="1"/>
  <c r="AA15" i="12" s="1"/>
  <c r="AC15" i="12"/>
  <c r="Y15" i="12"/>
  <c r="U15" i="12"/>
  <c r="H12" i="12"/>
  <c r="Z12" i="12" s="1"/>
  <c r="AA12" i="12" s="1"/>
  <c r="Y12" i="12"/>
  <c r="AC12" i="12"/>
  <c r="U12" i="12"/>
  <c r="H76" i="12"/>
  <c r="Z76" i="12" s="1"/>
  <c r="AA76" i="12" s="1"/>
  <c r="Y76" i="12"/>
  <c r="I76" i="12"/>
  <c r="U76" i="12"/>
  <c r="AC76" i="12"/>
  <c r="J76" i="12"/>
  <c r="O76" i="12" s="1"/>
  <c r="BO76" i="12" s="1"/>
  <c r="H72" i="12"/>
  <c r="Z72" i="12" s="1"/>
  <c r="AA72" i="12" s="1"/>
  <c r="Y72" i="12"/>
  <c r="I72" i="12"/>
  <c r="U72" i="12"/>
  <c r="AC72" i="12"/>
  <c r="J72" i="12"/>
  <c r="O72" i="12" s="1"/>
  <c r="BO72" i="12" s="1"/>
  <c r="H68" i="12"/>
  <c r="Z68" i="12" s="1"/>
  <c r="AA68" i="12" s="1"/>
  <c r="Y68" i="12"/>
  <c r="I68" i="12"/>
  <c r="U68" i="12"/>
  <c r="AC68" i="12"/>
  <c r="J68" i="12"/>
  <c r="O68" i="12" s="1"/>
  <c r="BO68" i="12" s="1"/>
  <c r="H64" i="12"/>
  <c r="Z64" i="12" s="1"/>
  <c r="AA64" i="12" s="1"/>
  <c r="Y64" i="12"/>
  <c r="I64" i="12"/>
  <c r="U64" i="12"/>
  <c r="AC64" i="12"/>
  <c r="J64" i="12"/>
  <c r="O64" i="12" s="1"/>
  <c r="BO64" i="12" s="1"/>
  <c r="H60" i="12"/>
  <c r="Z60" i="12" s="1"/>
  <c r="AA60" i="12" s="1"/>
  <c r="Y60" i="12"/>
  <c r="I60" i="12"/>
  <c r="U60" i="12"/>
  <c r="AC60" i="12"/>
  <c r="J60" i="12"/>
  <c r="O60" i="12" s="1"/>
  <c r="BO60" i="12" s="1"/>
  <c r="I52" i="12"/>
  <c r="Y52" i="12"/>
  <c r="H52" i="12"/>
  <c r="Z52" i="12" s="1"/>
  <c r="AA52" i="12" s="1"/>
  <c r="J52" i="12"/>
  <c r="O52" i="12" s="1"/>
  <c r="BO52" i="12" s="1"/>
  <c r="U52" i="12"/>
  <c r="AC52" i="12"/>
  <c r="H44" i="12"/>
  <c r="Z44" i="12" s="1"/>
  <c r="AA44" i="12" s="1"/>
  <c r="AC44" i="12"/>
  <c r="I44" i="12"/>
  <c r="Y44" i="12"/>
  <c r="U44" i="12"/>
  <c r="J44" i="12"/>
  <c r="O44" i="12" s="1"/>
  <c r="BO44" i="12" s="1"/>
  <c r="AC40" i="12"/>
  <c r="I40" i="12"/>
  <c r="Y40" i="12"/>
  <c r="H40" i="12"/>
  <c r="Z40" i="12" s="1"/>
  <c r="AA40" i="12" s="1"/>
  <c r="U40" i="12"/>
  <c r="J40" i="12"/>
  <c r="O40" i="12" s="1"/>
  <c r="BO40" i="12" s="1"/>
  <c r="AC36" i="12"/>
  <c r="I36" i="12"/>
  <c r="Y36" i="12"/>
  <c r="H36" i="12"/>
  <c r="Z36" i="12" s="1"/>
  <c r="AA36" i="12" s="1"/>
  <c r="U36" i="12"/>
  <c r="J36" i="12"/>
  <c r="O36" i="12" s="1"/>
  <c r="BO36" i="12" s="1"/>
  <c r="H27" i="12"/>
  <c r="Z27" i="12" s="1"/>
  <c r="AA27" i="12" s="1"/>
  <c r="AC27" i="12"/>
  <c r="I27" i="12"/>
  <c r="Y27" i="12"/>
  <c r="U27" i="12"/>
  <c r="J27" i="12"/>
  <c r="O27" i="12" s="1"/>
  <c r="BO27" i="12" s="1"/>
  <c r="Y22" i="12"/>
  <c r="H22" i="12"/>
  <c r="Z22" i="12" s="1"/>
  <c r="AA22" i="12" s="1"/>
  <c r="AC22" i="12"/>
  <c r="U22" i="12"/>
  <c r="H18" i="12"/>
  <c r="Z18" i="12" s="1"/>
  <c r="AA18" i="12" s="1"/>
  <c r="AC18" i="12"/>
  <c r="Y18" i="12"/>
  <c r="U18" i="12"/>
  <c r="H14" i="12"/>
  <c r="Z14" i="12" s="1"/>
  <c r="AA14" i="12" s="1"/>
  <c r="AC14" i="12"/>
  <c r="Y14" i="12"/>
  <c r="U14" i="12"/>
  <c r="U5" i="12"/>
  <c r="AC5" i="12"/>
  <c r="H5" i="12"/>
  <c r="Z5" i="12" s="1"/>
  <c r="AA5" i="12" s="1"/>
  <c r="AD5" i="12"/>
  <c r="AH5" i="12"/>
  <c r="Y5" i="12"/>
  <c r="E6" i="10"/>
  <c r="E11" i="10"/>
  <c r="E14" i="10"/>
  <c r="E15" i="10"/>
  <c r="E16" i="10"/>
  <c r="E17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G81" i="10" s="1"/>
  <c r="E82" i="10"/>
  <c r="G82" i="10" s="1"/>
  <c r="E83" i="10"/>
  <c r="G83" i="10" s="1"/>
  <c r="E84" i="10"/>
  <c r="G84" i="10" s="1"/>
  <c r="E85" i="10"/>
  <c r="G85" i="10" s="1"/>
  <c r="E86" i="10"/>
  <c r="G86" i="10" s="1"/>
  <c r="E87" i="10"/>
  <c r="G87" i="10" s="1"/>
  <c r="E88" i="10"/>
  <c r="G88" i="10" s="1"/>
  <c r="E89" i="10"/>
  <c r="G89" i="10" s="1"/>
  <c r="E90" i="10"/>
  <c r="G90" i="10" s="1"/>
  <c r="E91" i="10"/>
  <c r="G91" i="10" s="1"/>
  <c r="E92" i="10"/>
  <c r="G92" i="10" s="1"/>
  <c r="E93" i="10"/>
  <c r="G93" i="10" s="1"/>
  <c r="E94" i="10"/>
  <c r="G94" i="10" s="1"/>
  <c r="E95" i="10"/>
  <c r="G95" i="10" s="1"/>
  <c r="E12" i="10"/>
  <c r="E13" i="10"/>
  <c r="E18" i="10"/>
  <c r="E19" i="10"/>
  <c r="E20" i="10"/>
  <c r="E21" i="10"/>
  <c r="E96" i="10"/>
  <c r="G96" i="10" s="1"/>
  <c r="E97" i="10"/>
  <c r="G97" i="10" s="1"/>
  <c r="E98" i="10"/>
  <c r="G98" i="10" s="1"/>
  <c r="E99" i="10"/>
  <c r="G99" i="10" s="1"/>
  <c r="E100" i="10"/>
  <c r="G100" i="10" s="1"/>
  <c r="E101" i="10"/>
  <c r="G101" i="10" s="1"/>
  <c r="E102" i="10"/>
  <c r="G102" i="10" s="1"/>
  <c r="E103" i="10"/>
  <c r="G103" i="10" s="1"/>
  <c r="E104" i="10"/>
  <c r="G104" i="10" s="1"/>
  <c r="E105" i="10"/>
  <c r="G105" i="10" s="1"/>
  <c r="E106" i="10"/>
  <c r="G106" i="10" s="1"/>
  <c r="E107" i="10"/>
  <c r="G107" i="10" s="1"/>
  <c r="E108" i="10"/>
  <c r="G108" i="10" s="1"/>
  <c r="E109" i="10"/>
  <c r="G109" i="10" s="1"/>
  <c r="E110" i="10"/>
  <c r="G110" i="10" s="1"/>
  <c r="E111" i="10"/>
  <c r="G111" i="10" s="1"/>
  <c r="E112" i="10"/>
  <c r="G112" i="10" s="1"/>
  <c r="E113" i="10"/>
  <c r="G113" i="10" s="1"/>
  <c r="E114" i="10"/>
  <c r="G114" i="10" s="1"/>
  <c r="E115" i="10"/>
  <c r="G115" i="10" s="1"/>
  <c r="E116" i="10"/>
  <c r="G116" i="10" s="1"/>
  <c r="E7" i="10"/>
  <c r="E10" i="10"/>
  <c r="E9" i="10"/>
  <c r="E5" i="10"/>
  <c r="E8" i="10"/>
  <c r="F116" i="8"/>
  <c r="R116" i="8"/>
  <c r="V116" i="8"/>
  <c r="P116" i="8"/>
  <c r="H116" i="8"/>
  <c r="S116" i="8"/>
  <c r="K116" i="8"/>
  <c r="G116" i="8"/>
  <c r="T116" i="8"/>
  <c r="L116" i="8"/>
  <c r="U116" i="8"/>
  <c r="Q116" i="8"/>
  <c r="M116" i="8"/>
  <c r="F100" i="8"/>
  <c r="L100" i="8"/>
  <c r="S100" i="8"/>
  <c r="F84" i="8"/>
  <c r="L84" i="8"/>
  <c r="S84" i="8"/>
  <c r="F68" i="8"/>
  <c r="L68" i="8"/>
  <c r="S68" i="8"/>
  <c r="F52" i="8"/>
  <c r="L52" i="8"/>
  <c r="S52" i="8"/>
  <c r="F36" i="8"/>
  <c r="L36" i="8"/>
  <c r="S36" i="8"/>
  <c r="F23" i="8"/>
  <c r="L23" i="8"/>
  <c r="F112" i="8"/>
  <c r="L112" i="8"/>
  <c r="S112" i="8"/>
  <c r="F96" i="8"/>
  <c r="L96" i="8"/>
  <c r="S96" i="8"/>
  <c r="F72" i="8"/>
  <c r="L72" i="8"/>
  <c r="S72" i="8"/>
  <c r="F56" i="8"/>
  <c r="L56" i="8"/>
  <c r="S56" i="8"/>
  <c r="F40" i="8"/>
  <c r="L40" i="8"/>
  <c r="S40" i="8"/>
  <c r="F26" i="8"/>
  <c r="S26" i="8"/>
  <c r="L26" i="8"/>
  <c r="F88" i="8"/>
  <c r="L88" i="8"/>
  <c r="S88" i="8"/>
  <c r="F108" i="8"/>
  <c r="L108" i="8"/>
  <c r="S108" i="8"/>
  <c r="F92" i="8"/>
  <c r="L92" i="8"/>
  <c r="S92" i="8"/>
  <c r="F76" i="8"/>
  <c r="L76" i="8"/>
  <c r="S76" i="8"/>
  <c r="F60" i="8"/>
  <c r="L60" i="8"/>
  <c r="S60" i="8"/>
  <c r="F44" i="8"/>
  <c r="S44" i="8"/>
  <c r="L44" i="8"/>
  <c r="S30" i="8"/>
  <c r="F30" i="8"/>
  <c r="L30" i="8"/>
  <c r="F14" i="8"/>
  <c r="L14" i="8"/>
  <c r="F104" i="8"/>
  <c r="L104" i="8"/>
  <c r="S104" i="8"/>
  <c r="F80" i="8"/>
  <c r="L80" i="8"/>
  <c r="S80" i="8"/>
  <c r="F64" i="8"/>
  <c r="L64" i="8"/>
  <c r="S64" i="8"/>
  <c r="F48" i="8"/>
  <c r="S48" i="8"/>
  <c r="L48" i="8"/>
  <c r="F34" i="8"/>
  <c r="L34" i="8"/>
  <c r="S34" i="8"/>
  <c r="F20" i="8"/>
  <c r="L20" i="8"/>
  <c r="N94" i="9" l="1"/>
  <c r="K94" i="12" s="1"/>
  <c r="I94" i="9"/>
  <c r="F114" i="9"/>
  <c r="I114" i="9"/>
  <c r="T40" i="12"/>
  <c r="F86" i="9"/>
  <c r="I86" i="9"/>
  <c r="N98" i="9"/>
  <c r="K98" i="12" s="1"/>
  <c r="I98" i="9"/>
  <c r="N104" i="9"/>
  <c r="K104" i="12" s="1"/>
  <c r="I104" i="9"/>
  <c r="F83" i="9"/>
  <c r="I83" i="9"/>
  <c r="T45" i="12"/>
  <c r="T67" i="12"/>
  <c r="T59" i="12"/>
  <c r="F82" i="9"/>
  <c r="I82" i="9"/>
  <c r="N99" i="9"/>
  <c r="K99" i="12" s="1"/>
  <c r="I99" i="9"/>
  <c r="F90" i="9"/>
  <c r="I90" i="9"/>
  <c r="F102" i="9"/>
  <c r="I102" i="9"/>
  <c r="N107" i="9"/>
  <c r="K107" i="12" s="1"/>
  <c r="I107" i="9"/>
  <c r="N92" i="9"/>
  <c r="K92" i="12" s="1"/>
  <c r="I92" i="9"/>
  <c r="T37" i="12"/>
  <c r="T63" i="12"/>
  <c r="T31" i="12"/>
  <c r="F106" i="9"/>
  <c r="I106" i="9"/>
  <c r="N112" i="9"/>
  <c r="K112" i="12" s="1"/>
  <c r="I112" i="9"/>
  <c r="F100" i="9"/>
  <c r="I100" i="9"/>
  <c r="F84" i="9"/>
  <c r="I84" i="9"/>
  <c r="T60" i="12"/>
  <c r="T73" i="12"/>
  <c r="T64" i="12"/>
  <c r="T38" i="12"/>
  <c r="T66" i="12"/>
  <c r="T43" i="12"/>
  <c r="T32" i="12"/>
  <c r="T69" i="12"/>
  <c r="N110" i="9"/>
  <c r="K110" i="12" s="1"/>
  <c r="I110" i="9"/>
  <c r="F116" i="9"/>
  <c r="I116" i="9"/>
  <c r="F108" i="9"/>
  <c r="I108" i="9"/>
  <c r="N87" i="9"/>
  <c r="K87" i="12" s="1"/>
  <c r="I87" i="9"/>
  <c r="N111" i="9"/>
  <c r="K111" i="12" s="1"/>
  <c r="I111" i="9"/>
  <c r="T78" i="12"/>
  <c r="T53" i="12"/>
  <c r="T39" i="12"/>
  <c r="T74" i="12"/>
  <c r="F81" i="9"/>
  <c r="I81" i="9"/>
  <c r="F113" i="9"/>
  <c r="I113" i="9"/>
  <c r="G115" i="9"/>
  <c r="I115" i="9"/>
  <c r="N103" i="9"/>
  <c r="K103" i="12" s="1"/>
  <c r="I103" i="9"/>
  <c r="T51" i="12"/>
  <c r="F85" i="9"/>
  <c r="I85" i="9"/>
  <c r="N91" i="9"/>
  <c r="K91" i="12" s="1"/>
  <c r="I91" i="9"/>
  <c r="F97" i="9"/>
  <c r="I97" i="9"/>
  <c r="F93" i="9"/>
  <c r="I93" i="9"/>
  <c r="F96" i="9"/>
  <c r="I96" i="9"/>
  <c r="F80" i="9"/>
  <c r="I80" i="9"/>
  <c r="T76" i="12"/>
  <c r="T26" i="12"/>
  <c r="T70" i="12"/>
  <c r="T33" i="12"/>
  <c r="T56" i="12"/>
  <c r="T35" i="12"/>
  <c r="F89" i="9"/>
  <c r="I89" i="9"/>
  <c r="F95" i="9"/>
  <c r="I95" i="9"/>
  <c r="F88" i="9"/>
  <c r="I88" i="9"/>
  <c r="F105" i="9"/>
  <c r="I105" i="9"/>
  <c r="N109" i="9"/>
  <c r="K109" i="12" s="1"/>
  <c r="I109" i="9"/>
  <c r="F101" i="9"/>
  <c r="I101" i="9"/>
  <c r="T58" i="12"/>
  <c r="T61" i="12"/>
  <c r="T44" i="12"/>
  <c r="T28" i="12"/>
  <c r="T46" i="12"/>
  <c r="I8" i="10"/>
  <c r="I9" i="10"/>
  <c r="I7" i="10"/>
  <c r="L115" i="10"/>
  <c r="L113" i="10"/>
  <c r="I113" i="10"/>
  <c r="L111" i="10"/>
  <c r="L109" i="10"/>
  <c r="L107" i="10"/>
  <c r="L105" i="10"/>
  <c r="L103" i="10"/>
  <c r="L101" i="10"/>
  <c r="L99" i="10"/>
  <c r="L97" i="10"/>
  <c r="I97" i="10"/>
  <c r="I21" i="10"/>
  <c r="I19" i="10"/>
  <c r="I13" i="10"/>
  <c r="L95" i="10"/>
  <c r="L93" i="10"/>
  <c r="L91" i="10"/>
  <c r="L89" i="10"/>
  <c r="I89" i="10"/>
  <c r="L87" i="10"/>
  <c r="L85" i="10"/>
  <c r="L83" i="10"/>
  <c r="L81" i="10"/>
  <c r="L79" i="10"/>
  <c r="L77" i="10"/>
  <c r="L75" i="10"/>
  <c r="L73" i="10"/>
  <c r="L71" i="10"/>
  <c r="L69" i="10"/>
  <c r="L67" i="10"/>
  <c r="L65" i="10"/>
  <c r="L63" i="10"/>
  <c r="L61" i="10"/>
  <c r="L59" i="10"/>
  <c r="L57" i="10"/>
  <c r="L55" i="10"/>
  <c r="L53" i="10"/>
  <c r="L51" i="10"/>
  <c r="L49" i="10"/>
  <c r="L47" i="10"/>
  <c r="L45" i="10"/>
  <c r="L43" i="10"/>
  <c r="L41" i="10"/>
  <c r="L39" i="10"/>
  <c r="L37" i="10"/>
  <c r="L35" i="10"/>
  <c r="I35" i="10"/>
  <c r="L33" i="10"/>
  <c r="I33" i="10"/>
  <c r="L31" i="10"/>
  <c r="I31" i="10"/>
  <c r="L29" i="10"/>
  <c r="I29" i="10"/>
  <c r="L27" i="10"/>
  <c r="I27" i="10"/>
  <c r="L25" i="10"/>
  <c r="I25" i="10"/>
  <c r="I23" i="10"/>
  <c r="I17" i="10"/>
  <c r="I15" i="10"/>
  <c r="I11" i="10"/>
  <c r="P5" i="10"/>
  <c r="L5" i="10"/>
  <c r="I5" i="10"/>
  <c r="I10" i="10"/>
  <c r="V116" i="10"/>
  <c r="P116" i="10"/>
  <c r="M116" i="10"/>
  <c r="I116" i="10"/>
  <c r="L116" i="10"/>
  <c r="W116" i="10"/>
  <c r="O116" i="10"/>
  <c r="L114" i="10"/>
  <c r="L112" i="10"/>
  <c r="L110" i="10"/>
  <c r="L108" i="10"/>
  <c r="L106" i="10"/>
  <c r="L104" i="10"/>
  <c r="L102" i="10"/>
  <c r="L100" i="10"/>
  <c r="L98" i="10"/>
  <c r="L96" i="10"/>
  <c r="I20" i="10"/>
  <c r="I18" i="10"/>
  <c r="I12" i="10"/>
  <c r="L94" i="10"/>
  <c r="L92" i="10"/>
  <c r="L90" i="10"/>
  <c r="I88" i="10"/>
  <c r="L88" i="10"/>
  <c r="L86" i="10"/>
  <c r="L84" i="10"/>
  <c r="L82" i="10"/>
  <c r="L80" i="10"/>
  <c r="L78" i="10"/>
  <c r="L76" i="10"/>
  <c r="L74" i="10"/>
  <c r="L72" i="10"/>
  <c r="L70" i="10"/>
  <c r="L68" i="10"/>
  <c r="L66" i="10"/>
  <c r="L64" i="10"/>
  <c r="L62" i="10"/>
  <c r="L60" i="10"/>
  <c r="L58" i="10"/>
  <c r="L56" i="10"/>
  <c r="L54" i="10"/>
  <c r="L52" i="10"/>
  <c r="L50" i="10"/>
  <c r="L48" i="10"/>
  <c r="L46" i="10"/>
  <c r="L44" i="10"/>
  <c r="L42" i="10"/>
  <c r="L40" i="10"/>
  <c r="L38" i="10"/>
  <c r="I36" i="10"/>
  <c r="L36" i="10"/>
  <c r="I34" i="10"/>
  <c r="L34" i="10"/>
  <c r="I32" i="10"/>
  <c r="L32" i="10"/>
  <c r="I30" i="10"/>
  <c r="L30" i="10"/>
  <c r="L28" i="10"/>
  <c r="I28" i="10"/>
  <c r="I26" i="10"/>
  <c r="L26" i="10"/>
  <c r="I24" i="10"/>
  <c r="I22" i="10"/>
  <c r="I16" i="10"/>
  <c r="I14" i="10"/>
  <c r="I6" i="10"/>
  <c r="N115" i="10"/>
  <c r="H115" i="10"/>
  <c r="N113" i="10"/>
  <c r="H113" i="10"/>
  <c r="N111" i="10"/>
  <c r="H111" i="10"/>
  <c r="N109" i="10"/>
  <c r="H109" i="10"/>
  <c r="N107" i="10"/>
  <c r="H107" i="10"/>
  <c r="N105" i="10"/>
  <c r="H105" i="10"/>
  <c r="N103" i="10"/>
  <c r="H103" i="10"/>
  <c r="N101" i="10"/>
  <c r="H101" i="10"/>
  <c r="N99" i="10"/>
  <c r="H99" i="10"/>
  <c r="N97" i="10"/>
  <c r="H97" i="10"/>
  <c r="N95" i="10"/>
  <c r="H95" i="10"/>
  <c r="N93" i="10"/>
  <c r="H93" i="10"/>
  <c r="N91" i="10"/>
  <c r="H91" i="10"/>
  <c r="N89" i="10"/>
  <c r="H89" i="10"/>
  <c r="N87" i="10"/>
  <c r="H87" i="10"/>
  <c r="N85" i="10"/>
  <c r="H85" i="10"/>
  <c r="N83" i="10"/>
  <c r="H83" i="10"/>
  <c r="N81" i="10"/>
  <c r="H81" i="10"/>
  <c r="N79" i="10"/>
  <c r="H79" i="10"/>
  <c r="N77" i="10"/>
  <c r="H77" i="10"/>
  <c r="N75" i="10"/>
  <c r="H75" i="10"/>
  <c r="N73" i="10"/>
  <c r="H73" i="10"/>
  <c r="N71" i="10"/>
  <c r="H71" i="10"/>
  <c r="N69" i="10"/>
  <c r="H69" i="10"/>
  <c r="N67" i="10"/>
  <c r="H67" i="10"/>
  <c r="N65" i="10"/>
  <c r="H65" i="10"/>
  <c r="N63" i="10"/>
  <c r="H63" i="10"/>
  <c r="N61" i="10"/>
  <c r="H61" i="10"/>
  <c r="N59" i="10"/>
  <c r="H59" i="10"/>
  <c r="N57" i="10"/>
  <c r="H57" i="10"/>
  <c r="N55" i="10"/>
  <c r="H55" i="10"/>
  <c r="N53" i="10"/>
  <c r="H53" i="10"/>
  <c r="N51" i="10"/>
  <c r="H51" i="10"/>
  <c r="N49" i="10"/>
  <c r="H49" i="10"/>
  <c r="H47" i="10"/>
  <c r="N47" i="10"/>
  <c r="H45" i="10"/>
  <c r="N45" i="10"/>
  <c r="H43" i="10"/>
  <c r="N43" i="10"/>
  <c r="H41" i="10"/>
  <c r="N41" i="10"/>
  <c r="H39" i="10"/>
  <c r="N39" i="10"/>
  <c r="H37" i="10"/>
  <c r="N37" i="10"/>
  <c r="H35" i="10"/>
  <c r="N35" i="10"/>
  <c r="H33" i="10"/>
  <c r="N33" i="10"/>
  <c r="H31" i="10"/>
  <c r="N31" i="10"/>
  <c r="H29" i="10"/>
  <c r="N29" i="10"/>
  <c r="H27" i="10"/>
  <c r="N27" i="10"/>
  <c r="H25" i="10"/>
  <c r="N25" i="10"/>
  <c r="N5" i="10"/>
  <c r="J5" i="10"/>
  <c r="F10" i="10"/>
  <c r="N116" i="10"/>
  <c r="J116" i="10"/>
  <c r="H116" i="10"/>
  <c r="N114" i="10"/>
  <c r="H114" i="10"/>
  <c r="N112" i="10"/>
  <c r="H112" i="10"/>
  <c r="N110" i="10"/>
  <c r="H110" i="10"/>
  <c r="N108" i="10"/>
  <c r="H108" i="10"/>
  <c r="N106" i="10"/>
  <c r="H106" i="10"/>
  <c r="N104" i="10"/>
  <c r="H104" i="10"/>
  <c r="N102" i="10"/>
  <c r="H102" i="10"/>
  <c r="N100" i="10"/>
  <c r="H100" i="10"/>
  <c r="N98" i="10"/>
  <c r="H98" i="10"/>
  <c r="N96" i="10"/>
  <c r="H96" i="10"/>
  <c r="N94" i="10"/>
  <c r="H94" i="10"/>
  <c r="N92" i="10"/>
  <c r="H92" i="10"/>
  <c r="N90" i="10"/>
  <c r="H90" i="10"/>
  <c r="N88" i="10"/>
  <c r="H88" i="10"/>
  <c r="N86" i="10"/>
  <c r="H86" i="10"/>
  <c r="N84" i="10"/>
  <c r="H84" i="10"/>
  <c r="N82" i="10"/>
  <c r="H82" i="10"/>
  <c r="N80" i="10"/>
  <c r="H80" i="10"/>
  <c r="N78" i="10"/>
  <c r="H78" i="10"/>
  <c r="N76" i="10"/>
  <c r="H76" i="10"/>
  <c r="N74" i="10"/>
  <c r="H74" i="10"/>
  <c r="N72" i="10"/>
  <c r="H72" i="10"/>
  <c r="N70" i="10"/>
  <c r="H70" i="10"/>
  <c r="N68" i="10"/>
  <c r="H68" i="10"/>
  <c r="N66" i="10"/>
  <c r="H66" i="10"/>
  <c r="N64" i="10"/>
  <c r="H64" i="10"/>
  <c r="N62" i="10"/>
  <c r="H62" i="10"/>
  <c r="N60" i="10"/>
  <c r="H60" i="10"/>
  <c r="N58" i="10"/>
  <c r="H58" i="10"/>
  <c r="N56" i="10"/>
  <c r="H56" i="10"/>
  <c r="N54" i="10"/>
  <c r="H54" i="10"/>
  <c r="N52" i="10"/>
  <c r="H52" i="10"/>
  <c r="N50" i="10"/>
  <c r="H50" i="10"/>
  <c r="N48" i="10"/>
  <c r="H48" i="10"/>
  <c r="H46" i="10"/>
  <c r="N46" i="10"/>
  <c r="H44" i="10"/>
  <c r="N44" i="10"/>
  <c r="H42" i="10"/>
  <c r="N42" i="10"/>
  <c r="H40" i="10"/>
  <c r="N40" i="10"/>
  <c r="H38" i="10"/>
  <c r="N38" i="10"/>
  <c r="H36" i="10"/>
  <c r="N36" i="10"/>
  <c r="H34" i="10"/>
  <c r="N34" i="10"/>
  <c r="H32" i="10"/>
  <c r="N32" i="10"/>
  <c r="H30" i="10"/>
  <c r="N30" i="10"/>
  <c r="H28" i="10"/>
  <c r="N28" i="10"/>
  <c r="H26" i="10"/>
  <c r="N26" i="10"/>
  <c r="F6" i="10"/>
  <c r="N114" i="8"/>
  <c r="I114" i="10" s="1"/>
  <c r="N112" i="8"/>
  <c r="I112" i="10" s="1"/>
  <c r="N72" i="8"/>
  <c r="I72" i="10" s="1"/>
  <c r="N102" i="8"/>
  <c r="I102" i="10" s="1"/>
  <c r="N41" i="8"/>
  <c r="I41" i="10" s="1"/>
  <c r="N49" i="8"/>
  <c r="I49" i="10" s="1"/>
  <c r="N93" i="8"/>
  <c r="I93" i="10" s="1"/>
  <c r="N104" i="8"/>
  <c r="I104" i="10" s="1"/>
  <c r="N54" i="8"/>
  <c r="I54" i="10" s="1"/>
  <c r="N59" i="8"/>
  <c r="I59" i="10" s="1"/>
  <c r="N44" i="8"/>
  <c r="I44" i="10" s="1"/>
  <c r="N78" i="8"/>
  <c r="I78" i="10" s="1"/>
  <c r="N56" i="8"/>
  <c r="I56" i="10" s="1"/>
  <c r="N52" i="8"/>
  <c r="I52" i="10" s="1"/>
  <c r="N68" i="8"/>
  <c r="I68" i="10" s="1"/>
  <c r="N108" i="8"/>
  <c r="I108" i="10" s="1"/>
  <c r="N37" i="8"/>
  <c r="I37" i="10" s="1"/>
  <c r="N46" i="8"/>
  <c r="I46" i="10" s="1"/>
  <c r="N48" i="8"/>
  <c r="I48" i="10" s="1"/>
  <c r="N57" i="8"/>
  <c r="I57" i="10" s="1"/>
  <c r="N61" i="8"/>
  <c r="I61" i="10" s="1"/>
  <c r="N62" i="8"/>
  <c r="I62" i="10" s="1"/>
  <c r="N64" i="8"/>
  <c r="I64" i="10" s="1"/>
  <c r="N66" i="8"/>
  <c r="I66" i="10" s="1"/>
  <c r="N69" i="8"/>
  <c r="I69" i="10" s="1"/>
  <c r="N77" i="8"/>
  <c r="I77" i="10" s="1"/>
  <c r="N80" i="8"/>
  <c r="I80" i="10" s="1"/>
  <c r="N84" i="8"/>
  <c r="I84" i="10" s="1"/>
  <c r="N94" i="8"/>
  <c r="I94" i="10" s="1"/>
  <c r="N96" i="8"/>
  <c r="I96" i="10" s="1"/>
  <c r="N53" i="8"/>
  <c r="I53" i="10" s="1"/>
  <c r="N92" i="8"/>
  <c r="I92" i="10" s="1"/>
  <c r="N73" i="8"/>
  <c r="I73" i="10" s="1"/>
  <c r="N82" i="8"/>
  <c r="I82" i="10" s="1"/>
  <c r="N100" i="8"/>
  <c r="I100" i="10" s="1"/>
  <c r="N81" i="8"/>
  <c r="I81" i="10" s="1"/>
  <c r="N109" i="8"/>
  <c r="I109" i="10" s="1"/>
  <c r="N76" i="8"/>
  <c r="I76" i="10" s="1"/>
  <c r="N98" i="8"/>
  <c r="I98" i="10" s="1"/>
  <c r="N70" i="8"/>
  <c r="I70" i="10" s="1"/>
  <c r="N86" i="8"/>
  <c r="I86" i="10" s="1"/>
  <c r="N91" i="8"/>
  <c r="I91" i="10" s="1"/>
  <c r="N39" i="8"/>
  <c r="I39" i="10" s="1"/>
  <c r="N42" i="8"/>
  <c r="I42" i="10" s="1"/>
  <c r="N43" i="8"/>
  <c r="I43" i="10" s="1"/>
  <c r="N47" i="8"/>
  <c r="I47" i="10" s="1"/>
  <c r="N51" i="8"/>
  <c r="I51" i="10" s="1"/>
  <c r="N58" i="8"/>
  <c r="I58" i="10" s="1"/>
  <c r="N60" i="8"/>
  <c r="I60" i="10" s="1"/>
  <c r="N63" i="8"/>
  <c r="I63" i="10" s="1"/>
  <c r="N67" i="8"/>
  <c r="I67" i="10" s="1"/>
  <c r="N71" i="8"/>
  <c r="I71" i="10" s="1"/>
  <c r="N74" i="8"/>
  <c r="I74" i="10" s="1"/>
  <c r="N79" i="8"/>
  <c r="I79" i="10" s="1"/>
  <c r="N83" i="8"/>
  <c r="I83" i="10" s="1"/>
  <c r="N87" i="8"/>
  <c r="I87" i="10" s="1"/>
  <c r="N90" i="8"/>
  <c r="I90" i="10" s="1"/>
  <c r="N99" i="8"/>
  <c r="I99" i="10" s="1"/>
  <c r="N101" i="8"/>
  <c r="I101" i="10" s="1"/>
  <c r="N103" i="8"/>
  <c r="I103" i="10" s="1"/>
  <c r="N106" i="8"/>
  <c r="I106" i="10" s="1"/>
  <c r="N107" i="8"/>
  <c r="I107" i="10" s="1"/>
  <c r="N111" i="8"/>
  <c r="I111" i="10" s="1"/>
  <c r="B56" i="12"/>
  <c r="B57" i="12"/>
  <c r="B55" i="12"/>
  <c r="B54" i="12"/>
  <c r="B22" i="12" s="1"/>
  <c r="B59" i="12"/>
  <c r="B58" i="12"/>
  <c r="BN86" i="12"/>
  <c r="BN90" i="12"/>
  <c r="BN94" i="12"/>
  <c r="BN99" i="12"/>
  <c r="BN103" i="12"/>
  <c r="BN107" i="12"/>
  <c r="BN111" i="12"/>
  <c r="BN87" i="12"/>
  <c r="BN91" i="12"/>
  <c r="BN95" i="12"/>
  <c r="BN98" i="12"/>
  <c r="BN102" i="12"/>
  <c r="BN106" i="12"/>
  <c r="BN110" i="12"/>
  <c r="BN114" i="12"/>
  <c r="BN59" i="12"/>
  <c r="BN62" i="12"/>
  <c r="BN66" i="12"/>
  <c r="BN70" i="12"/>
  <c r="BN74" i="12"/>
  <c r="BN85" i="12"/>
  <c r="BN89" i="12"/>
  <c r="BN93" i="12"/>
  <c r="BN97" i="12"/>
  <c r="BN101" i="12"/>
  <c r="BN105" i="12"/>
  <c r="BN109" i="12"/>
  <c r="BN113" i="12"/>
  <c r="BN52" i="12"/>
  <c r="BN60" i="12"/>
  <c r="BN64" i="12"/>
  <c r="BN68" i="12"/>
  <c r="BN72" i="12"/>
  <c r="BN76" i="12"/>
  <c r="BN50" i="12"/>
  <c r="BN53" i="12"/>
  <c r="BN55" i="12"/>
  <c r="BN57" i="12"/>
  <c r="BN61" i="12"/>
  <c r="BN65" i="12"/>
  <c r="BN69" i="12"/>
  <c r="BN73" i="12"/>
  <c r="BN78" i="12"/>
  <c r="BN82" i="12"/>
  <c r="BN79" i="12"/>
  <c r="BN83" i="12"/>
  <c r="BN51" i="12"/>
  <c r="BN54" i="12"/>
  <c r="BN56" i="12"/>
  <c r="BN58" i="12"/>
  <c r="BN63" i="12"/>
  <c r="BN67" i="12"/>
  <c r="BN71" i="12"/>
  <c r="BN75" i="12"/>
  <c r="BN80" i="12"/>
  <c r="BN77" i="12"/>
  <c r="BN81" i="12"/>
  <c r="BN84" i="12"/>
  <c r="BN88" i="12"/>
  <c r="BN92" i="12"/>
  <c r="BN96" i="12"/>
  <c r="BN100" i="12"/>
  <c r="BN104" i="12"/>
  <c r="BN108" i="12"/>
  <c r="BN112" i="12"/>
  <c r="BN29" i="12"/>
  <c r="BN37" i="12"/>
  <c r="BN41" i="12"/>
  <c r="BN45" i="12"/>
  <c r="BN25" i="12"/>
  <c r="BN28" i="12"/>
  <c r="BN31" i="12"/>
  <c r="BN33" i="12"/>
  <c r="BN35" i="12"/>
  <c r="BN39" i="12"/>
  <c r="BN43" i="12"/>
  <c r="BN47" i="12"/>
  <c r="BN49" i="12"/>
  <c r="BN27" i="12"/>
  <c r="BN36" i="12"/>
  <c r="BN40" i="12"/>
  <c r="BN44" i="12"/>
  <c r="BN26" i="12"/>
  <c r="BN30" i="12"/>
  <c r="BN32" i="12"/>
  <c r="BN34" i="12"/>
  <c r="BN38" i="12"/>
  <c r="BN42" i="12"/>
  <c r="BN46" i="12"/>
  <c r="BN48" i="12"/>
  <c r="N50" i="8"/>
  <c r="I50" i="10" s="1"/>
  <c r="N38" i="8"/>
  <c r="I38" i="10" s="1"/>
  <c r="AY107" i="12"/>
  <c r="F110" i="9"/>
  <c r="AY30" i="12"/>
  <c r="AY111" i="12"/>
  <c r="N40" i="8"/>
  <c r="I40" i="10" s="1"/>
  <c r="AY34" i="12"/>
  <c r="AY38" i="12"/>
  <c r="AY99" i="12"/>
  <c r="AY32" i="12"/>
  <c r="AY103" i="12"/>
  <c r="N49" i="9"/>
  <c r="K49" i="12" s="1"/>
  <c r="T49" i="12" s="1"/>
  <c r="F33" i="9"/>
  <c r="F46" i="9"/>
  <c r="Q116" i="9"/>
  <c r="F103" i="9"/>
  <c r="N90" i="9"/>
  <c r="K90" i="12" s="1"/>
  <c r="N85" i="9"/>
  <c r="K85" i="12" s="1"/>
  <c r="R116" i="9"/>
  <c r="F51" i="9"/>
  <c r="N72" i="9"/>
  <c r="K72" i="12" s="1"/>
  <c r="T72" i="12" s="1"/>
  <c r="N97" i="9"/>
  <c r="K97" i="12" s="1"/>
  <c r="F40" i="9"/>
  <c r="F66" i="9"/>
  <c r="F39" i="9"/>
  <c r="F61" i="9"/>
  <c r="N102" i="9"/>
  <c r="K102" i="12" s="1"/>
  <c r="F99" i="9"/>
  <c r="G116" i="9"/>
  <c r="F26" i="9"/>
  <c r="F63" i="9"/>
  <c r="F44" i="9"/>
  <c r="F92" i="9"/>
  <c r="F111" i="9"/>
  <c r="F109" i="9"/>
  <c r="N65" i="8"/>
  <c r="I65" i="10" s="1"/>
  <c r="F45" i="9"/>
  <c r="N88" i="9"/>
  <c r="K88" i="12" s="1"/>
  <c r="N45" i="8"/>
  <c r="I45" i="10" s="1"/>
  <c r="N106" i="9"/>
  <c r="K106" i="12" s="1"/>
  <c r="N105" i="8"/>
  <c r="I105" i="10" s="1"/>
  <c r="N42" i="9"/>
  <c r="K42" i="12" s="1"/>
  <c r="T42" i="12" s="1"/>
  <c r="F43" i="9"/>
  <c r="F56" i="9"/>
  <c r="N80" i="9"/>
  <c r="K80" i="12" s="1"/>
  <c r="N77" i="9"/>
  <c r="K77" i="12" s="1"/>
  <c r="T77" i="12" s="1"/>
  <c r="F74" i="9"/>
  <c r="F112" i="9"/>
  <c r="N75" i="9"/>
  <c r="K75" i="12" s="1"/>
  <c r="T75" i="12" s="1"/>
  <c r="N48" i="9"/>
  <c r="K48" i="12" s="1"/>
  <c r="T48" i="12" s="1"/>
  <c r="F87" i="9"/>
  <c r="N93" i="9"/>
  <c r="K93" i="12" s="1"/>
  <c r="N105" i="9"/>
  <c r="K105" i="12" s="1"/>
  <c r="F32" i="9"/>
  <c r="F58" i="9"/>
  <c r="F73" i="9"/>
  <c r="N82" i="9"/>
  <c r="K82" i="12" s="1"/>
  <c r="F31" i="9"/>
  <c r="F53" i="9"/>
  <c r="F69" i="9"/>
  <c r="N78" i="9"/>
  <c r="K78" i="12" s="1"/>
  <c r="F94" i="9"/>
  <c r="F91" i="9"/>
  <c r="F107" i="9"/>
  <c r="J116" i="9"/>
  <c r="L116" i="9"/>
  <c r="O116" i="9"/>
  <c r="F30" i="9"/>
  <c r="N47" i="9"/>
  <c r="K47" i="12" s="1"/>
  <c r="T47" i="12" s="1"/>
  <c r="F59" i="9"/>
  <c r="F67" i="9"/>
  <c r="N79" i="9"/>
  <c r="K79" i="12" s="1"/>
  <c r="T79" i="12" s="1"/>
  <c r="N29" i="9"/>
  <c r="K29" i="12" s="1"/>
  <c r="T29" i="12" s="1"/>
  <c r="N41" i="9"/>
  <c r="K41" i="12" s="1"/>
  <c r="T41" i="12" s="1"/>
  <c r="F60" i="9"/>
  <c r="F76" i="9"/>
  <c r="N96" i="9"/>
  <c r="K96" i="12" s="1"/>
  <c r="N108" i="9"/>
  <c r="K108" i="12" s="1"/>
  <c r="N114" i="9"/>
  <c r="K114" i="12" s="1"/>
  <c r="N85" i="8"/>
  <c r="I85" i="10" s="1"/>
  <c r="N116" i="9"/>
  <c r="H116" i="9"/>
  <c r="P116" i="9"/>
  <c r="S116" i="9"/>
  <c r="K116" i="9"/>
  <c r="M116" i="9"/>
  <c r="F28" i="9"/>
  <c r="N62" i="9"/>
  <c r="K62" i="12" s="1"/>
  <c r="T62" i="12" s="1"/>
  <c r="F27" i="9"/>
  <c r="N57" i="9"/>
  <c r="K57" i="12" s="1"/>
  <c r="T57" i="12" s="1"/>
  <c r="N89" i="9"/>
  <c r="K89" i="12" s="1"/>
  <c r="N95" i="9"/>
  <c r="K95" i="12" s="1"/>
  <c r="N34" i="9"/>
  <c r="K34" i="12" s="1"/>
  <c r="T34" i="12" s="1"/>
  <c r="N55" i="9"/>
  <c r="K55" i="12" s="1"/>
  <c r="T55" i="12" s="1"/>
  <c r="N84" i="9"/>
  <c r="K84" i="12" s="1"/>
  <c r="N25" i="9"/>
  <c r="K25" i="12" s="1"/>
  <c r="T25" i="12" s="1"/>
  <c r="N52" i="9"/>
  <c r="K52" i="12" s="1"/>
  <c r="T52" i="12" s="1"/>
  <c r="F64" i="9"/>
  <c r="N83" i="9"/>
  <c r="K83" i="12" s="1"/>
  <c r="N115" i="9"/>
  <c r="N101" i="9"/>
  <c r="K101" i="12" s="1"/>
  <c r="AY5" i="12"/>
  <c r="AY18" i="12"/>
  <c r="N3" i="7"/>
  <c r="F36" i="9"/>
  <c r="N54" i="9"/>
  <c r="K54" i="12" s="1"/>
  <c r="T54" i="12" s="1"/>
  <c r="F70" i="9"/>
  <c r="N86" i="9"/>
  <c r="K86" i="12" s="1"/>
  <c r="F35" i="9"/>
  <c r="N50" i="9"/>
  <c r="K50" i="12" s="1"/>
  <c r="T50" i="12" s="1"/>
  <c r="N65" i="9"/>
  <c r="K65" i="12" s="1"/>
  <c r="T65" i="12" s="1"/>
  <c r="N81" i="9"/>
  <c r="K81" i="12" s="1"/>
  <c r="F98" i="9"/>
  <c r="N113" i="9"/>
  <c r="K113" i="12" s="1"/>
  <c r="F104" i="9"/>
  <c r="F38" i="9"/>
  <c r="N71" i="9"/>
  <c r="K71" i="12" s="1"/>
  <c r="T71" i="12" s="1"/>
  <c r="F37" i="9"/>
  <c r="N68" i="9"/>
  <c r="K68" i="12" s="1"/>
  <c r="T68" i="12" s="1"/>
  <c r="N100" i="9"/>
  <c r="K100" i="12" s="1"/>
  <c r="AY44" i="12"/>
  <c r="F115" i="9"/>
  <c r="AY14" i="12"/>
  <c r="AY24" i="12"/>
  <c r="AY50" i="12"/>
  <c r="AY53" i="12"/>
  <c r="AY55" i="12"/>
  <c r="AY57" i="12"/>
  <c r="AY78" i="12"/>
  <c r="AY82" i="12"/>
  <c r="AY83" i="12"/>
  <c r="AY87" i="12"/>
  <c r="AY91" i="12"/>
  <c r="AY95" i="12"/>
  <c r="AY102" i="12"/>
  <c r="AY106" i="12"/>
  <c r="AY110" i="12"/>
  <c r="N55" i="8"/>
  <c r="I55" i="10" s="1"/>
  <c r="N75" i="8"/>
  <c r="I75" i="10" s="1"/>
  <c r="N95" i="8"/>
  <c r="I95" i="10" s="1"/>
  <c r="AY22" i="12"/>
  <c r="AY27" i="12"/>
  <c r="AY36" i="12"/>
  <c r="AY40" i="12"/>
  <c r="AY52" i="12"/>
  <c r="AY60" i="12"/>
  <c r="AY64" i="12"/>
  <c r="AY68" i="12"/>
  <c r="AY72" i="12"/>
  <c r="AY76" i="12"/>
  <c r="AY12" i="12"/>
  <c r="AY15" i="12"/>
  <c r="AY19" i="12"/>
  <c r="AY26" i="12"/>
  <c r="AY42" i="12"/>
  <c r="AY46" i="12"/>
  <c r="AY48" i="12"/>
  <c r="AY61" i="12"/>
  <c r="AY65" i="12"/>
  <c r="AY69" i="12"/>
  <c r="AY73" i="12"/>
  <c r="AY86" i="12"/>
  <c r="AY90" i="12"/>
  <c r="AY94" i="12"/>
  <c r="AY79" i="12"/>
  <c r="K116" i="10"/>
  <c r="E4" i="7"/>
  <c r="G3" i="7"/>
  <c r="L4" i="7"/>
  <c r="R3" i="7"/>
  <c r="AY66" i="12"/>
  <c r="AY74" i="12"/>
  <c r="AY114" i="12"/>
  <c r="AY10" i="12"/>
  <c r="AY37" i="12"/>
  <c r="AY41" i="12"/>
  <c r="AY45" i="12"/>
  <c r="AY62" i="12"/>
  <c r="AY70" i="12"/>
  <c r="AY11" i="12"/>
  <c r="AY16" i="12"/>
  <c r="AY35" i="12"/>
  <c r="AY47" i="12"/>
  <c r="AY49" i="12"/>
  <c r="AY58" i="12"/>
  <c r="AY85" i="12"/>
  <c r="AY89" i="12"/>
  <c r="AY93" i="12"/>
  <c r="AY97" i="12"/>
  <c r="AY101" i="12"/>
  <c r="AY105" i="12"/>
  <c r="AY109" i="12"/>
  <c r="AY113" i="12"/>
  <c r="AY84" i="12"/>
  <c r="AY88" i="12"/>
  <c r="AY92" i="12"/>
  <c r="AY96" i="12"/>
  <c r="AY100" i="12"/>
  <c r="AY104" i="12"/>
  <c r="AY108" i="12"/>
  <c r="AE5" i="12"/>
  <c r="AF5" i="12" s="1"/>
  <c r="AB5" i="12" s="1"/>
  <c r="AY23" i="12"/>
  <c r="AY6" i="12"/>
  <c r="AY7" i="12"/>
  <c r="AY9" i="12"/>
  <c r="AY8" i="12"/>
  <c r="AY17" i="12"/>
  <c r="AY21" i="12"/>
  <c r="AY29" i="12"/>
  <c r="AY59" i="12"/>
  <c r="AY13" i="12"/>
  <c r="AY20" i="12"/>
  <c r="AY25" i="12"/>
  <c r="AY28" i="12"/>
  <c r="AY31" i="12"/>
  <c r="AY33" i="12"/>
  <c r="AY39" i="12"/>
  <c r="AY43" i="12"/>
  <c r="AY51" i="12"/>
  <c r="AY54" i="12"/>
  <c r="AY56" i="12"/>
  <c r="AY63" i="12"/>
  <c r="AY67" i="12"/>
  <c r="AY71" i="12"/>
  <c r="AY75" i="12"/>
  <c r="AY80" i="12"/>
  <c r="AY77" i="12"/>
  <c r="AY81" i="12"/>
  <c r="F5" i="10"/>
  <c r="Q5" i="10" s="1"/>
  <c r="F116" i="10"/>
  <c r="Q116" i="10" s="1"/>
  <c r="F114" i="10"/>
  <c r="Q114" i="10" s="1"/>
  <c r="F112" i="10"/>
  <c r="Q112" i="10" s="1"/>
  <c r="F110" i="10"/>
  <c r="W110" i="10" s="1"/>
  <c r="F108" i="10"/>
  <c r="W108" i="10" s="1"/>
  <c r="F106" i="10"/>
  <c r="W106" i="10" s="1"/>
  <c r="F104" i="10"/>
  <c r="W104" i="10" s="1"/>
  <c r="F102" i="10"/>
  <c r="Q102" i="10" s="1"/>
  <c r="F100" i="10"/>
  <c r="Q100" i="10" s="1"/>
  <c r="F98" i="10"/>
  <c r="Q98" i="10" s="1"/>
  <c r="F96" i="10"/>
  <c r="Q96" i="10" s="1"/>
  <c r="F20" i="10"/>
  <c r="F18" i="10"/>
  <c r="F12" i="10"/>
  <c r="F94" i="10"/>
  <c r="F92" i="10"/>
  <c r="Q92" i="10" s="1"/>
  <c r="F90" i="10"/>
  <c r="F88" i="10"/>
  <c r="Q88" i="10" s="1"/>
  <c r="F86" i="10"/>
  <c r="F84" i="10"/>
  <c r="Q84" i="10" s="1"/>
  <c r="F82" i="10"/>
  <c r="F80" i="10"/>
  <c r="Q80" i="10" s="1"/>
  <c r="F78" i="10"/>
  <c r="F76" i="10"/>
  <c r="Q76" i="10" s="1"/>
  <c r="F74" i="10"/>
  <c r="F72" i="10"/>
  <c r="Q72" i="10" s="1"/>
  <c r="F70" i="10"/>
  <c r="F68" i="10"/>
  <c r="Q68" i="10" s="1"/>
  <c r="F66" i="10"/>
  <c r="F64" i="10"/>
  <c r="Q64" i="10" s="1"/>
  <c r="F62" i="10"/>
  <c r="F60" i="10"/>
  <c r="Q60" i="10" s="1"/>
  <c r="F58" i="10"/>
  <c r="F56" i="10"/>
  <c r="P56" i="10" s="1"/>
  <c r="F54" i="10"/>
  <c r="F52" i="10"/>
  <c r="P52" i="10" s="1"/>
  <c r="F50" i="10"/>
  <c r="F48" i="10"/>
  <c r="P48" i="10" s="1"/>
  <c r="F46" i="10"/>
  <c r="F44" i="10"/>
  <c r="P44" i="10" s="1"/>
  <c r="F42" i="10"/>
  <c r="F40" i="10"/>
  <c r="P40" i="10" s="1"/>
  <c r="F38" i="10"/>
  <c r="F36" i="10"/>
  <c r="Q36" i="10" s="1"/>
  <c r="F34" i="10"/>
  <c r="F32" i="10"/>
  <c r="Q32" i="10" s="1"/>
  <c r="F30" i="10"/>
  <c r="F28" i="10"/>
  <c r="P28" i="10" s="1"/>
  <c r="F26" i="10"/>
  <c r="F24" i="10"/>
  <c r="F22" i="10"/>
  <c r="F16" i="10"/>
  <c r="F14" i="10"/>
  <c r="F8" i="10"/>
  <c r="F9" i="10"/>
  <c r="F7" i="10"/>
  <c r="F115" i="10"/>
  <c r="Q115" i="10" s="1"/>
  <c r="F113" i="10"/>
  <c r="Q113" i="10" s="1"/>
  <c r="F111" i="10"/>
  <c r="Q111" i="10" s="1"/>
  <c r="F109" i="10"/>
  <c r="P109" i="10" s="1"/>
  <c r="F107" i="10"/>
  <c r="P107" i="10" s="1"/>
  <c r="F105" i="10"/>
  <c r="P105" i="10" s="1"/>
  <c r="F103" i="10"/>
  <c r="P103" i="10" s="1"/>
  <c r="F101" i="10"/>
  <c r="P101" i="10" s="1"/>
  <c r="F99" i="10"/>
  <c r="P99" i="10" s="1"/>
  <c r="F97" i="10"/>
  <c r="P97" i="10" s="1"/>
  <c r="F21" i="10"/>
  <c r="F19" i="10"/>
  <c r="F13" i="10"/>
  <c r="F95" i="10"/>
  <c r="W95" i="10" s="1"/>
  <c r="F93" i="10"/>
  <c r="W93" i="10" s="1"/>
  <c r="F91" i="10"/>
  <c r="W91" i="10" s="1"/>
  <c r="F89" i="10"/>
  <c r="W89" i="10" s="1"/>
  <c r="F87" i="10"/>
  <c r="W87" i="10" s="1"/>
  <c r="F85" i="10"/>
  <c r="W85" i="10" s="1"/>
  <c r="F83" i="10"/>
  <c r="W83" i="10" s="1"/>
  <c r="F81" i="10"/>
  <c r="W81" i="10" s="1"/>
  <c r="F79" i="10"/>
  <c r="W79" i="10" s="1"/>
  <c r="F77" i="10"/>
  <c r="W77" i="10" s="1"/>
  <c r="F75" i="10"/>
  <c r="W75" i="10" s="1"/>
  <c r="F73" i="10"/>
  <c r="W73" i="10" s="1"/>
  <c r="F71" i="10"/>
  <c r="W71" i="10" s="1"/>
  <c r="F69" i="10"/>
  <c r="W69" i="10" s="1"/>
  <c r="F67" i="10"/>
  <c r="W67" i="10" s="1"/>
  <c r="F65" i="10"/>
  <c r="W65" i="10" s="1"/>
  <c r="F63" i="10"/>
  <c r="W63" i="10" s="1"/>
  <c r="F61" i="10"/>
  <c r="W61" i="10" s="1"/>
  <c r="F59" i="10"/>
  <c r="W59" i="10" s="1"/>
  <c r="F57" i="10"/>
  <c r="W57" i="10" s="1"/>
  <c r="F55" i="10"/>
  <c r="W55" i="10" s="1"/>
  <c r="F53" i="10"/>
  <c r="W53" i="10" s="1"/>
  <c r="F51" i="10"/>
  <c r="W51" i="10" s="1"/>
  <c r="F49" i="10"/>
  <c r="W49" i="10" s="1"/>
  <c r="F47" i="10"/>
  <c r="W47" i="10" s="1"/>
  <c r="F45" i="10"/>
  <c r="W45" i="10" s="1"/>
  <c r="F43" i="10"/>
  <c r="W43" i="10" s="1"/>
  <c r="F41" i="10"/>
  <c r="W41" i="10" s="1"/>
  <c r="F39" i="10"/>
  <c r="W39" i="10" s="1"/>
  <c r="F37" i="10"/>
  <c r="W37" i="10" s="1"/>
  <c r="F35" i="10"/>
  <c r="W35" i="10" s="1"/>
  <c r="F33" i="10"/>
  <c r="W33" i="10" s="1"/>
  <c r="F31" i="10"/>
  <c r="W31" i="10" s="1"/>
  <c r="F29" i="10"/>
  <c r="W29" i="10" s="1"/>
  <c r="F27" i="10"/>
  <c r="W27" i="10" s="1"/>
  <c r="F25" i="10"/>
  <c r="W25" i="10" s="1"/>
  <c r="F23" i="10"/>
  <c r="W23" i="10" s="1"/>
  <c r="F17" i="10"/>
  <c r="F15" i="10"/>
  <c r="F11" i="10"/>
  <c r="W28" i="10" l="1"/>
  <c r="P32" i="10"/>
  <c r="P36" i="10"/>
  <c r="Q40" i="10"/>
  <c r="U40" i="10" s="1"/>
  <c r="Q44" i="10"/>
  <c r="T44" i="10" s="1"/>
  <c r="Q48" i="10"/>
  <c r="T48" i="10" s="1"/>
  <c r="Q52" i="10"/>
  <c r="T52" i="10" s="1"/>
  <c r="Q56" i="10"/>
  <c r="T56" i="10" s="1"/>
  <c r="W60" i="10"/>
  <c r="W64" i="10"/>
  <c r="W68" i="10"/>
  <c r="W72" i="10"/>
  <c r="W76" i="10"/>
  <c r="W80" i="10"/>
  <c r="W84" i="10"/>
  <c r="W88" i="10"/>
  <c r="W98" i="10"/>
  <c r="P106" i="10"/>
  <c r="W112" i="10"/>
  <c r="P114" i="10"/>
  <c r="P59" i="10"/>
  <c r="P67" i="10"/>
  <c r="P75" i="10"/>
  <c r="P83" i="10"/>
  <c r="P95" i="10"/>
  <c r="W101" i="10"/>
  <c r="W109" i="10"/>
  <c r="P111" i="10"/>
  <c r="W113" i="10"/>
  <c r="P115" i="10"/>
  <c r="P24" i="10"/>
  <c r="W92" i="10"/>
  <c r="W102" i="10"/>
  <c r="P110" i="10"/>
  <c r="P112" i="10"/>
  <c r="W114" i="10"/>
  <c r="P23" i="10"/>
  <c r="Q27" i="10"/>
  <c r="R27" i="10" s="1"/>
  <c r="P27" i="10"/>
  <c r="Q31" i="10"/>
  <c r="R31" i="10" s="1"/>
  <c r="P31" i="10"/>
  <c r="Q35" i="10"/>
  <c r="R35" i="10" s="1"/>
  <c r="P35" i="10"/>
  <c r="Q39" i="10"/>
  <c r="R39" i="10" s="1"/>
  <c r="P39" i="10"/>
  <c r="Q43" i="10"/>
  <c r="R43" i="10" s="1"/>
  <c r="P43" i="10"/>
  <c r="Q47" i="10"/>
  <c r="R47" i="10" s="1"/>
  <c r="P47" i="10"/>
  <c r="Q51" i="10"/>
  <c r="R51" i="10" s="1"/>
  <c r="P51" i="10"/>
  <c r="Q55" i="10"/>
  <c r="R55" i="10" s="1"/>
  <c r="P55" i="10"/>
  <c r="P63" i="10"/>
  <c r="P71" i="10"/>
  <c r="P79" i="10"/>
  <c r="P87" i="10"/>
  <c r="P91" i="10"/>
  <c r="W97" i="10"/>
  <c r="W105" i="10"/>
  <c r="W111" i="10"/>
  <c r="P113" i="10"/>
  <c r="W115" i="10"/>
  <c r="O115" i="10"/>
  <c r="X116" i="10"/>
  <c r="U113" i="10"/>
  <c r="R113" i="10"/>
  <c r="T113" i="10"/>
  <c r="S113" i="10"/>
  <c r="U98" i="10"/>
  <c r="T98" i="10"/>
  <c r="R98" i="10"/>
  <c r="S98" i="10"/>
  <c r="U102" i="10"/>
  <c r="T102" i="10"/>
  <c r="R102" i="10"/>
  <c r="S102" i="10"/>
  <c r="U114" i="10"/>
  <c r="R114" i="10"/>
  <c r="S114" i="10"/>
  <c r="T114" i="10"/>
  <c r="U111" i="10"/>
  <c r="R111" i="10"/>
  <c r="T111" i="10"/>
  <c r="S111" i="10"/>
  <c r="U115" i="10"/>
  <c r="T115" i="10"/>
  <c r="R115" i="10"/>
  <c r="S115" i="10"/>
  <c r="U96" i="10"/>
  <c r="T96" i="10"/>
  <c r="R96" i="10"/>
  <c r="S96" i="10"/>
  <c r="U100" i="10"/>
  <c r="T100" i="10"/>
  <c r="R100" i="10"/>
  <c r="S100" i="10"/>
  <c r="U112" i="10"/>
  <c r="R112" i="10"/>
  <c r="S112" i="10"/>
  <c r="T112" i="10"/>
  <c r="U116" i="10"/>
  <c r="T116" i="10"/>
  <c r="S116" i="10"/>
  <c r="R116" i="10"/>
  <c r="U32" i="10"/>
  <c r="T32" i="10"/>
  <c r="R32" i="10"/>
  <c r="S32" i="10"/>
  <c r="U36" i="10"/>
  <c r="T36" i="10"/>
  <c r="R36" i="10"/>
  <c r="S36" i="10"/>
  <c r="U60" i="10"/>
  <c r="T60" i="10"/>
  <c r="R60" i="10"/>
  <c r="S60" i="10"/>
  <c r="U64" i="10"/>
  <c r="T64" i="10"/>
  <c r="R64" i="10"/>
  <c r="S64" i="10"/>
  <c r="U68" i="10"/>
  <c r="T68" i="10"/>
  <c r="R68" i="10"/>
  <c r="S68" i="10"/>
  <c r="U72" i="10"/>
  <c r="T72" i="10"/>
  <c r="R72" i="10"/>
  <c r="S72" i="10"/>
  <c r="U76" i="10"/>
  <c r="T76" i="10"/>
  <c r="R76" i="10"/>
  <c r="S76" i="10"/>
  <c r="U80" i="10"/>
  <c r="T80" i="10"/>
  <c r="R80" i="10"/>
  <c r="S80" i="10"/>
  <c r="U84" i="10"/>
  <c r="T84" i="10"/>
  <c r="R84" i="10"/>
  <c r="S84" i="10"/>
  <c r="U88" i="10"/>
  <c r="T88" i="10"/>
  <c r="R88" i="10"/>
  <c r="S88" i="10"/>
  <c r="U92" i="10"/>
  <c r="T92" i="10"/>
  <c r="R92" i="10"/>
  <c r="S92" i="10"/>
  <c r="U5" i="10"/>
  <c r="R5" i="10"/>
  <c r="T5" i="10"/>
  <c r="S5" i="10"/>
  <c r="P22" i="10"/>
  <c r="P26" i="10"/>
  <c r="Q26" i="10"/>
  <c r="P30" i="10"/>
  <c r="Q30" i="10"/>
  <c r="P34" i="10"/>
  <c r="Q34" i="10"/>
  <c r="P38" i="10"/>
  <c r="Q38" i="10"/>
  <c r="P42" i="10"/>
  <c r="Q42" i="10"/>
  <c r="P46" i="10"/>
  <c r="Q46" i="10"/>
  <c r="P50" i="10"/>
  <c r="Q50" i="10"/>
  <c r="P54" i="10"/>
  <c r="Q54" i="10"/>
  <c r="P58" i="10"/>
  <c r="Q58" i="10"/>
  <c r="P62" i="10"/>
  <c r="Q62" i="10"/>
  <c r="P66" i="10"/>
  <c r="Q66" i="10"/>
  <c r="P70" i="10"/>
  <c r="Q70" i="10"/>
  <c r="P74" i="10"/>
  <c r="Q74" i="10"/>
  <c r="P78" i="10"/>
  <c r="Q78" i="10"/>
  <c r="P82" i="10"/>
  <c r="Q82" i="10"/>
  <c r="P86" i="10"/>
  <c r="Q86" i="10"/>
  <c r="P90" i="10"/>
  <c r="Q90" i="10"/>
  <c r="P94" i="10"/>
  <c r="Q94" i="10"/>
  <c r="P96" i="10"/>
  <c r="P100" i="10"/>
  <c r="P104" i="10"/>
  <c r="P108" i="10"/>
  <c r="Q25" i="10"/>
  <c r="P25" i="10"/>
  <c r="Q29" i="10"/>
  <c r="P29" i="10"/>
  <c r="Q33" i="10"/>
  <c r="P33" i="10"/>
  <c r="Q37" i="10"/>
  <c r="P37" i="10"/>
  <c r="Q41" i="10"/>
  <c r="P41" i="10"/>
  <c r="Q45" i="10"/>
  <c r="P45" i="10"/>
  <c r="Q49" i="10"/>
  <c r="P49" i="10"/>
  <c r="Q53" i="10"/>
  <c r="P53" i="10"/>
  <c r="Q57" i="10"/>
  <c r="P57" i="10"/>
  <c r="Q61" i="10"/>
  <c r="P61" i="10"/>
  <c r="Q65" i="10"/>
  <c r="P65" i="10"/>
  <c r="Q69" i="10"/>
  <c r="P69" i="10"/>
  <c r="Q73" i="10"/>
  <c r="P73" i="10"/>
  <c r="Q77" i="10"/>
  <c r="P77" i="10"/>
  <c r="Q81" i="10"/>
  <c r="P81" i="10"/>
  <c r="Q85" i="10"/>
  <c r="P85" i="10"/>
  <c r="Q89" i="10"/>
  <c r="P89" i="10"/>
  <c r="Q93" i="10"/>
  <c r="P93" i="10"/>
  <c r="P21" i="10"/>
  <c r="Q99" i="10"/>
  <c r="W99" i="10"/>
  <c r="Q103" i="10"/>
  <c r="W103" i="10"/>
  <c r="W107" i="10"/>
  <c r="W22" i="10"/>
  <c r="W24" i="10"/>
  <c r="W26" i="10"/>
  <c r="Q28" i="10"/>
  <c r="W30" i="10"/>
  <c r="W32" i="10"/>
  <c r="W34" i="10"/>
  <c r="W36" i="10"/>
  <c r="W38" i="10"/>
  <c r="W40" i="10"/>
  <c r="W42" i="10"/>
  <c r="W44" i="10"/>
  <c r="W46" i="10"/>
  <c r="W48" i="10"/>
  <c r="W50" i="10"/>
  <c r="W52" i="10"/>
  <c r="W54" i="10"/>
  <c r="W56" i="10"/>
  <c r="W58" i="10"/>
  <c r="P60" i="10"/>
  <c r="W62" i="10"/>
  <c r="P64" i="10"/>
  <c r="W66" i="10"/>
  <c r="P68" i="10"/>
  <c r="W70" i="10"/>
  <c r="P72" i="10"/>
  <c r="W74" i="10"/>
  <c r="P76" i="10"/>
  <c r="W78" i="10"/>
  <c r="P80" i="10"/>
  <c r="W82" i="10"/>
  <c r="P84" i="10"/>
  <c r="W86" i="10"/>
  <c r="P88" i="10"/>
  <c r="W90" i="10"/>
  <c r="P92" i="10"/>
  <c r="W94" i="10"/>
  <c r="W96" i="10"/>
  <c r="P98" i="10"/>
  <c r="W100" i="10"/>
  <c r="P102" i="10"/>
  <c r="Q104" i="10"/>
  <c r="Q106" i="10"/>
  <c r="Q108" i="10"/>
  <c r="Q110" i="10"/>
  <c r="Q59" i="10"/>
  <c r="Q63" i="10"/>
  <c r="Q67" i="10"/>
  <c r="Q71" i="10"/>
  <c r="Q75" i="10"/>
  <c r="Q79" i="10"/>
  <c r="Q83" i="10"/>
  <c r="Q87" i="10"/>
  <c r="Q91" i="10"/>
  <c r="Q95" i="10"/>
  <c r="Q97" i="10"/>
  <c r="Q101" i="10"/>
  <c r="Q105" i="10"/>
  <c r="Q107" i="10"/>
  <c r="Q109" i="10"/>
  <c r="AG5" i="12"/>
  <c r="AD6" i="12" s="1"/>
  <c r="AE6" i="12" s="1"/>
  <c r="AF6" i="12" s="1"/>
  <c r="M4" i="7"/>
  <c r="O4" i="7"/>
  <c r="H4" i="7"/>
  <c r="F4" i="7"/>
  <c r="G4" i="7" s="1"/>
  <c r="U48" i="10" l="1"/>
  <c r="U56" i="10"/>
  <c r="S40" i="10"/>
  <c r="U44" i="10"/>
  <c r="R56" i="10"/>
  <c r="R48" i="10"/>
  <c r="T40" i="10"/>
  <c r="S56" i="10"/>
  <c r="S48" i="10"/>
  <c r="R40" i="10"/>
  <c r="U47" i="10"/>
  <c r="U31" i="10"/>
  <c r="U55" i="10"/>
  <c r="U39" i="10"/>
  <c r="U51" i="10"/>
  <c r="U43" i="10"/>
  <c r="U35" i="10"/>
  <c r="U27" i="10"/>
  <c r="U52" i="10"/>
  <c r="T55" i="10"/>
  <c r="T51" i="10"/>
  <c r="T47" i="10"/>
  <c r="T43" i="10"/>
  <c r="T39" i="10"/>
  <c r="T35" i="10"/>
  <c r="T31" i="10"/>
  <c r="T27" i="10"/>
  <c r="R52" i="10"/>
  <c r="R44" i="10"/>
  <c r="S55" i="10"/>
  <c r="S51" i="10"/>
  <c r="S47" i="10"/>
  <c r="S43" i="10"/>
  <c r="S39" i="10"/>
  <c r="S35" i="10"/>
  <c r="S31" i="10"/>
  <c r="S27" i="10"/>
  <c r="S52" i="10"/>
  <c r="S44" i="10"/>
  <c r="U109" i="10"/>
  <c r="R109" i="10"/>
  <c r="T109" i="10"/>
  <c r="S109" i="10"/>
  <c r="U107" i="10"/>
  <c r="R107" i="10"/>
  <c r="T107" i="10"/>
  <c r="S107" i="10"/>
  <c r="U105" i="10"/>
  <c r="R105" i="10"/>
  <c r="T105" i="10"/>
  <c r="S105" i="10"/>
  <c r="U97" i="10"/>
  <c r="R97" i="10"/>
  <c r="T97" i="10"/>
  <c r="S97" i="10"/>
  <c r="U91" i="10"/>
  <c r="R91" i="10"/>
  <c r="T91" i="10"/>
  <c r="S91" i="10"/>
  <c r="U83" i="10"/>
  <c r="R83" i="10"/>
  <c r="T83" i="10"/>
  <c r="S83" i="10"/>
  <c r="U75" i="10"/>
  <c r="R75" i="10"/>
  <c r="T75" i="10"/>
  <c r="S75" i="10"/>
  <c r="U67" i="10"/>
  <c r="R67" i="10"/>
  <c r="T67" i="10"/>
  <c r="S67" i="10"/>
  <c r="U59" i="10"/>
  <c r="R59" i="10"/>
  <c r="T59" i="10"/>
  <c r="S59" i="10"/>
  <c r="U108" i="10"/>
  <c r="R108" i="10"/>
  <c r="S108" i="10"/>
  <c r="T108" i="10"/>
  <c r="U104" i="10"/>
  <c r="R104" i="10"/>
  <c r="S104" i="10"/>
  <c r="T104" i="10"/>
  <c r="U103" i="10"/>
  <c r="R103" i="10"/>
  <c r="T103" i="10"/>
  <c r="S103" i="10"/>
  <c r="U99" i="10"/>
  <c r="R99" i="10"/>
  <c r="T99" i="10"/>
  <c r="S99" i="10"/>
  <c r="U93" i="10"/>
  <c r="R93" i="10"/>
  <c r="T93" i="10"/>
  <c r="S93" i="10"/>
  <c r="U85" i="10"/>
  <c r="R85" i="10"/>
  <c r="T85" i="10"/>
  <c r="S85" i="10"/>
  <c r="U77" i="10"/>
  <c r="R77" i="10"/>
  <c r="T77" i="10"/>
  <c r="S77" i="10"/>
  <c r="U69" i="10"/>
  <c r="R69" i="10"/>
  <c r="T69" i="10"/>
  <c r="S69" i="10"/>
  <c r="U61" i="10"/>
  <c r="R61" i="10"/>
  <c r="T61" i="10"/>
  <c r="S61" i="10"/>
  <c r="U53" i="10"/>
  <c r="R53" i="10"/>
  <c r="T53" i="10"/>
  <c r="S53" i="10"/>
  <c r="U49" i="10"/>
  <c r="R49" i="10"/>
  <c r="T49" i="10"/>
  <c r="S49" i="10"/>
  <c r="U45" i="10"/>
  <c r="R45" i="10"/>
  <c r="T45" i="10"/>
  <c r="S45" i="10"/>
  <c r="U41" i="10"/>
  <c r="R41" i="10"/>
  <c r="T41" i="10"/>
  <c r="S41" i="10"/>
  <c r="U37" i="10"/>
  <c r="R37" i="10"/>
  <c r="T37" i="10"/>
  <c r="S37" i="10"/>
  <c r="U33" i="10"/>
  <c r="R33" i="10"/>
  <c r="T33" i="10"/>
  <c r="S33" i="10"/>
  <c r="U29" i="10"/>
  <c r="R29" i="10"/>
  <c r="T29" i="10"/>
  <c r="S29" i="10"/>
  <c r="U25" i="10"/>
  <c r="R25" i="10"/>
  <c r="T25" i="10"/>
  <c r="S25" i="10"/>
  <c r="U101" i="10"/>
  <c r="R101" i="10"/>
  <c r="T101" i="10"/>
  <c r="S101" i="10"/>
  <c r="U95" i="10"/>
  <c r="R95" i="10"/>
  <c r="T95" i="10"/>
  <c r="S95" i="10"/>
  <c r="U87" i="10"/>
  <c r="R87" i="10"/>
  <c r="T87" i="10"/>
  <c r="S87" i="10"/>
  <c r="U79" i="10"/>
  <c r="R79" i="10"/>
  <c r="T79" i="10"/>
  <c r="S79" i="10"/>
  <c r="U71" i="10"/>
  <c r="R71" i="10"/>
  <c r="T71" i="10"/>
  <c r="S71" i="10"/>
  <c r="U63" i="10"/>
  <c r="R63" i="10"/>
  <c r="T63" i="10"/>
  <c r="S63" i="10"/>
  <c r="U110" i="10"/>
  <c r="R110" i="10"/>
  <c r="S110" i="10"/>
  <c r="T110" i="10"/>
  <c r="U106" i="10"/>
  <c r="R106" i="10"/>
  <c r="S106" i="10"/>
  <c r="T106" i="10"/>
  <c r="U28" i="10"/>
  <c r="R28" i="10"/>
  <c r="T28" i="10"/>
  <c r="S28" i="10"/>
  <c r="U89" i="10"/>
  <c r="R89" i="10"/>
  <c r="T89" i="10"/>
  <c r="S89" i="10"/>
  <c r="U81" i="10"/>
  <c r="R81" i="10"/>
  <c r="T81" i="10"/>
  <c r="S81" i="10"/>
  <c r="U73" i="10"/>
  <c r="R73" i="10"/>
  <c r="T73" i="10"/>
  <c r="S73" i="10"/>
  <c r="U65" i="10"/>
  <c r="R65" i="10"/>
  <c r="T65" i="10"/>
  <c r="S65" i="10"/>
  <c r="U57" i="10"/>
  <c r="R57" i="10"/>
  <c r="T57" i="10"/>
  <c r="S57" i="10"/>
  <c r="U94" i="10"/>
  <c r="T94" i="10"/>
  <c r="R94" i="10"/>
  <c r="S94" i="10"/>
  <c r="U90" i="10"/>
  <c r="T90" i="10"/>
  <c r="R90" i="10"/>
  <c r="S90" i="10"/>
  <c r="U86" i="10"/>
  <c r="T86" i="10"/>
  <c r="R86" i="10"/>
  <c r="S86" i="10"/>
  <c r="U82" i="10"/>
  <c r="T82" i="10"/>
  <c r="R82" i="10"/>
  <c r="S82" i="10"/>
  <c r="U78" i="10"/>
  <c r="T78" i="10"/>
  <c r="R78" i="10"/>
  <c r="S78" i="10"/>
  <c r="U74" i="10"/>
  <c r="T74" i="10"/>
  <c r="R74" i="10"/>
  <c r="S74" i="10"/>
  <c r="U70" i="10"/>
  <c r="T70" i="10"/>
  <c r="R70" i="10"/>
  <c r="S70" i="10"/>
  <c r="U66" i="10"/>
  <c r="T66" i="10"/>
  <c r="R66" i="10"/>
  <c r="S66" i="10"/>
  <c r="U62" i="10"/>
  <c r="T62" i="10"/>
  <c r="R62" i="10"/>
  <c r="S62" i="10"/>
  <c r="U58" i="10"/>
  <c r="T58" i="10"/>
  <c r="R58" i="10"/>
  <c r="S58" i="10"/>
  <c r="U54" i="10"/>
  <c r="T54" i="10"/>
  <c r="R54" i="10"/>
  <c r="S54" i="10"/>
  <c r="U50" i="10"/>
  <c r="T50" i="10"/>
  <c r="R50" i="10"/>
  <c r="S50" i="10"/>
  <c r="U46" i="10"/>
  <c r="T46" i="10"/>
  <c r="R46" i="10"/>
  <c r="S46" i="10"/>
  <c r="U42" i="10"/>
  <c r="T42" i="10"/>
  <c r="R42" i="10"/>
  <c r="S42" i="10"/>
  <c r="U38" i="10"/>
  <c r="T38" i="10"/>
  <c r="R38" i="10"/>
  <c r="S38" i="10"/>
  <c r="U34" i="10"/>
  <c r="T34" i="10"/>
  <c r="R34" i="10"/>
  <c r="S34" i="10"/>
  <c r="U30" i="10"/>
  <c r="T30" i="10"/>
  <c r="R30" i="10"/>
  <c r="S30" i="10"/>
  <c r="U26" i="10"/>
  <c r="T26" i="10"/>
  <c r="R26" i="10"/>
  <c r="S26" i="10"/>
  <c r="E5" i="7"/>
  <c r="F5" i="7" s="1"/>
  <c r="G5" i="7" s="1"/>
  <c r="L5" i="7"/>
  <c r="N4" i="7"/>
  <c r="R4" i="7"/>
  <c r="AG6" i="12"/>
  <c r="AD7" i="12" s="1"/>
  <c r="AB6" i="12"/>
  <c r="H5" i="7" l="1"/>
  <c r="E6" i="7"/>
  <c r="H6" i="7" s="1"/>
  <c r="M5" i="7"/>
  <c r="O5" i="7"/>
  <c r="AE7" i="12"/>
  <c r="AF7" i="12" s="1"/>
  <c r="AB7" i="12" s="1"/>
  <c r="F6" i="7" l="1"/>
  <c r="G6" i="7" s="1"/>
  <c r="AG7" i="12"/>
  <c r="AD8" i="12" s="1"/>
  <c r="AE8" i="12" s="1"/>
  <c r="AF8" i="12" s="1"/>
  <c r="L6" i="7"/>
  <c r="R5" i="7"/>
  <c r="N5" i="7"/>
  <c r="E7" i="7" l="1"/>
  <c r="M6" i="7"/>
  <c r="L7" i="7" s="1"/>
  <c r="O6" i="7"/>
  <c r="AG8" i="12"/>
  <c r="AD9" i="12" s="1"/>
  <c r="AB8" i="12"/>
  <c r="F7" i="7" l="1"/>
  <c r="G7" i="7" s="1"/>
  <c r="H7" i="7"/>
  <c r="M7" i="7"/>
  <c r="O7" i="7"/>
  <c r="R6" i="7"/>
  <c r="N6" i="7"/>
  <c r="AE9" i="12"/>
  <c r="AF9" i="12" s="1"/>
  <c r="AB9" i="12" s="1"/>
  <c r="E8" i="7" l="1"/>
  <c r="F8" i="7" s="1"/>
  <c r="G8" i="7" s="1"/>
  <c r="AG9" i="12"/>
  <c r="AD10" i="12" s="1"/>
  <c r="AE10" i="12" s="1"/>
  <c r="N7" i="7"/>
  <c r="R7" i="7"/>
  <c r="L8" i="7"/>
  <c r="H8" i="7" l="1"/>
  <c r="E9" i="7"/>
  <c r="H9" i="7" s="1"/>
  <c r="AF10" i="12"/>
  <c r="AB10" i="12" s="1"/>
  <c r="O8" i="7"/>
  <c r="M8" i="7"/>
  <c r="L9" i="7" s="1"/>
  <c r="F9" i="7" l="1"/>
  <c r="G9" i="7" s="1"/>
  <c r="AG10" i="12"/>
  <c r="AD11" i="12" s="1"/>
  <c r="AE11" i="12" s="1"/>
  <c r="R8" i="7"/>
  <c r="N8" i="7"/>
  <c r="M9" i="7"/>
  <c r="L10" i="7" s="1"/>
  <c r="O9" i="7"/>
  <c r="E10" i="7" l="1"/>
  <c r="H10" i="7" s="1"/>
  <c r="AF11" i="12"/>
  <c r="AB11" i="12" s="1"/>
  <c r="M10" i="7"/>
  <c r="O10" i="7"/>
  <c r="R9" i="7"/>
  <c r="N9" i="7"/>
  <c r="F10" i="7" l="1"/>
  <c r="G10" i="7" s="1"/>
  <c r="AG11" i="12"/>
  <c r="AD12" i="12" s="1"/>
  <c r="AE12" i="12" s="1"/>
  <c r="AF12" i="12" s="1"/>
  <c r="N10" i="7"/>
  <c r="R10" i="7"/>
  <c r="L11" i="7"/>
  <c r="E11" i="7" l="1"/>
  <c r="F11" i="7" s="1"/>
  <c r="G11" i="7" s="1"/>
  <c r="AB12" i="12"/>
  <c r="AG12" i="12"/>
  <c r="AD13" i="12" s="1"/>
  <c r="O11" i="7"/>
  <c r="M11" i="7"/>
  <c r="E12" i="7" l="1"/>
  <c r="H12" i="7" s="1"/>
  <c r="H11" i="7"/>
  <c r="AE13" i="12"/>
  <c r="AF13" i="12" s="1"/>
  <c r="AB13" i="12" s="1"/>
  <c r="R11" i="7"/>
  <c r="N11" i="7"/>
  <c r="L12" i="7"/>
  <c r="F12" i="7" l="1"/>
  <c r="G12" i="7" s="1"/>
  <c r="AG13" i="12"/>
  <c r="AD14" i="12" s="1"/>
  <c r="O12" i="7"/>
  <c r="M12" i="7"/>
  <c r="E13" i="7" l="1"/>
  <c r="F13" i="7" s="1"/>
  <c r="G13" i="7" s="1"/>
  <c r="AE14" i="12"/>
  <c r="AF14" i="12" s="1"/>
  <c r="AB14" i="12" s="1"/>
  <c r="L13" i="7"/>
  <c r="R12" i="7"/>
  <c r="N12" i="7"/>
  <c r="E14" i="7" l="1"/>
  <c r="H14" i="7" s="1"/>
  <c r="H13" i="7"/>
  <c r="AG14" i="12"/>
  <c r="AD15" i="12" s="1"/>
  <c r="M13" i="7"/>
  <c r="L14" i="7" s="1"/>
  <c r="O13" i="7"/>
  <c r="F14" i="7" l="1"/>
  <c r="G14" i="7" s="1"/>
  <c r="AE15" i="12"/>
  <c r="AF15" i="12" s="1"/>
  <c r="AB15" i="12" s="1"/>
  <c r="R13" i="7"/>
  <c r="N13" i="7"/>
  <c r="O14" i="7"/>
  <c r="M14" i="7"/>
  <c r="E15" i="7" l="1"/>
  <c r="F15" i="7" s="1"/>
  <c r="G15" i="7" s="1"/>
  <c r="AG15" i="12"/>
  <c r="AD16" i="12" s="1"/>
  <c r="L15" i="7"/>
  <c r="R14" i="7"/>
  <c r="N14" i="7"/>
  <c r="H15" i="7" l="1"/>
  <c r="E16" i="7"/>
  <c r="H16" i="7" s="1"/>
  <c r="AE16" i="12"/>
  <c r="AF16" i="12" s="1"/>
  <c r="AB16" i="12" s="1"/>
  <c r="M15" i="7"/>
  <c r="O15" i="7"/>
  <c r="F16" i="7" l="1"/>
  <c r="G16" i="7" s="1"/>
  <c r="AG16" i="12"/>
  <c r="AD17" i="12" s="1"/>
  <c r="N15" i="7"/>
  <c r="R15" i="7"/>
  <c r="L16" i="7"/>
  <c r="E17" i="7" l="1"/>
  <c r="F17" i="7" s="1"/>
  <c r="G17" i="7" s="1"/>
  <c r="AE17" i="12"/>
  <c r="AF17" i="12" s="1"/>
  <c r="O16" i="7"/>
  <c r="M16" i="7"/>
  <c r="L17" i="7" s="1"/>
  <c r="E18" i="7" l="1"/>
  <c r="H18" i="7" s="1"/>
  <c r="H17" i="7"/>
  <c r="AB17" i="12"/>
  <c r="AG17" i="12"/>
  <c r="AD18" i="12" s="1"/>
  <c r="O17" i="7"/>
  <c r="M17" i="7"/>
  <c r="L18" i="7" s="1"/>
  <c r="N16" i="7"/>
  <c r="R16" i="7"/>
  <c r="F18" i="7" l="1"/>
  <c r="E19" i="7" s="1"/>
  <c r="H19" i="7" s="1"/>
  <c r="AE18" i="12"/>
  <c r="AF18" i="12" s="1"/>
  <c r="AB18" i="12" s="1"/>
  <c r="O18" i="7"/>
  <c r="M18" i="7"/>
  <c r="R17" i="7"/>
  <c r="N17" i="7"/>
  <c r="F19" i="7" l="1"/>
  <c r="E20" i="7" s="1"/>
  <c r="G18" i="7"/>
  <c r="AG18" i="12"/>
  <c r="AD19" i="12" s="1"/>
  <c r="L19" i="7"/>
  <c r="N18" i="7"/>
  <c r="R18" i="7"/>
  <c r="G19" i="7" l="1"/>
  <c r="H20" i="7"/>
  <c r="F20" i="7"/>
  <c r="AE19" i="12"/>
  <c r="AF19" i="12" s="1"/>
  <c r="O19" i="7"/>
  <c r="M19" i="7"/>
  <c r="L20" i="7" s="1"/>
  <c r="E21" i="7" l="1"/>
  <c r="G20" i="7"/>
  <c r="AB19" i="12"/>
  <c r="AG19" i="12"/>
  <c r="AD20" i="12" s="1"/>
  <c r="O20" i="7"/>
  <c r="M20" i="7"/>
  <c r="R19" i="7"/>
  <c r="N19" i="7"/>
  <c r="H21" i="7" l="1"/>
  <c r="F21" i="7"/>
  <c r="G21" i="7" s="1"/>
  <c r="AE20" i="12"/>
  <c r="AF20" i="12" s="1"/>
  <c r="AB20" i="12" s="1"/>
  <c r="L21" i="7"/>
  <c r="N20" i="7"/>
  <c r="R20" i="7"/>
  <c r="E22" i="7" l="1"/>
  <c r="H22" i="7" s="1"/>
  <c r="AG20" i="12"/>
  <c r="AD21" i="12" s="1"/>
  <c r="O21" i="7"/>
  <c r="M21" i="7"/>
  <c r="L22" i="7" s="1"/>
  <c r="F22" i="7" l="1"/>
  <c r="G22" i="7" s="1"/>
  <c r="AE21" i="12"/>
  <c r="AF21" i="12" s="1"/>
  <c r="AB21" i="12" s="1"/>
  <c r="O22" i="7"/>
  <c r="M22" i="7"/>
  <c r="L23" i="7" s="1"/>
  <c r="N21" i="7"/>
  <c r="R21" i="7"/>
  <c r="E23" i="7" l="1"/>
  <c r="F23" i="7" s="1"/>
  <c r="AG21" i="12"/>
  <c r="AD22" i="12" s="1"/>
  <c r="O23" i="7"/>
  <c r="M23" i="7"/>
  <c r="L24" i="7" s="1"/>
  <c r="N22" i="7"/>
  <c r="R22" i="7"/>
  <c r="H23" i="7" l="1"/>
  <c r="G23" i="7"/>
  <c r="E24" i="7"/>
  <c r="AE22" i="12"/>
  <c r="AF22" i="12" s="1"/>
  <c r="AB22" i="12" s="1"/>
  <c r="M24" i="7"/>
  <c r="O24" i="7"/>
  <c r="N23" i="7"/>
  <c r="R23" i="7"/>
  <c r="H24" i="7" l="1"/>
  <c r="F24" i="7"/>
  <c r="AG22" i="12"/>
  <c r="AD23" i="12" s="1"/>
  <c r="AE23" i="12" s="1"/>
  <c r="AF23" i="12" s="1"/>
  <c r="L25" i="7"/>
  <c r="N24" i="7"/>
  <c r="R24" i="7"/>
  <c r="G24" i="7" l="1"/>
  <c r="E25" i="7"/>
  <c r="AG23" i="12"/>
  <c r="AD24" i="12" s="1"/>
  <c r="AB23" i="12"/>
  <c r="O25" i="7"/>
  <c r="M25" i="7"/>
  <c r="L26" i="7" s="1"/>
  <c r="F25" i="7" l="1"/>
  <c r="H25" i="7"/>
  <c r="AE24" i="12"/>
  <c r="AF24" i="12" s="1"/>
  <c r="AB24" i="12" s="1"/>
  <c r="O26" i="7"/>
  <c r="M26" i="7"/>
  <c r="L27" i="7" s="1"/>
  <c r="N25" i="7"/>
  <c r="R25" i="7"/>
  <c r="G25" i="7" l="1"/>
  <c r="E26" i="7"/>
  <c r="AG24" i="12"/>
  <c r="AD25" i="12" s="1"/>
  <c r="M27" i="7"/>
  <c r="L28" i="7" s="1"/>
  <c r="O27" i="7"/>
  <c r="R26" i="7"/>
  <c r="N26" i="7"/>
  <c r="F26" i="7" l="1"/>
  <c r="G26" i="7" s="1"/>
  <c r="H26" i="7"/>
  <c r="AE25" i="12"/>
  <c r="AF25" i="12" s="1"/>
  <c r="M28" i="7"/>
  <c r="O28" i="7"/>
  <c r="N27" i="7"/>
  <c r="R27" i="7"/>
  <c r="E27" i="7" l="1"/>
  <c r="AG25" i="12"/>
  <c r="AD26" i="12" s="1"/>
  <c r="AB25" i="12"/>
  <c r="L29" i="7"/>
  <c r="R28" i="7"/>
  <c r="N28" i="7"/>
  <c r="H27" i="7" l="1"/>
  <c r="F27" i="7"/>
  <c r="G27" i="7" s="1"/>
  <c r="AE26" i="12"/>
  <c r="AF26" i="12" s="1"/>
  <c r="AB26" i="12" s="1"/>
  <c r="M29" i="7"/>
  <c r="O29" i="7"/>
  <c r="E28" i="7" l="1"/>
  <c r="AG26" i="12"/>
  <c r="AD27" i="12" s="1"/>
  <c r="N29" i="7"/>
  <c r="R29" i="7"/>
  <c r="L30" i="7"/>
  <c r="F28" i="7" l="1"/>
  <c r="G28" i="7" s="1"/>
  <c r="H28" i="7"/>
  <c r="AE27" i="12"/>
  <c r="AF27" i="12" s="1"/>
  <c r="M30" i="7"/>
  <c r="O30" i="7"/>
  <c r="E29" i="7" l="1"/>
  <c r="F29" i="7" s="1"/>
  <c r="AB27" i="12"/>
  <c r="AG27" i="12"/>
  <c r="AD28" i="12" s="1"/>
  <c r="L31" i="7"/>
  <c r="R30" i="7"/>
  <c r="N30" i="7"/>
  <c r="H29" i="7" l="1"/>
  <c r="G29" i="7"/>
  <c r="E30" i="7"/>
  <c r="F30" i="7" s="1"/>
  <c r="AE28" i="12"/>
  <c r="M31" i="7"/>
  <c r="O31" i="7"/>
  <c r="H30" i="7" l="1"/>
  <c r="G30" i="7"/>
  <c r="E31" i="7"/>
  <c r="AF28" i="12"/>
  <c r="AB28" i="12" s="1"/>
  <c r="N31" i="7"/>
  <c r="R31" i="7"/>
  <c r="L32" i="7"/>
  <c r="F31" i="7" l="1"/>
  <c r="H31" i="7"/>
  <c r="AG28" i="12"/>
  <c r="AD29" i="12" s="1"/>
  <c r="O32" i="7"/>
  <c r="M32" i="7"/>
  <c r="G31" i="7" l="1"/>
  <c r="E32" i="7"/>
  <c r="AE29" i="12"/>
  <c r="AF29" i="12" s="1"/>
  <c r="AB29" i="12" s="1"/>
  <c r="R32" i="7"/>
  <c r="N32" i="7"/>
  <c r="L33" i="7"/>
  <c r="F32" i="7" l="1"/>
  <c r="G32" i="7" s="1"/>
  <c r="H32" i="7"/>
  <c r="AG29" i="12"/>
  <c r="AD30" i="12" s="1"/>
  <c r="M33" i="7"/>
  <c r="O33" i="7"/>
  <c r="AE30" i="12" l="1"/>
  <c r="AF30" i="12" s="1"/>
  <c r="AB30" i="12" s="1"/>
  <c r="E33" i="7"/>
  <c r="R33" i="7"/>
  <c r="N33" i="7"/>
  <c r="L34" i="7"/>
  <c r="AG30" i="12" l="1"/>
  <c r="AD31" i="12" s="1"/>
  <c r="F33" i="7"/>
  <c r="G33" i="7" s="1"/>
  <c r="H33" i="7"/>
  <c r="M34" i="7"/>
  <c r="O34" i="7"/>
  <c r="AE31" i="12" l="1"/>
  <c r="AF31" i="12" s="1"/>
  <c r="E34" i="7"/>
  <c r="H34" i="7" s="1"/>
  <c r="AG31" i="12"/>
  <c r="AD32" i="12" s="1"/>
  <c r="AB31" i="12"/>
  <c r="N34" i="7"/>
  <c r="R34" i="7"/>
  <c r="L35" i="7"/>
  <c r="F34" i="7" l="1"/>
  <c r="G34" i="7" s="1"/>
  <c r="AE32" i="12"/>
  <c r="AF32" i="12" s="1"/>
  <c r="M35" i="7"/>
  <c r="O35" i="7"/>
  <c r="E35" i="7" l="1"/>
  <c r="H35" i="7" s="1"/>
  <c r="AB32" i="12"/>
  <c r="AG32" i="12"/>
  <c r="AD33" i="12" s="1"/>
  <c r="L36" i="7"/>
  <c r="N35" i="7"/>
  <c r="R35" i="7"/>
  <c r="F35" i="7" l="1"/>
  <c r="G35" i="7" s="1"/>
  <c r="AE33" i="12"/>
  <c r="AF33" i="12" s="1"/>
  <c r="M36" i="7"/>
  <c r="O36" i="7"/>
  <c r="E36" i="7" l="1"/>
  <c r="F36" i="7" s="1"/>
  <c r="G36" i="7" s="1"/>
  <c r="AB33" i="12"/>
  <c r="AG33" i="12"/>
  <c r="AD34" i="12" s="1"/>
  <c r="L37" i="7"/>
  <c r="N36" i="7"/>
  <c r="R36" i="7"/>
  <c r="H36" i="7" l="1"/>
  <c r="E37" i="7"/>
  <c r="H37" i="7" s="1"/>
  <c r="AE34" i="12"/>
  <c r="AF34" i="12" s="1"/>
  <c r="AB34" i="12" s="1"/>
  <c r="M37" i="7"/>
  <c r="O37" i="7"/>
  <c r="F37" i="7" l="1"/>
  <c r="G37" i="7" s="1"/>
  <c r="AG34" i="12"/>
  <c r="AD35" i="12" s="1"/>
  <c r="L38" i="7"/>
  <c r="R37" i="7"/>
  <c r="N37" i="7"/>
  <c r="AE35" i="12" l="1"/>
  <c r="AF35" i="12" s="1"/>
  <c r="AB35" i="12" s="1"/>
  <c r="E38" i="7"/>
  <c r="H38" i="7" s="1"/>
  <c r="M38" i="7"/>
  <c r="O38" i="7"/>
  <c r="AG35" i="12" l="1"/>
  <c r="AD36" i="12" s="1"/>
  <c r="F38" i="7"/>
  <c r="G38" i="7" s="1"/>
  <c r="R38" i="7"/>
  <c r="N38" i="7"/>
  <c r="L39" i="7"/>
  <c r="AE36" i="12" l="1"/>
  <c r="AF36" i="12" s="1"/>
  <c r="AB36" i="12" s="1"/>
  <c r="E39" i="7"/>
  <c r="F39" i="7" s="1"/>
  <c r="AG36" i="12"/>
  <c r="AD37" i="12" s="1"/>
  <c r="M39" i="7"/>
  <c r="O39" i="7"/>
  <c r="H39" i="7" l="1"/>
  <c r="G39" i="7"/>
  <c r="E40" i="7"/>
  <c r="AE37" i="12"/>
  <c r="AF37" i="12" s="1"/>
  <c r="N39" i="7"/>
  <c r="R39" i="7"/>
  <c r="L40" i="7"/>
  <c r="F40" i="7" l="1"/>
  <c r="G40" i="7" s="1"/>
  <c r="H40" i="7"/>
  <c r="AG37" i="12"/>
  <c r="AD38" i="12" s="1"/>
  <c r="AB37" i="12"/>
  <c r="M40" i="7"/>
  <c r="O40" i="7"/>
  <c r="E41" i="7" l="1"/>
  <c r="H41" i="7" s="1"/>
  <c r="AE38" i="12"/>
  <c r="AF38" i="12" s="1"/>
  <c r="L41" i="7"/>
  <c r="N40" i="7"/>
  <c r="R40" i="7"/>
  <c r="F41" i="7" l="1"/>
  <c r="G41" i="7" s="1"/>
  <c r="AB38" i="12"/>
  <c r="AG38" i="12"/>
  <c r="AD39" i="12" s="1"/>
  <c r="O41" i="7"/>
  <c r="M41" i="7"/>
  <c r="L42" i="7" s="1"/>
  <c r="E42" i="7" l="1"/>
  <c r="H42" i="7" s="1"/>
  <c r="AE39" i="12"/>
  <c r="AF39" i="12" s="1"/>
  <c r="M42" i="7"/>
  <c r="O42" i="7"/>
  <c r="R41" i="7"/>
  <c r="N41" i="7"/>
  <c r="F42" i="7" l="1"/>
  <c r="G42" i="7" s="1"/>
  <c r="AG39" i="12"/>
  <c r="AD40" i="12" s="1"/>
  <c r="AB39" i="12"/>
  <c r="N42" i="7"/>
  <c r="R42" i="7"/>
  <c r="L43" i="7"/>
  <c r="E43" i="7" l="1"/>
  <c r="H43" i="7" s="1"/>
  <c r="AE40" i="12"/>
  <c r="O43" i="7"/>
  <c r="M43" i="7"/>
  <c r="L44" i="7" s="1"/>
  <c r="F43" i="7" l="1"/>
  <c r="G43" i="7" s="1"/>
  <c r="AF40" i="12"/>
  <c r="AB40" i="12" s="1"/>
  <c r="O44" i="7"/>
  <c r="M44" i="7"/>
  <c r="R43" i="7"/>
  <c r="N43" i="7"/>
  <c r="E44" i="7" l="1"/>
  <c r="H44" i="7" s="1"/>
  <c r="AG40" i="12"/>
  <c r="AD41" i="12" s="1"/>
  <c r="L45" i="7"/>
  <c r="R44" i="7"/>
  <c r="N44" i="7"/>
  <c r="F44" i="7" l="1"/>
  <c r="G44" i="7" s="1"/>
  <c r="AE41" i="12"/>
  <c r="AF41" i="12" s="1"/>
  <c r="AB41" i="12" s="1"/>
  <c r="M45" i="7"/>
  <c r="O45" i="7"/>
  <c r="E45" i="7" l="1"/>
  <c r="H45" i="7" s="1"/>
  <c r="AG41" i="12"/>
  <c r="AD42" i="12" s="1"/>
  <c r="R45" i="7"/>
  <c r="N45" i="7"/>
  <c r="L46" i="7"/>
  <c r="AE42" i="12" l="1"/>
  <c r="AF42" i="12" s="1"/>
  <c r="AB42" i="12" s="1"/>
  <c r="F45" i="7"/>
  <c r="G45" i="7" s="1"/>
  <c r="O46" i="7"/>
  <c r="M46" i="7"/>
  <c r="AG42" i="12" l="1"/>
  <c r="AD43" i="12" s="1"/>
  <c r="E46" i="7"/>
  <c r="F46" i="7" s="1"/>
  <c r="G46" i="7" s="1"/>
  <c r="L47" i="7"/>
  <c r="N46" i="7"/>
  <c r="R46" i="7"/>
  <c r="AE43" i="12" l="1"/>
  <c r="AF43" i="12" s="1"/>
  <c r="AB43" i="12" s="1"/>
  <c r="H46" i="7"/>
  <c r="E47" i="7"/>
  <c r="F47" i="7" s="1"/>
  <c r="AG43" i="12"/>
  <c r="AD44" i="12" s="1"/>
  <c r="M47" i="7"/>
  <c r="O47" i="7"/>
  <c r="H47" i="7" l="1"/>
  <c r="G47" i="7"/>
  <c r="E48" i="7"/>
  <c r="AE44" i="12"/>
  <c r="AF44" i="12" s="1"/>
  <c r="AB44" i="12" s="1"/>
  <c r="L48" i="7"/>
  <c r="R47" i="7"/>
  <c r="N47" i="7"/>
  <c r="F48" i="7" l="1"/>
  <c r="H48" i="7"/>
  <c r="AG44" i="12"/>
  <c r="AD45" i="12" s="1"/>
  <c r="O48" i="7"/>
  <c r="M48" i="7"/>
  <c r="G48" i="7" l="1"/>
  <c r="E49" i="7"/>
  <c r="AE45" i="12"/>
  <c r="AF45" i="12" s="1"/>
  <c r="AB45" i="12" s="1"/>
  <c r="L49" i="7"/>
  <c r="R48" i="7"/>
  <c r="N48" i="7"/>
  <c r="AG45" i="12" l="1"/>
  <c r="AD46" i="12" s="1"/>
  <c r="H49" i="7"/>
  <c r="F49" i="7"/>
  <c r="M49" i="7"/>
  <c r="O49" i="7"/>
  <c r="AE46" i="12" l="1"/>
  <c r="AF46" i="12" s="1"/>
  <c r="AB46" i="12" s="1"/>
  <c r="E50" i="7"/>
  <c r="G49" i="7"/>
  <c r="R49" i="7"/>
  <c r="N49" i="7"/>
  <c r="L50" i="7"/>
  <c r="AG46" i="12" l="1"/>
  <c r="AD47" i="12" s="1"/>
  <c r="H50" i="7"/>
  <c r="F50" i="7"/>
  <c r="M50" i="7"/>
  <c r="O50" i="7"/>
  <c r="AE47" i="12" l="1"/>
  <c r="AF47" i="12" s="1"/>
  <c r="AB47" i="12" s="1"/>
  <c r="E51" i="7"/>
  <c r="G50" i="7"/>
  <c r="R50" i="7"/>
  <c r="N50" i="7"/>
  <c r="L51" i="7"/>
  <c r="AG47" i="12" l="1"/>
  <c r="AD48" i="12" s="1"/>
  <c r="H51" i="7"/>
  <c r="F51" i="7"/>
  <c r="M51" i="7"/>
  <c r="O51" i="7"/>
  <c r="AE48" i="12" l="1"/>
  <c r="AF48" i="12" s="1"/>
  <c r="AB48" i="12" s="1"/>
  <c r="G51" i="7"/>
  <c r="E52" i="7"/>
  <c r="R51" i="7"/>
  <c r="N51" i="7"/>
  <c r="L52" i="7"/>
  <c r="AG48" i="12" l="1"/>
  <c r="AD49" i="12" s="1"/>
  <c r="F52" i="7"/>
  <c r="H52" i="7"/>
  <c r="M52" i="7"/>
  <c r="O52" i="7"/>
  <c r="AE49" i="12" l="1"/>
  <c r="AF49" i="12" s="1"/>
  <c r="AB49" i="12" s="1"/>
  <c r="G52" i="7"/>
  <c r="E53" i="7"/>
  <c r="N52" i="7"/>
  <c r="R52" i="7"/>
  <c r="L53" i="7"/>
  <c r="AG49" i="12" l="1"/>
  <c r="AD50" i="12" s="1"/>
  <c r="F53" i="7"/>
  <c r="H53" i="7"/>
  <c r="O53" i="7"/>
  <c r="M53" i="7"/>
  <c r="L54" i="7" s="1"/>
  <c r="AE50" i="12" l="1"/>
  <c r="AF50" i="12" s="1"/>
  <c r="G53" i="7"/>
  <c r="E54" i="7"/>
  <c r="M54" i="7"/>
  <c r="O54" i="7"/>
  <c r="N53" i="7"/>
  <c r="R53" i="7"/>
  <c r="AB50" i="12" l="1"/>
  <c r="AG50" i="12"/>
  <c r="AD51" i="12" s="1"/>
  <c r="H54" i="7"/>
  <c r="F54" i="7"/>
  <c r="L55" i="7"/>
  <c r="N54" i="7"/>
  <c r="R54" i="7"/>
  <c r="AE51" i="12" l="1"/>
  <c r="AF51" i="12" s="1"/>
  <c r="G54" i="7"/>
  <c r="E55" i="7"/>
  <c r="O55" i="7"/>
  <c r="M55" i="7"/>
  <c r="L56" i="7" s="1"/>
  <c r="AB51" i="12" l="1"/>
  <c r="AG51" i="12"/>
  <c r="AD52" i="12" s="1"/>
  <c r="H55" i="7"/>
  <c r="F55" i="7"/>
  <c r="G55" i="7" s="1"/>
  <c r="O56" i="7"/>
  <c r="M56" i="7"/>
  <c r="L57" i="7" s="1"/>
  <c r="N55" i="7"/>
  <c r="R55" i="7"/>
  <c r="AE52" i="12" l="1"/>
  <c r="AF52" i="12" s="1"/>
  <c r="AB52" i="12" s="1"/>
  <c r="E56" i="7"/>
  <c r="O57" i="7"/>
  <c r="M57" i="7"/>
  <c r="R56" i="7"/>
  <c r="N56" i="7"/>
  <c r="AG52" i="12" l="1"/>
  <c r="AD53" i="12" s="1"/>
  <c r="H56" i="7"/>
  <c r="F56" i="7"/>
  <c r="G56" i="7" s="1"/>
  <c r="L58" i="7"/>
  <c r="R57" i="7"/>
  <c r="N57" i="7"/>
  <c r="AE53" i="12" l="1"/>
  <c r="AF53" i="12" s="1"/>
  <c r="AB53" i="12" s="1"/>
  <c r="AG53" i="12"/>
  <c r="AD54" i="12" s="1"/>
  <c r="E57" i="7"/>
  <c r="O58" i="7"/>
  <c r="M58" i="7"/>
  <c r="AE54" i="12" l="1"/>
  <c r="AF54" i="12" s="1"/>
  <c r="AB54" i="12" s="1"/>
  <c r="H57" i="7"/>
  <c r="F57" i="7"/>
  <c r="G57" i="7" s="1"/>
  <c r="L59" i="7"/>
  <c r="N58" i="7"/>
  <c r="R58" i="7"/>
  <c r="AG54" i="12" l="1"/>
  <c r="AD55" i="12" s="1"/>
  <c r="E58" i="7"/>
  <c r="F58" i="7" s="1"/>
  <c r="M59" i="7"/>
  <c r="O59" i="7"/>
  <c r="AE55" i="12" l="1"/>
  <c r="AF55" i="12" s="1"/>
  <c r="AB55" i="12" s="1"/>
  <c r="H58" i="7"/>
  <c r="G58" i="7"/>
  <c r="E59" i="7"/>
  <c r="H59" i="7" s="1"/>
  <c r="L60" i="7"/>
  <c r="R59" i="7"/>
  <c r="N59" i="7"/>
  <c r="AG55" i="12" l="1"/>
  <c r="AD56" i="12" s="1"/>
  <c r="F59" i="7"/>
  <c r="G59" i="7" s="1"/>
  <c r="O60" i="7"/>
  <c r="M60" i="7"/>
  <c r="AE56" i="12" l="1"/>
  <c r="AF56" i="12" s="1"/>
  <c r="AB56" i="12" s="1"/>
  <c r="E60" i="7"/>
  <c r="H60" i="7" s="1"/>
  <c r="L61" i="7"/>
  <c r="N60" i="7"/>
  <c r="R60" i="7"/>
  <c r="AG56" i="12" l="1"/>
  <c r="AD57" i="12" s="1"/>
  <c r="F60" i="7"/>
  <c r="G60" i="7" s="1"/>
  <c r="M61" i="7"/>
  <c r="O61" i="7"/>
  <c r="AE57" i="12" l="1"/>
  <c r="AF57" i="12" s="1"/>
  <c r="AB57" i="12" s="1"/>
  <c r="AG57" i="12"/>
  <c r="AD58" i="12" s="1"/>
  <c r="E61" i="7"/>
  <c r="F61" i="7" s="1"/>
  <c r="L62" i="7"/>
  <c r="R61" i="7"/>
  <c r="N61" i="7"/>
  <c r="AE58" i="12" l="1"/>
  <c r="AF58" i="12" s="1"/>
  <c r="AB58" i="12" s="1"/>
  <c r="H61" i="7"/>
  <c r="G61" i="7"/>
  <c r="E62" i="7"/>
  <c r="O62" i="7"/>
  <c r="M62" i="7"/>
  <c r="AG58" i="12" l="1"/>
  <c r="AD59" i="12" s="1"/>
  <c r="H62" i="7"/>
  <c r="F62" i="7"/>
  <c r="G62" i="7" s="1"/>
  <c r="L63" i="7"/>
  <c r="N62" i="7"/>
  <c r="R62" i="7"/>
  <c r="AE59" i="12" l="1"/>
  <c r="AF59" i="12" s="1"/>
  <c r="E63" i="7"/>
  <c r="F63" i="7" s="1"/>
  <c r="M63" i="7"/>
  <c r="O63" i="7"/>
  <c r="AB59" i="12" l="1"/>
  <c r="AG59" i="12"/>
  <c r="AD60" i="12" s="1"/>
  <c r="H63" i="7"/>
  <c r="G63" i="7"/>
  <c r="E64" i="7"/>
  <c r="H64" i="7" s="1"/>
  <c r="L64" i="7"/>
  <c r="N63" i="7"/>
  <c r="R63" i="7"/>
  <c r="AE60" i="12" l="1"/>
  <c r="AF60" i="12" s="1"/>
  <c r="AB60" i="12" s="1"/>
  <c r="F64" i="7"/>
  <c r="G64" i="7" s="1"/>
  <c r="O64" i="7"/>
  <c r="M64" i="7"/>
  <c r="L65" i="7" s="1"/>
  <c r="AG60" i="12" l="1"/>
  <c r="AD61" i="12" s="1"/>
  <c r="E65" i="7"/>
  <c r="H65" i="7" s="1"/>
  <c r="M65" i="7"/>
  <c r="O65" i="7"/>
  <c r="N64" i="7"/>
  <c r="R64" i="7"/>
  <c r="AE61" i="12" l="1"/>
  <c r="AF61" i="12" s="1"/>
  <c r="AB61" i="12" s="1"/>
  <c r="F65" i="7"/>
  <c r="G65" i="7" s="1"/>
  <c r="L66" i="7"/>
  <c r="N65" i="7"/>
  <c r="R65" i="7"/>
  <c r="AG61" i="12" l="1"/>
  <c r="AD62" i="12" s="1"/>
  <c r="E66" i="7"/>
  <c r="H66" i="7" s="1"/>
  <c r="M66" i="7"/>
  <c r="O66" i="7"/>
  <c r="AE62" i="12" l="1"/>
  <c r="AF62" i="12" s="1"/>
  <c r="AB62" i="12" s="1"/>
  <c r="F66" i="7"/>
  <c r="G66" i="7" s="1"/>
  <c r="L67" i="7"/>
  <c r="N66" i="7"/>
  <c r="R66" i="7"/>
  <c r="AG62" i="12" l="1"/>
  <c r="AD63" i="12" s="1"/>
  <c r="E67" i="7"/>
  <c r="H67" i="7" s="1"/>
  <c r="M67" i="7"/>
  <c r="O67" i="7"/>
  <c r="AE63" i="12" l="1"/>
  <c r="AF63" i="12" s="1"/>
  <c r="AB63" i="12" s="1"/>
  <c r="F67" i="7"/>
  <c r="G67" i="7" s="1"/>
  <c r="L68" i="7"/>
  <c r="R67" i="7"/>
  <c r="N67" i="7"/>
  <c r="AG63" i="12" l="1"/>
  <c r="AD64" i="12" s="1"/>
  <c r="E68" i="7"/>
  <c r="H68" i="7" s="1"/>
  <c r="M68" i="7"/>
  <c r="O68" i="7"/>
  <c r="AE64" i="12" l="1"/>
  <c r="AF64" i="12" s="1"/>
  <c r="AB64" i="12" s="1"/>
  <c r="F68" i="7"/>
  <c r="G68" i="7" s="1"/>
  <c r="N68" i="7"/>
  <c r="R68" i="7"/>
  <c r="L69" i="7"/>
  <c r="AG64" i="12" l="1"/>
  <c r="AD65" i="12" s="1"/>
  <c r="E69" i="7"/>
  <c r="H69" i="7" s="1"/>
  <c r="M69" i="7"/>
  <c r="O69" i="7"/>
  <c r="AE65" i="12" l="1"/>
  <c r="AF65" i="12" s="1"/>
  <c r="AB65" i="12" s="1"/>
  <c r="F69" i="7"/>
  <c r="G69" i="7" s="1"/>
  <c r="L70" i="7"/>
  <c r="N69" i="7"/>
  <c r="R69" i="7"/>
  <c r="AG65" i="12" l="1"/>
  <c r="AD66" i="12" s="1"/>
  <c r="E70" i="7"/>
  <c r="H70" i="7" s="1"/>
  <c r="M70" i="7"/>
  <c r="O70" i="7"/>
  <c r="AE66" i="12" l="1"/>
  <c r="AF66" i="12" s="1"/>
  <c r="AB66" i="12" s="1"/>
  <c r="F70" i="7"/>
  <c r="G70" i="7" s="1"/>
  <c r="L71" i="7"/>
  <c r="N70" i="7"/>
  <c r="R70" i="7"/>
  <c r="AG66" i="12" l="1"/>
  <c r="AD67" i="12" s="1"/>
  <c r="E71" i="7"/>
  <c r="F71" i="7" s="1"/>
  <c r="G71" i="7" s="1"/>
  <c r="M71" i="7"/>
  <c r="O71" i="7"/>
  <c r="AE67" i="12" l="1"/>
  <c r="AF67" i="12" s="1"/>
  <c r="AB67" i="12" s="1"/>
  <c r="E72" i="7"/>
  <c r="F72" i="7" s="1"/>
  <c r="G72" i="7" s="1"/>
  <c r="H71" i="7"/>
  <c r="L72" i="7"/>
  <c r="N71" i="7"/>
  <c r="R71" i="7"/>
  <c r="AG67" i="12" l="1"/>
  <c r="AD68" i="12" s="1"/>
  <c r="H72" i="7"/>
  <c r="E73" i="7"/>
  <c r="F73" i="7" s="1"/>
  <c r="G73" i="7" s="1"/>
  <c r="M72" i="7"/>
  <c r="O72" i="7"/>
  <c r="AE68" i="12" l="1"/>
  <c r="AF68" i="12" s="1"/>
  <c r="AB68" i="12" s="1"/>
  <c r="E74" i="7"/>
  <c r="F74" i="7" s="1"/>
  <c r="G74" i="7" s="1"/>
  <c r="H73" i="7"/>
  <c r="L73" i="7"/>
  <c r="N72" i="7"/>
  <c r="R72" i="7"/>
  <c r="AG68" i="12" l="1"/>
  <c r="AD69" i="12" s="1"/>
  <c r="H74" i="7"/>
  <c r="E75" i="7"/>
  <c r="F75" i="7" s="1"/>
  <c r="G75" i="7" s="1"/>
  <c r="M73" i="7"/>
  <c r="O73" i="7"/>
  <c r="AE69" i="12" l="1"/>
  <c r="AF69" i="12" s="1"/>
  <c r="AB69" i="12" s="1"/>
  <c r="H75" i="7"/>
  <c r="E76" i="7"/>
  <c r="F76" i="7" s="1"/>
  <c r="G76" i="7" s="1"/>
  <c r="L74" i="7"/>
  <c r="R73" i="7"/>
  <c r="N73" i="7"/>
  <c r="AG69" i="12" l="1"/>
  <c r="AD70" i="12" s="1"/>
  <c r="H76" i="7"/>
  <c r="E77" i="7"/>
  <c r="F77" i="7" s="1"/>
  <c r="G77" i="7" s="1"/>
  <c r="O74" i="7"/>
  <c r="M74" i="7"/>
  <c r="AE70" i="12" l="1"/>
  <c r="AF70" i="12" s="1"/>
  <c r="AB70" i="12" s="1"/>
  <c r="H77" i="7"/>
  <c r="E78" i="7"/>
  <c r="H78" i="7" s="1"/>
  <c r="L75" i="7"/>
  <c r="R74" i="7"/>
  <c r="N74" i="7"/>
  <c r="AG70" i="12" l="1"/>
  <c r="AD71" i="12" s="1"/>
  <c r="F78" i="7"/>
  <c r="G78" i="7" s="1"/>
  <c r="O75" i="7"/>
  <c r="M75" i="7"/>
  <c r="AE71" i="12" l="1"/>
  <c r="AF71" i="12" s="1"/>
  <c r="AB71" i="12" s="1"/>
  <c r="E79" i="7"/>
  <c r="H79" i="7" s="1"/>
  <c r="L76" i="7"/>
  <c r="N75" i="7"/>
  <c r="R75" i="7"/>
  <c r="AG71" i="12" l="1"/>
  <c r="AD72" i="12" s="1"/>
  <c r="F79" i="7"/>
  <c r="G79" i="7" s="1"/>
  <c r="O76" i="7"/>
  <c r="M76" i="7"/>
  <c r="L77" i="7" s="1"/>
  <c r="AE72" i="12" l="1"/>
  <c r="AF72" i="12" s="1"/>
  <c r="AB72" i="12" s="1"/>
  <c r="E80" i="7"/>
  <c r="H80" i="7" s="1"/>
  <c r="O77" i="7"/>
  <c r="M77" i="7"/>
  <c r="R76" i="7"/>
  <c r="N76" i="7"/>
  <c r="AG72" i="12" l="1"/>
  <c r="AD73" i="12" s="1"/>
  <c r="F80" i="7"/>
  <c r="G80" i="7" s="1"/>
  <c r="L78" i="7"/>
  <c r="N77" i="7"/>
  <c r="R77" i="7"/>
  <c r="AE73" i="12" l="1"/>
  <c r="AF73" i="12" s="1"/>
  <c r="AB73" i="12" s="1"/>
  <c r="E81" i="7"/>
  <c r="H81" i="7" s="1"/>
  <c r="M78" i="7"/>
  <c r="O78" i="7"/>
  <c r="AG73" i="12" l="1"/>
  <c r="AD74" i="12" s="1"/>
  <c r="F81" i="7"/>
  <c r="G81" i="7" s="1"/>
  <c r="L79" i="7"/>
  <c r="N78" i="7"/>
  <c r="R78" i="7"/>
  <c r="AE74" i="12" l="1"/>
  <c r="AF74" i="12" s="1"/>
  <c r="AB74" i="12" s="1"/>
  <c r="E82" i="7"/>
  <c r="F82" i="7" s="1"/>
  <c r="G82" i="7" s="1"/>
  <c r="G5" i="8" s="1"/>
  <c r="O79" i="7"/>
  <c r="M79" i="7"/>
  <c r="L80" i="7" s="1"/>
  <c r="AG74" i="12" l="1"/>
  <c r="AD75" i="12" s="1"/>
  <c r="H82" i="7"/>
  <c r="H5" i="8" s="1"/>
  <c r="E83" i="7"/>
  <c r="F83" i="7" s="1"/>
  <c r="G83" i="7" s="1"/>
  <c r="G6" i="8" s="1"/>
  <c r="O80" i="7"/>
  <c r="M80" i="7"/>
  <c r="L81" i="7" s="1"/>
  <c r="N79" i="7"/>
  <c r="R79" i="7"/>
  <c r="AE75" i="12" l="1"/>
  <c r="AF75" i="12" s="1"/>
  <c r="AB75" i="12" s="1"/>
  <c r="H83" i="7"/>
  <c r="H6" i="8" s="1"/>
  <c r="E84" i="7"/>
  <c r="H84" i="7" s="1"/>
  <c r="O81" i="7"/>
  <c r="M81" i="7"/>
  <c r="R80" i="7"/>
  <c r="N80" i="7"/>
  <c r="H7" i="8" l="1"/>
  <c r="AG75" i="12"/>
  <c r="AD76" i="12" s="1"/>
  <c r="F84" i="7"/>
  <c r="G84" i="7" s="1"/>
  <c r="G7" i="8" s="1"/>
  <c r="L82" i="7"/>
  <c r="N81" i="7"/>
  <c r="R81" i="7"/>
  <c r="AE76" i="12" l="1"/>
  <c r="AF76" i="12" s="1"/>
  <c r="AB76" i="12" s="1"/>
  <c r="E85" i="7"/>
  <c r="H85" i="7" s="1"/>
  <c r="H8" i="8" s="1"/>
  <c r="M82" i="7"/>
  <c r="O82" i="7"/>
  <c r="H5" i="9" s="1"/>
  <c r="AG76" i="12" l="1"/>
  <c r="AD77" i="12" s="1"/>
  <c r="F85" i="7"/>
  <c r="G85" i="7" s="1"/>
  <c r="G8" i="8" s="1"/>
  <c r="L83" i="7"/>
  <c r="N82" i="7"/>
  <c r="G5" i="9" s="1"/>
  <c r="R82" i="7"/>
  <c r="AZ5" i="12" s="1"/>
  <c r="AE77" i="12" l="1"/>
  <c r="AF77" i="12" s="1"/>
  <c r="AB77" i="12" s="1"/>
  <c r="E86" i="7"/>
  <c r="H86" i="7" s="1"/>
  <c r="H9" i="8" s="1"/>
  <c r="O83" i="7"/>
  <c r="H6" i="9" s="1"/>
  <c r="M83" i="7"/>
  <c r="L84" i="7" s="1"/>
  <c r="AG77" i="12" l="1"/>
  <c r="AD78" i="12" s="1"/>
  <c r="F86" i="7"/>
  <c r="G86" i="7" s="1"/>
  <c r="G9" i="8" s="1"/>
  <c r="M84" i="7"/>
  <c r="O84" i="7"/>
  <c r="H7" i="9" s="1"/>
  <c r="R83" i="7"/>
  <c r="AZ6" i="12" s="1"/>
  <c r="N83" i="7"/>
  <c r="G6" i="9" s="1"/>
  <c r="AE78" i="12" l="1"/>
  <c r="AF78" i="12" s="1"/>
  <c r="AB78" i="12" s="1"/>
  <c r="E87" i="7"/>
  <c r="H87" i="7" s="1"/>
  <c r="H10" i="8" s="1"/>
  <c r="N84" i="7"/>
  <c r="G7" i="9" s="1"/>
  <c r="R84" i="7"/>
  <c r="AZ7" i="12" s="1"/>
  <c r="L85" i="7"/>
  <c r="AG78" i="12" l="1"/>
  <c r="AD79" i="12" s="1"/>
  <c r="F87" i="7"/>
  <c r="G87" i="7" s="1"/>
  <c r="G10" i="8" s="1"/>
  <c r="O85" i="7"/>
  <c r="H8" i="9" s="1"/>
  <c r="M85" i="7"/>
  <c r="L86" i="7" s="1"/>
  <c r="AE79" i="12" l="1"/>
  <c r="AF79" i="12" s="1"/>
  <c r="AB79" i="12" s="1"/>
  <c r="E88" i="7"/>
  <c r="H88" i="7" s="1"/>
  <c r="H11" i="8" s="1"/>
  <c r="M86" i="7"/>
  <c r="O86" i="7"/>
  <c r="H9" i="9" s="1"/>
  <c r="R85" i="7"/>
  <c r="AZ8" i="12" s="1"/>
  <c r="N85" i="7"/>
  <c r="G8" i="9" s="1"/>
  <c r="AG79" i="12" l="1"/>
  <c r="AD80" i="12" s="1"/>
  <c r="F88" i="7"/>
  <c r="G88" i="7" s="1"/>
  <c r="G11" i="8" s="1"/>
  <c r="R86" i="7"/>
  <c r="AZ9" i="12" s="1"/>
  <c r="N86" i="7"/>
  <c r="G9" i="9" s="1"/>
  <c r="L87" i="7"/>
  <c r="AE80" i="12" l="1"/>
  <c r="AF80" i="12" s="1"/>
  <c r="AB80" i="12" s="1"/>
  <c r="E89" i="7"/>
  <c r="H89" i="7" s="1"/>
  <c r="H12" i="8" s="1"/>
  <c r="O87" i="7"/>
  <c r="H10" i="9" s="1"/>
  <c r="M87" i="7"/>
  <c r="AG80" i="12" l="1"/>
  <c r="AD81" i="12" s="1"/>
  <c r="F89" i="7"/>
  <c r="G89" i="7" s="1"/>
  <c r="G12" i="8" s="1"/>
  <c r="L88" i="7"/>
  <c r="N87" i="7"/>
  <c r="G10" i="9" s="1"/>
  <c r="R87" i="7"/>
  <c r="AZ10" i="12" s="1"/>
  <c r="AE81" i="12" l="1"/>
  <c r="AF81" i="12" s="1"/>
  <c r="AB81" i="12" s="1"/>
  <c r="E90" i="7"/>
  <c r="F90" i="7" s="1"/>
  <c r="G90" i="7" s="1"/>
  <c r="G13" i="8" s="1"/>
  <c r="M88" i="7"/>
  <c r="O88" i="7"/>
  <c r="H11" i="9" s="1"/>
  <c r="AG81" i="12" l="1"/>
  <c r="AD82" i="12" s="1"/>
  <c r="H90" i="7"/>
  <c r="H13" i="8" s="1"/>
  <c r="E91" i="7"/>
  <c r="L89" i="7"/>
  <c r="N88" i="7"/>
  <c r="G11" i="9" s="1"/>
  <c r="R88" i="7"/>
  <c r="AZ11" i="12" s="1"/>
  <c r="AE82" i="12" l="1"/>
  <c r="AF82" i="12" s="1"/>
  <c r="AB82" i="12" s="1"/>
  <c r="H91" i="7"/>
  <c r="H14" i="8" s="1"/>
  <c r="F91" i="7"/>
  <c r="G91" i="7" s="1"/>
  <c r="G14" i="8" s="1"/>
  <c r="O89" i="7"/>
  <c r="H12" i="9" s="1"/>
  <c r="M89" i="7"/>
  <c r="L90" i="7" s="1"/>
  <c r="AG82" i="12" l="1"/>
  <c r="AD83" i="12" s="1"/>
  <c r="E92" i="7"/>
  <c r="F92" i="7" s="1"/>
  <c r="M90" i="7"/>
  <c r="O90" i="7"/>
  <c r="H13" i="9" s="1"/>
  <c r="R89" i="7"/>
  <c r="AZ12" i="12" s="1"/>
  <c r="N89" i="7"/>
  <c r="G12" i="9" s="1"/>
  <c r="AE83" i="12" l="1"/>
  <c r="AF83" i="12" s="1"/>
  <c r="AB83" i="12" s="1"/>
  <c r="H92" i="7"/>
  <c r="H15" i="8" s="1"/>
  <c r="G92" i="7"/>
  <c r="G15" i="8" s="1"/>
  <c r="E93" i="7"/>
  <c r="R90" i="7"/>
  <c r="AZ13" i="12" s="1"/>
  <c r="N90" i="7"/>
  <c r="G13" i="9" s="1"/>
  <c r="L91" i="7"/>
  <c r="AG83" i="12" l="1"/>
  <c r="AD84" i="12" s="1"/>
  <c r="F93" i="7"/>
  <c r="H93" i="7"/>
  <c r="H16" i="8" s="1"/>
  <c r="M91" i="7"/>
  <c r="O91" i="7"/>
  <c r="H14" i="9" s="1"/>
  <c r="AE84" i="12" l="1"/>
  <c r="AF84" i="12" s="1"/>
  <c r="AB84" i="12" s="1"/>
  <c r="G93" i="7"/>
  <c r="G16" i="8" s="1"/>
  <c r="E94" i="7"/>
  <c r="N91" i="7"/>
  <c r="G14" i="9" s="1"/>
  <c r="R91" i="7"/>
  <c r="AZ14" i="12" s="1"/>
  <c r="L92" i="7"/>
  <c r="AG84" i="12" l="1"/>
  <c r="AD85" i="12" s="1"/>
  <c r="F94" i="7"/>
  <c r="G94" i="7" s="1"/>
  <c r="G17" i="8" s="1"/>
  <c r="H94" i="7"/>
  <c r="H17" i="8" s="1"/>
  <c r="M92" i="7"/>
  <c r="O92" i="7"/>
  <c r="H15" i="9" s="1"/>
  <c r="AE85" i="12" l="1"/>
  <c r="AF85" i="12" s="1"/>
  <c r="AB85" i="12" s="1"/>
  <c r="E95" i="7"/>
  <c r="H95" i="7" s="1"/>
  <c r="H18" i="8" s="1"/>
  <c r="L93" i="7"/>
  <c r="R92" i="7"/>
  <c r="AZ15" i="12" s="1"/>
  <c r="N92" i="7"/>
  <c r="G15" i="9" s="1"/>
  <c r="AG85" i="12" l="1"/>
  <c r="AD86" i="12" s="1"/>
  <c r="F95" i="7"/>
  <c r="E96" i="7" s="1"/>
  <c r="M93" i="7"/>
  <c r="O93" i="7"/>
  <c r="H16" i="9" s="1"/>
  <c r="AE86" i="12" l="1"/>
  <c r="AF86" i="12" s="1"/>
  <c r="AB86" i="12" s="1"/>
  <c r="G95" i="7"/>
  <c r="G18" i="8" s="1"/>
  <c r="F96" i="7"/>
  <c r="H96" i="7"/>
  <c r="H19" i="8" s="1"/>
  <c r="N93" i="7"/>
  <c r="G16" i="9" s="1"/>
  <c r="R93" i="7"/>
  <c r="AZ16" i="12" s="1"/>
  <c r="L94" i="7"/>
  <c r="AG86" i="12" l="1"/>
  <c r="AD87" i="12" s="1"/>
  <c r="E97" i="7"/>
  <c r="G96" i="7"/>
  <c r="G19" i="8" s="1"/>
  <c r="M94" i="7"/>
  <c r="O94" i="7"/>
  <c r="H17" i="9" s="1"/>
  <c r="AE87" i="12" l="1"/>
  <c r="AF87" i="12" s="1"/>
  <c r="AB87" i="12" s="1"/>
  <c r="F97" i="7"/>
  <c r="H97" i="7"/>
  <c r="H20" i="8" s="1"/>
  <c r="L95" i="7"/>
  <c r="R94" i="7"/>
  <c r="AZ17" i="12" s="1"/>
  <c r="N94" i="7"/>
  <c r="G17" i="9" s="1"/>
  <c r="AG87" i="12" l="1"/>
  <c r="AD88" i="12" s="1"/>
  <c r="G97" i="7"/>
  <c r="G20" i="8" s="1"/>
  <c r="E98" i="7"/>
  <c r="M95" i="7"/>
  <c r="O95" i="7"/>
  <c r="H18" i="9" s="1"/>
  <c r="AE88" i="12" l="1"/>
  <c r="AF88" i="12" s="1"/>
  <c r="AB88" i="12" s="1"/>
  <c r="H98" i="7"/>
  <c r="H21" i="8" s="1"/>
  <c r="P20" i="10" s="1"/>
  <c r="P19" i="10" s="1"/>
  <c r="P18" i="10" s="1"/>
  <c r="P17" i="10" s="1"/>
  <c r="P16" i="10" s="1"/>
  <c r="P15" i="10" s="1"/>
  <c r="P14" i="10" s="1"/>
  <c r="P13" i="10" s="1"/>
  <c r="P12" i="10" s="1"/>
  <c r="P11" i="10" s="1"/>
  <c r="P10" i="10" s="1"/>
  <c r="P9" i="10" s="1"/>
  <c r="P8" i="10" s="1"/>
  <c r="P7" i="10" s="1"/>
  <c r="P6" i="10" s="1"/>
  <c r="F98" i="7"/>
  <c r="R95" i="7"/>
  <c r="AZ18" i="12" s="1"/>
  <c r="N95" i="7"/>
  <c r="G18" i="9" s="1"/>
  <c r="L96" i="7"/>
  <c r="AG88" i="12" l="1"/>
  <c r="AD89" i="12" s="1"/>
  <c r="G98" i="7"/>
  <c r="G21" i="8" s="1"/>
  <c r="E99" i="7"/>
  <c r="O96" i="7"/>
  <c r="H19" i="9" s="1"/>
  <c r="M96" i="7"/>
  <c r="L97" i="7" s="1"/>
  <c r="AE89" i="12" l="1"/>
  <c r="AF89" i="12" s="1"/>
  <c r="AB89" i="12" s="1"/>
  <c r="H99" i="7"/>
  <c r="H22" i="8" s="1"/>
  <c r="F99" i="7"/>
  <c r="M97" i="7"/>
  <c r="O97" i="7"/>
  <c r="H20" i="9" s="1"/>
  <c r="N96" i="7"/>
  <c r="G19" i="9" s="1"/>
  <c r="R96" i="7"/>
  <c r="AZ19" i="12" s="1"/>
  <c r="AG89" i="12" l="1"/>
  <c r="AD90" i="12" s="1"/>
  <c r="G99" i="7"/>
  <c r="G22" i="8" s="1"/>
  <c r="E100" i="7"/>
  <c r="L98" i="7"/>
  <c r="R97" i="7"/>
  <c r="AZ20" i="12" s="1"/>
  <c r="N97" i="7"/>
  <c r="G20" i="9" s="1"/>
  <c r="AE90" i="12" l="1"/>
  <c r="AF90" i="12" s="1"/>
  <c r="AB90" i="12" s="1"/>
  <c r="H100" i="7"/>
  <c r="H23" i="8" s="1"/>
  <c r="F100" i="7"/>
  <c r="G100" i="7" s="1"/>
  <c r="G23" i="8" s="1"/>
  <c r="M98" i="7"/>
  <c r="O98" i="7"/>
  <c r="H21" i="9" s="1"/>
  <c r="AG90" i="12" l="1"/>
  <c r="AD91" i="12" s="1"/>
  <c r="E101" i="7"/>
  <c r="F101" i="7" s="1"/>
  <c r="G101" i="7" s="1"/>
  <c r="G24" i="8" s="1"/>
  <c r="N98" i="7"/>
  <c r="G21" i="9" s="1"/>
  <c r="R98" i="7"/>
  <c r="AZ21" i="12" s="1"/>
  <c r="L99" i="7"/>
  <c r="AE91" i="12" l="1"/>
  <c r="AF91" i="12" s="1"/>
  <c r="AB91" i="12" s="1"/>
  <c r="H101" i="7"/>
  <c r="H24" i="8" s="1"/>
  <c r="E102" i="7"/>
  <c r="M99" i="7"/>
  <c r="O99" i="7"/>
  <c r="H22" i="9" s="1"/>
  <c r="AG91" i="12" l="1"/>
  <c r="AD92" i="12" s="1"/>
  <c r="F102" i="7"/>
  <c r="G102" i="7" s="1"/>
  <c r="G25" i="8" s="1"/>
  <c r="H102" i="7"/>
  <c r="H25" i="8" s="1"/>
  <c r="L100" i="7"/>
  <c r="R99" i="7"/>
  <c r="AZ22" i="12" s="1"/>
  <c r="N99" i="7"/>
  <c r="G22" i="9" s="1"/>
  <c r="AE92" i="12" l="1"/>
  <c r="AF92" i="12" s="1"/>
  <c r="AB92" i="12" s="1"/>
  <c r="E103" i="7"/>
  <c r="F103" i="7" s="1"/>
  <c r="G103" i="7" s="1"/>
  <c r="M100" i="7"/>
  <c r="O100" i="7"/>
  <c r="H23" i="9" s="1"/>
  <c r="AG92" i="12" l="1"/>
  <c r="AD93" i="12" s="1"/>
  <c r="H103" i="7"/>
  <c r="H26" i="8" s="1"/>
  <c r="G26" i="8"/>
  <c r="E104" i="7"/>
  <c r="F104" i="7" s="1"/>
  <c r="G104" i="7" s="1"/>
  <c r="N100" i="7"/>
  <c r="G23" i="9" s="1"/>
  <c r="R100" i="7"/>
  <c r="AZ23" i="12" s="1"/>
  <c r="L101" i="7"/>
  <c r="AE93" i="12" l="1"/>
  <c r="AF93" i="12" s="1"/>
  <c r="AB93" i="12" s="1"/>
  <c r="G27" i="8"/>
  <c r="H104" i="7"/>
  <c r="E105" i="7"/>
  <c r="H105" i="7" s="1"/>
  <c r="M101" i="7"/>
  <c r="O101" i="7"/>
  <c r="H24" i="9" s="1"/>
  <c r="AG93" i="12" l="1"/>
  <c r="AD94" i="12" s="1"/>
  <c r="H27" i="8"/>
  <c r="H28" i="8"/>
  <c r="F105" i="7"/>
  <c r="G105" i="7" s="1"/>
  <c r="L102" i="7"/>
  <c r="N101" i="7"/>
  <c r="G24" i="9" s="1"/>
  <c r="R101" i="7"/>
  <c r="AZ24" i="12" s="1"/>
  <c r="AE94" i="12" l="1"/>
  <c r="AF94" i="12" s="1"/>
  <c r="G28" i="8"/>
  <c r="E106" i="7"/>
  <c r="F106" i="7" s="1"/>
  <c r="G106" i="7" s="1"/>
  <c r="M102" i="7"/>
  <c r="O102" i="7"/>
  <c r="H25" i="9" s="1"/>
  <c r="AB94" i="12" l="1"/>
  <c r="AG94" i="12"/>
  <c r="AD95" i="12" s="1"/>
  <c r="E107" i="7"/>
  <c r="H107" i="7" s="1"/>
  <c r="G29" i="8"/>
  <c r="H106" i="7"/>
  <c r="L103" i="7"/>
  <c r="N102" i="7"/>
  <c r="G25" i="9" s="1"/>
  <c r="R102" i="7"/>
  <c r="AZ25" i="12" s="1"/>
  <c r="AE95" i="12" l="1"/>
  <c r="AF95" i="12" s="1"/>
  <c r="F107" i="7"/>
  <c r="G107" i="7" s="1"/>
  <c r="H30" i="8"/>
  <c r="H29" i="8"/>
  <c r="M103" i="7"/>
  <c r="O103" i="7"/>
  <c r="H26" i="9" s="1"/>
  <c r="G30" i="8" l="1"/>
  <c r="AB95" i="12"/>
  <c r="AG95" i="12"/>
  <c r="AD96" i="12" s="1"/>
  <c r="E108" i="7"/>
  <c r="H108" i="7" s="1"/>
  <c r="L104" i="7"/>
  <c r="N103" i="7"/>
  <c r="G26" i="9" s="1"/>
  <c r="R103" i="7"/>
  <c r="AZ26" i="12" s="1"/>
  <c r="F108" i="7" l="1"/>
  <c r="G108" i="7" s="1"/>
  <c r="AE96" i="12"/>
  <c r="AF96" i="12" s="1"/>
  <c r="AB96" i="12" s="1"/>
  <c r="H31" i="8"/>
  <c r="M104" i="7"/>
  <c r="O104" i="7"/>
  <c r="H27" i="9" s="1"/>
  <c r="G31" i="8" l="1"/>
  <c r="E109" i="7"/>
  <c r="F109" i="7" s="1"/>
  <c r="G109" i="7" s="1"/>
  <c r="AG96" i="12"/>
  <c r="AD97" i="12" s="1"/>
  <c r="L105" i="7"/>
  <c r="N104" i="7"/>
  <c r="R104" i="7"/>
  <c r="AZ27" i="12" l="1"/>
  <c r="G27" i="9"/>
  <c r="H109" i="7"/>
  <c r="E110" i="7"/>
  <c r="H110" i="7" s="1"/>
  <c r="AE97" i="12"/>
  <c r="AF97" i="12" s="1"/>
  <c r="AB97" i="12" s="1"/>
  <c r="G32" i="8"/>
  <c r="M105" i="7"/>
  <c r="O105" i="7"/>
  <c r="H28" i="9" l="1"/>
  <c r="H32" i="8"/>
  <c r="F110" i="7"/>
  <c r="G110" i="7" s="1"/>
  <c r="AG97" i="12"/>
  <c r="AD98" i="12" s="1"/>
  <c r="H33" i="8"/>
  <c r="L106" i="7"/>
  <c r="R105" i="7"/>
  <c r="N105" i="7"/>
  <c r="AZ28" i="12" l="1"/>
  <c r="G28" i="9"/>
  <c r="G33" i="8"/>
  <c r="E111" i="7"/>
  <c r="H111" i="7" s="1"/>
  <c r="AE98" i="12"/>
  <c r="AF98" i="12" s="1"/>
  <c r="AB98" i="12" s="1"/>
  <c r="M106" i="7"/>
  <c r="O106" i="7"/>
  <c r="H29" i="9" l="1"/>
  <c r="H34" i="8"/>
  <c r="F111" i="7"/>
  <c r="G111" i="7" s="1"/>
  <c r="AG98" i="12"/>
  <c r="AD99" i="12" s="1"/>
  <c r="R106" i="7"/>
  <c r="N106" i="7"/>
  <c r="L107" i="7"/>
  <c r="AZ29" i="12" l="1"/>
  <c r="G29" i="9"/>
  <c r="G34" i="8"/>
  <c r="E112" i="7"/>
  <c r="H112" i="7" s="1"/>
  <c r="AE99" i="12"/>
  <c r="AF99" i="12" s="1"/>
  <c r="AB99" i="12" s="1"/>
  <c r="M107" i="7"/>
  <c r="O107" i="7"/>
  <c r="H30" i="9" l="1"/>
  <c r="H35" i="8"/>
  <c r="F112" i="7"/>
  <c r="G112" i="7" s="1"/>
  <c r="G74" i="8" s="1"/>
  <c r="AG99" i="12"/>
  <c r="AD100" i="12" s="1"/>
  <c r="N107" i="7"/>
  <c r="R107" i="7"/>
  <c r="L108" i="7"/>
  <c r="G54" i="8" l="1"/>
  <c r="G38" i="8"/>
  <c r="G36" i="8"/>
  <c r="G41" i="8"/>
  <c r="G40" i="8"/>
  <c r="G43" i="8"/>
  <c r="G42" i="8"/>
  <c r="G46" i="8"/>
  <c r="G45" i="8"/>
  <c r="G48" i="8"/>
  <c r="G47" i="8"/>
  <c r="G51" i="8"/>
  <c r="G50" i="8"/>
  <c r="G53" i="8"/>
  <c r="G52" i="8"/>
  <c r="G56" i="8"/>
  <c r="G55" i="8"/>
  <c r="G58" i="8"/>
  <c r="G57" i="8"/>
  <c r="G60" i="8"/>
  <c r="G59" i="8"/>
  <c r="G62" i="8"/>
  <c r="G61" i="8"/>
  <c r="G65" i="8"/>
  <c r="G63" i="8"/>
  <c r="G67" i="8"/>
  <c r="G66" i="8"/>
  <c r="G69" i="8"/>
  <c r="G68" i="8"/>
  <c r="G71" i="8"/>
  <c r="G70" i="8"/>
  <c r="G73" i="8"/>
  <c r="G72" i="8"/>
  <c r="G76" i="8"/>
  <c r="G75" i="8"/>
  <c r="G78" i="8"/>
  <c r="G77" i="8"/>
  <c r="G80" i="8"/>
  <c r="G79" i="8"/>
  <c r="G82" i="8"/>
  <c r="G81" i="8"/>
  <c r="G85" i="8"/>
  <c r="G83" i="8"/>
  <c r="G88" i="8"/>
  <c r="G86" i="8"/>
  <c r="G90" i="8"/>
  <c r="G89" i="8"/>
  <c r="G92" i="8"/>
  <c r="G91" i="8"/>
  <c r="G95" i="8"/>
  <c r="G93" i="8"/>
  <c r="G97" i="8"/>
  <c r="G96" i="8"/>
  <c r="G99" i="8"/>
  <c r="G98" i="8"/>
  <c r="G101" i="8"/>
  <c r="G100" i="8"/>
  <c r="G103" i="8"/>
  <c r="G102" i="8"/>
  <c r="AZ30" i="12"/>
  <c r="G106" i="8"/>
  <c r="G105" i="8"/>
  <c r="G108" i="8"/>
  <c r="G107" i="8"/>
  <c r="G111" i="8"/>
  <c r="G110" i="8"/>
  <c r="G113" i="8"/>
  <c r="G112" i="8"/>
  <c r="G109" i="8"/>
  <c r="G87" i="8"/>
  <c r="G30" i="9"/>
  <c r="G35" i="8"/>
  <c r="G39" i="8"/>
  <c r="G49" i="8"/>
  <c r="G37" i="8"/>
  <c r="G104" i="8"/>
  <c r="G114" i="8"/>
  <c r="O114" i="10" s="1"/>
  <c r="G64" i="8"/>
  <c r="G94" i="8"/>
  <c r="G44" i="8"/>
  <c r="G84" i="8"/>
  <c r="E113" i="7"/>
  <c r="F113" i="7" s="1"/>
  <c r="G113" i="7" s="1"/>
  <c r="I77" i="7" s="1"/>
  <c r="AE100" i="12"/>
  <c r="AF100" i="12" s="1"/>
  <c r="AB100" i="12" s="1"/>
  <c r="M108" i="7"/>
  <c r="O108" i="7"/>
  <c r="O84" i="10" l="1"/>
  <c r="O94" i="10"/>
  <c r="O109" i="10"/>
  <c r="O113" i="10"/>
  <c r="O111" i="10"/>
  <c r="O44" i="10"/>
  <c r="O104" i="10"/>
  <c r="O112" i="10"/>
  <c r="O110" i="10"/>
  <c r="O74" i="10"/>
  <c r="O35" i="10"/>
  <c r="O34" i="10"/>
  <c r="O64" i="10"/>
  <c r="O49" i="10"/>
  <c r="O87" i="10"/>
  <c r="O107" i="10"/>
  <c r="O105" i="10"/>
  <c r="O103" i="10"/>
  <c r="O101" i="10"/>
  <c r="O99" i="10"/>
  <c r="O97" i="10"/>
  <c r="O95" i="10"/>
  <c r="O92" i="10"/>
  <c r="O90" i="10"/>
  <c r="O88" i="10"/>
  <c r="O85" i="10"/>
  <c r="O82" i="10"/>
  <c r="O80" i="10"/>
  <c r="O78" i="10"/>
  <c r="O76" i="10"/>
  <c r="O73" i="10"/>
  <c r="O71" i="10"/>
  <c r="O69" i="10"/>
  <c r="O67" i="10"/>
  <c r="O65" i="10"/>
  <c r="O62" i="10"/>
  <c r="O60" i="10"/>
  <c r="O58" i="10"/>
  <c r="O56" i="10"/>
  <c r="O53" i="10"/>
  <c r="O51" i="10"/>
  <c r="O48" i="10"/>
  <c r="O46" i="10"/>
  <c r="O43" i="10"/>
  <c r="O41" i="10"/>
  <c r="O38" i="10"/>
  <c r="O5" i="10"/>
  <c r="O15" i="10"/>
  <c r="O7" i="10"/>
  <c r="O13" i="10"/>
  <c r="O16" i="10"/>
  <c r="O8" i="10"/>
  <c r="O6" i="10"/>
  <c r="O17" i="10"/>
  <c r="O9" i="10"/>
  <c r="O11" i="10"/>
  <c r="O10" i="10"/>
  <c r="O14" i="10"/>
  <c r="O12" i="10"/>
  <c r="O18" i="10"/>
  <c r="O19" i="10"/>
  <c r="O21" i="10"/>
  <c r="O20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7" i="10"/>
  <c r="O39" i="10"/>
  <c r="O108" i="10"/>
  <c r="O106" i="10"/>
  <c r="O102" i="10"/>
  <c r="O100" i="10"/>
  <c r="O98" i="10"/>
  <c r="O96" i="10"/>
  <c r="O93" i="10"/>
  <c r="O91" i="10"/>
  <c r="O89" i="10"/>
  <c r="O86" i="10"/>
  <c r="O83" i="10"/>
  <c r="O81" i="10"/>
  <c r="O79" i="10"/>
  <c r="O77" i="10"/>
  <c r="O75" i="10"/>
  <c r="O72" i="10"/>
  <c r="O70" i="10"/>
  <c r="O68" i="10"/>
  <c r="O66" i="10"/>
  <c r="O63" i="10"/>
  <c r="O61" i="10"/>
  <c r="O59" i="10"/>
  <c r="O57" i="10"/>
  <c r="O55" i="10"/>
  <c r="O52" i="10"/>
  <c r="O50" i="10"/>
  <c r="O47" i="10"/>
  <c r="O45" i="10"/>
  <c r="O42" i="10"/>
  <c r="O40" i="10"/>
  <c r="O36" i="10"/>
  <c r="O54" i="10"/>
  <c r="H31" i="9"/>
  <c r="I40" i="7"/>
  <c r="I47" i="7"/>
  <c r="I82" i="7"/>
  <c r="I5" i="7"/>
  <c r="I91" i="7"/>
  <c r="I6" i="7"/>
  <c r="I46" i="7"/>
  <c r="I76" i="7"/>
  <c r="I42" i="7"/>
  <c r="I29" i="7"/>
  <c r="I10" i="7"/>
  <c r="I87" i="7"/>
  <c r="I111" i="7"/>
  <c r="I36" i="7"/>
  <c r="I107" i="7"/>
  <c r="I23" i="7"/>
  <c r="I32" i="7"/>
  <c r="I89" i="7"/>
  <c r="I20" i="7"/>
  <c r="I104" i="7"/>
  <c r="I39" i="7"/>
  <c r="I15" i="7"/>
  <c r="I9" i="7"/>
  <c r="I90" i="7"/>
  <c r="I70" i="7"/>
  <c r="I13" i="7"/>
  <c r="I38" i="7"/>
  <c r="I21" i="7"/>
  <c r="I98" i="7"/>
  <c r="I3" i="7"/>
  <c r="I51" i="7"/>
  <c r="I88" i="7"/>
  <c r="I63" i="7"/>
  <c r="I61" i="7"/>
  <c r="I79" i="7"/>
  <c r="I50" i="7"/>
  <c r="I85" i="7"/>
  <c r="I24" i="7"/>
  <c r="I55" i="7"/>
  <c r="I81" i="7"/>
  <c r="I56" i="7"/>
  <c r="I41" i="7"/>
  <c r="I57" i="7"/>
  <c r="I25" i="7"/>
  <c r="I58" i="7"/>
  <c r="I53" i="7"/>
  <c r="I110" i="7"/>
  <c r="I7" i="7"/>
  <c r="I94" i="7"/>
  <c r="I52" i="7"/>
  <c r="I11" i="7"/>
  <c r="I68" i="7"/>
  <c r="I99" i="7"/>
  <c r="I96" i="7"/>
  <c r="I49" i="7"/>
  <c r="I33" i="7"/>
  <c r="I78" i="7"/>
  <c r="I27" i="7"/>
  <c r="I108" i="7"/>
  <c r="I65" i="7"/>
  <c r="I14" i="7"/>
  <c r="I37" i="7"/>
  <c r="I72" i="7"/>
  <c r="I73" i="7"/>
  <c r="I101" i="7"/>
  <c r="I22" i="7"/>
  <c r="I71" i="7"/>
  <c r="I16" i="7"/>
  <c r="I12" i="7"/>
  <c r="I45" i="7"/>
  <c r="I4" i="7"/>
  <c r="I48" i="7"/>
  <c r="I66" i="7"/>
  <c r="I62" i="7"/>
  <c r="I18" i="7"/>
  <c r="I28" i="7"/>
  <c r="I75" i="7"/>
  <c r="I83" i="7"/>
  <c r="I100" i="7"/>
  <c r="I80" i="7"/>
  <c r="I64" i="7"/>
  <c r="I105" i="7"/>
  <c r="I17" i="7"/>
  <c r="I74" i="7"/>
  <c r="I26" i="7"/>
  <c r="I109" i="7"/>
  <c r="I30" i="7"/>
  <c r="I106" i="7"/>
  <c r="I112" i="7"/>
  <c r="I97" i="7"/>
  <c r="I59" i="7"/>
  <c r="I86" i="7"/>
  <c r="I92" i="7"/>
  <c r="I8" i="7"/>
  <c r="I44" i="7"/>
  <c r="I113" i="7"/>
  <c r="H113" i="7"/>
  <c r="H110" i="8" s="1"/>
  <c r="I60" i="7"/>
  <c r="I43" i="7"/>
  <c r="I93" i="7"/>
  <c r="I34" i="7"/>
  <c r="I35" i="7"/>
  <c r="I84" i="7"/>
  <c r="I103" i="7"/>
  <c r="I102" i="7"/>
  <c r="I67" i="7"/>
  <c r="I95" i="7"/>
  <c r="I19" i="7"/>
  <c r="I31" i="7"/>
  <c r="I69" i="7"/>
  <c r="I54" i="7"/>
  <c r="AG100" i="12"/>
  <c r="AD101" i="12" s="1"/>
  <c r="H65" i="8"/>
  <c r="L109" i="7"/>
  <c r="N108" i="7"/>
  <c r="R108" i="7"/>
  <c r="H39" i="8" l="1"/>
  <c r="H37" i="8"/>
  <c r="H42" i="8"/>
  <c r="H41" i="8"/>
  <c r="H44" i="8"/>
  <c r="H43" i="8"/>
  <c r="H47" i="8"/>
  <c r="H46" i="8"/>
  <c r="H49" i="8"/>
  <c r="H48" i="8"/>
  <c r="H52" i="8"/>
  <c r="H51" i="8"/>
  <c r="H54" i="8"/>
  <c r="H53" i="8"/>
  <c r="H57" i="8"/>
  <c r="H56" i="8"/>
  <c r="H59" i="8"/>
  <c r="H58" i="8"/>
  <c r="H61" i="8"/>
  <c r="H60" i="8"/>
  <c r="H63" i="8"/>
  <c r="H62" i="8"/>
  <c r="H66" i="8"/>
  <c r="H64" i="8"/>
  <c r="H68" i="8"/>
  <c r="H67" i="8"/>
  <c r="H70" i="8"/>
  <c r="H69" i="8"/>
  <c r="H72" i="8"/>
  <c r="H71" i="8"/>
  <c r="H74" i="8"/>
  <c r="H73" i="8"/>
  <c r="H77" i="8"/>
  <c r="H76" i="8"/>
  <c r="H79" i="8"/>
  <c r="H78" i="8"/>
  <c r="H81" i="8"/>
  <c r="H80" i="8"/>
  <c r="H83" i="8"/>
  <c r="H82" i="8"/>
  <c r="H86" i="8"/>
  <c r="H84" i="8"/>
  <c r="H89" i="8"/>
  <c r="H87" i="8"/>
  <c r="H91" i="8"/>
  <c r="H90" i="8"/>
  <c r="H93" i="8"/>
  <c r="H92" i="8"/>
  <c r="H96" i="8"/>
  <c r="H94" i="8"/>
  <c r="H98" i="8"/>
  <c r="H97" i="8"/>
  <c r="H100" i="8"/>
  <c r="H99" i="8"/>
  <c r="H102" i="8"/>
  <c r="H101" i="8"/>
  <c r="H104" i="8"/>
  <c r="H103" i="8"/>
  <c r="H107" i="8"/>
  <c r="H106" i="8"/>
  <c r="H109" i="8"/>
  <c r="H108" i="8"/>
  <c r="H112" i="8"/>
  <c r="H111" i="8"/>
  <c r="H114" i="8"/>
  <c r="H113" i="8"/>
  <c r="J107" i="7"/>
  <c r="H88" i="8"/>
  <c r="J15" i="7"/>
  <c r="J16" i="7"/>
  <c r="H50" i="8"/>
  <c r="H115" i="8"/>
  <c r="H36" i="8"/>
  <c r="H105" i="8"/>
  <c r="H45" i="8"/>
  <c r="H85" i="8"/>
  <c r="H40" i="8"/>
  <c r="H38" i="8"/>
  <c r="J106" i="7"/>
  <c r="J19" i="7"/>
  <c r="J95" i="7"/>
  <c r="J51" i="7"/>
  <c r="J47" i="7"/>
  <c r="J104" i="7"/>
  <c r="J57" i="7"/>
  <c r="J20" i="7"/>
  <c r="J14" i="7"/>
  <c r="H95" i="8"/>
  <c r="J44" i="7"/>
  <c r="J101" i="7"/>
  <c r="J84" i="7"/>
  <c r="J26" i="7"/>
  <c r="J80" i="7"/>
  <c r="J100" i="7"/>
  <c r="J29" i="7"/>
  <c r="J28" i="7"/>
  <c r="J90" i="7"/>
  <c r="J45" i="7"/>
  <c r="J18" i="7"/>
  <c r="J88" i="7"/>
  <c r="J32" i="7"/>
  <c r="J43" i="7"/>
  <c r="J97" i="7"/>
  <c r="J58" i="7"/>
  <c r="J34" i="7"/>
  <c r="J74" i="7"/>
  <c r="J39" i="7"/>
  <c r="J65" i="7"/>
  <c r="H75" i="8"/>
  <c r="J89" i="7"/>
  <c r="J76" i="7"/>
  <c r="J79" i="7"/>
  <c r="J8" i="7"/>
  <c r="J35" i="7"/>
  <c r="J71" i="7"/>
  <c r="J17" i="7"/>
  <c r="J54" i="7"/>
  <c r="J105" i="7"/>
  <c r="J11" i="7"/>
  <c r="J38" i="7"/>
  <c r="J25" i="7"/>
  <c r="J85" i="7"/>
  <c r="J113" i="7"/>
  <c r="J69" i="7"/>
  <c r="J86" i="7"/>
  <c r="J37" i="7"/>
  <c r="J63" i="7"/>
  <c r="J61" i="7"/>
  <c r="J22" i="7"/>
  <c r="J108" i="7"/>
  <c r="J68" i="7"/>
  <c r="J81" i="7"/>
  <c r="J93" i="7"/>
  <c r="J50" i="7"/>
  <c r="J10" i="7"/>
  <c r="J5" i="7"/>
  <c r="J66" i="7"/>
  <c r="J52" i="7"/>
  <c r="J21" i="7"/>
  <c r="J42" i="7"/>
  <c r="J87" i="7"/>
  <c r="J53" i="7"/>
  <c r="J112" i="7"/>
  <c r="J59" i="7"/>
  <c r="J55" i="7"/>
  <c r="J77" i="7"/>
  <c r="J60" i="7"/>
  <c r="J46" i="7"/>
  <c r="J91" i="7"/>
  <c r="J110" i="7"/>
  <c r="J49" i="7"/>
  <c r="J7" i="7"/>
  <c r="J30" i="7"/>
  <c r="J41" i="7"/>
  <c r="J73" i="7"/>
  <c r="J40" i="7"/>
  <c r="J99" i="7"/>
  <c r="J23" i="7"/>
  <c r="J83" i="7"/>
  <c r="J33" i="7"/>
  <c r="J24" i="7"/>
  <c r="J96" i="7"/>
  <c r="J103" i="7"/>
  <c r="J98" i="7"/>
  <c r="J67" i="7"/>
  <c r="J62" i="7"/>
  <c r="J109" i="7"/>
  <c r="J3" i="7"/>
  <c r="J111" i="7"/>
  <c r="J64" i="7"/>
  <c r="J4" i="7"/>
  <c r="J36" i="7"/>
  <c r="J82" i="7"/>
  <c r="J102" i="7"/>
  <c r="J75" i="7"/>
  <c r="J31" i="7"/>
  <c r="J78" i="7"/>
  <c r="J13" i="7"/>
  <c r="J56" i="7"/>
  <c r="J48" i="7"/>
  <c r="J70" i="7"/>
  <c r="J6" i="7"/>
  <c r="J9" i="7"/>
  <c r="J94" i="7"/>
  <c r="J12" i="7"/>
  <c r="J92" i="7"/>
  <c r="J72" i="7"/>
  <c r="H55" i="8"/>
  <c r="J27" i="7"/>
  <c r="AE101" i="12"/>
  <c r="AF101" i="12" s="1"/>
  <c r="AB101" i="12" s="1"/>
  <c r="AZ31" i="12"/>
  <c r="G31" i="9"/>
  <c r="M109" i="7"/>
  <c r="O109" i="7"/>
  <c r="T109" i="8" l="1"/>
  <c r="T77" i="8"/>
  <c r="T100" i="8"/>
  <c r="T111" i="8"/>
  <c r="T115" i="8"/>
  <c r="T105" i="8"/>
  <c r="T114" i="8"/>
  <c r="T113" i="8"/>
  <c r="T107" i="8"/>
  <c r="T104" i="8"/>
  <c r="T108" i="8"/>
  <c r="T112" i="8"/>
  <c r="T106" i="8"/>
  <c r="T110" i="8"/>
  <c r="T93" i="8"/>
  <c r="T102" i="8"/>
  <c r="T91" i="8"/>
  <c r="T101" i="8"/>
  <c r="T97" i="8"/>
  <c r="T98" i="8"/>
  <c r="T99" i="8"/>
  <c r="T103" i="8"/>
  <c r="T96" i="8"/>
  <c r="T87" i="8"/>
  <c r="T89" i="8"/>
  <c r="T82" i="8"/>
  <c r="T94" i="8"/>
  <c r="T92" i="8"/>
  <c r="T80" i="8"/>
  <c r="T90" i="8"/>
  <c r="T95" i="8"/>
  <c r="T88" i="8"/>
  <c r="T86" i="8"/>
  <c r="T61" i="8"/>
  <c r="T81" i="8"/>
  <c r="T76" i="8"/>
  <c r="T70" i="8"/>
  <c r="T84" i="8"/>
  <c r="T83" i="8"/>
  <c r="T85" i="8"/>
  <c r="T72" i="8"/>
  <c r="T65" i="8"/>
  <c r="T78" i="8"/>
  <c r="T79" i="8"/>
  <c r="T62" i="8"/>
  <c r="T66" i="8"/>
  <c r="T71" i="8"/>
  <c r="T75" i="8"/>
  <c r="T68" i="8"/>
  <c r="T56" i="8"/>
  <c r="T57" i="8"/>
  <c r="T74" i="8"/>
  <c r="T73" i="8"/>
  <c r="T59" i="8"/>
  <c r="T60" i="8"/>
  <c r="T63" i="8"/>
  <c r="T69" i="8"/>
  <c r="T67" i="8"/>
  <c r="T58" i="8"/>
  <c r="T64" i="8"/>
  <c r="T46" i="8"/>
  <c r="T30" i="8"/>
  <c r="T40" i="8"/>
  <c r="T41" i="8"/>
  <c r="B29" i="8"/>
  <c r="T31" i="8"/>
  <c r="T33" i="8"/>
  <c r="T47" i="8"/>
  <c r="T38" i="8"/>
  <c r="T27" i="8"/>
  <c r="T50" i="8"/>
  <c r="T29" i="8"/>
  <c r="T39" i="8"/>
  <c r="T49" i="8"/>
  <c r="T35" i="8"/>
  <c r="T36" i="8"/>
  <c r="T28" i="8"/>
  <c r="T26" i="8"/>
  <c r="T44" i="8"/>
  <c r="T37" i="8"/>
  <c r="T53" i="8"/>
  <c r="T34" i="8"/>
  <c r="T25" i="8"/>
  <c r="T51" i="8"/>
  <c r="T43" i="8"/>
  <c r="T32" i="8"/>
  <c r="T42" i="8"/>
  <c r="T52" i="8"/>
  <c r="T55" i="8"/>
  <c r="T54" i="8"/>
  <c r="T48" i="8"/>
  <c r="T45" i="8"/>
  <c r="AG101" i="12"/>
  <c r="AD102" i="12" s="1"/>
  <c r="H32" i="9"/>
  <c r="L110" i="7"/>
  <c r="R109" i="7"/>
  <c r="N109" i="7"/>
  <c r="AE102" i="12" l="1"/>
  <c r="AF102" i="12" s="1"/>
  <c r="AB102" i="12" s="1"/>
  <c r="AZ32" i="12"/>
  <c r="G32" i="9"/>
  <c r="M110" i="7"/>
  <c r="O110" i="7"/>
  <c r="AG102" i="12" l="1"/>
  <c r="AD103" i="12" s="1"/>
  <c r="H33" i="9"/>
  <c r="R110" i="7"/>
  <c r="N110" i="7"/>
  <c r="L111" i="7"/>
  <c r="AE103" i="12" l="1"/>
  <c r="AF103" i="12" s="1"/>
  <c r="AB103" i="12" s="1"/>
  <c r="AZ33" i="12"/>
  <c r="G33" i="9"/>
  <c r="O111" i="7"/>
  <c r="M111" i="7"/>
  <c r="AG103" i="12" l="1"/>
  <c r="AD104" i="12" s="1"/>
  <c r="H34" i="9"/>
  <c r="L112" i="7"/>
  <c r="N111" i="7"/>
  <c r="R111" i="7"/>
  <c r="AE104" i="12" l="1"/>
  <c r="AF104" i="12" s="1"/>
  <c r="AZ34" i="12"/>
  <c r="G34" i="9"/>
  <c r="M112" i="7"/>
  <c r="O112" i="7"/>
  <c r="AB104" i="12" l="1"/>
  <c r="AG104" i="12"/>
  <c r="AD105" i="12" s="1"/>
  <c r="H35" i="9"/>
  <c r="L113" i="7"/>
  <c r="N112" i="7"/>
  <c r="G36" i="9" s="1"/>
  <c r="R112" i="7"/>
  <c r="AZ38" i="12" l="1"/>
  <c r="AZ36" i="12"/>
  <c r="G40" i="9"/>
  <c r="G38" i="9"/>
  <c r="AZ41" i="12"/>
  <c r="AZ40" i="12"/>
  <c r="G42" i="9"/>
  <c r="G41" i="9"/>
  <c r="AZ43" i="12"/>
  <c r="AZ42" i="12"/>
  <c r="G45" i="9"/>
  <c r="G43" i="9"/>
  <c r="AZ46" i="12"/>
  <c r="AZ45" i="12"/>
  <c r="G47" i="9"/>
  <c r="G46" i="9"/>
  <c r="AZ48" i="12"/>
  <c r="AZ47" i="12"/>
  <c r="G50" i="9"/>
  <c r="G48" i="9"/>
  <c r="AZ51" i="12"/>
  <c r="AZ50" i="12"/>
  <c r="G52" i="9"/>
  <c r="G51" i="9"/>
  <c r="AZ53" i="12"/>
  <c r="AZ52" i="12"/>
  <c r="G55" i="9"/>
  <c r="G53" i="9"/>
  <c r="AZ56" i="12"/>
  <c r="AZ55" i="12"/>
  <c r="G57" i="9"/>
  <c r="G56" i="9"/>
  <c r="AZ58" i="12"/>
  <c r="AZ57" i="12"/>
  <c r="G59" i="9"/>
  <c r="G58" i="9"/>
  <c r="AZ60" i="12"/>
  <c r="AZ59" i="12"/>
  <c r="G61" i="9"/>
  <c r="G60" i="9"/>
  <c r="AZ62" i="12"/>
  <c r="AZ61" i="12"/>
  <c r="G63" i="9"/>
  <c r="G62" i="9"/>
  <c r="AZ65" i="12"/>
  <c r="AZ63" i="12"/>
  <c r="G66" i="9"/>
  <c r="G65" i="9"/>
  <c r="AZ67" i="12"/>
  <c r="AZ66" i="12"/>
  <c r="G68" i="9"/>
  <c r="G67" i="9"/>
  <c r="AZ69" i="12"/>
  <c r="AZ68" i="12"/>
  <c r="G70" i="9"/>
  <c r="G69" i="9"/>
  <c r="AZ71" i="12"/>
  <c r="AZ70" i="12"/>
  <c r="G73" i="9"/>
  <c r="G71" i="9"/>
  <c r="AZ73" i="12"/>
  <c r="AZ72" i="12"/>
  <c r="AZ76" i="12"/>
  <c r="AZ75" i="12"/>
  <c r="G76" i="9"/>
  <c r="G75" i="9"/>
  <c r="AZ78" i="12"/>
  <c r="AZ77" i="12"/>
  <c r="G80" i="9"/>
  <c r="G78" i="9"/>
  <c r="AZ81" i="12"/>
  <c r="AZ80" i="12"/>
  <c r="G82" i="9"/>
  <c r="G81" i="9"/>
  <c r="AZ83" i="12"/>
  <c r="AZ82" i="12"/>
  <c r="G85" i="9"/>
  <c r="G83" i="9"/>
  <c r="AZ86" i="12"/>
  <c r="AZ85" i="12"/>
  <c r="G88" i="9"/>
  <c r="G86" i="9"/>
  <c r="AZ89" i="12"/>
  <c r="AZ88" i="12"/>
  <c r="G90" i="9"/>
  <c r="G89" i="9"/>
  <c r="AZ91" i="12"/>
  <c r="AZ90" i="12"/>
  <c r="G92" i="9"/>
  <c r="G91" i="9"/>
  <c r="AZ93" i="12"/>
  <c r="AZ92" i="12"/>
  <c r="G95" i="9"/>
  <c r="G93" i="9"/>
  <c r="AZ96" i="12"/>
  <c r="AZ95" i="12"/>
  <c r="G97" i="9"/>
  <c r="G96" i="9"/>
  <c r="AZ98" i="12"/>
  <c r="AZ97" i="12"/>
  <c r="G99" i="9"/>
  <c r="G98" i="9"/>
  <c r="AZ100" i="12"/>
  <c r="AZ99" i="12"/>
  <c r="G101" i="9"/>
  <c r="G100" i="9"/>
  <c r="AZ102" i="12"/>
  <c r="AZ101" i="12"/>
  <c r="G103" i="9"/>
  <c r="G102" i="9"/>
  <c r="AZ105" i="12"/>
  <c r="AZ103" i="12"/>
  <c r="G106" i="9"/>
  <c r="G105" i="9"/>
  <c r="AZ107" i="12"/>
  <c r="AZ106" i="12"/>
  <c r="G108" i="9"/>
  <c r="G107" i="9"/>
  <c r="AZ110" i="12"/>
  <c r="AZ108" i="12"/>
  <c r="G111" i="9"/>
  <c r="G110" i="9"/>
  <c r="AZ112" i="12"/>
  <c r="AZ111" i="12"/>
  <c r="G113" i="9"/>
  <c r="G112" i="9"/>
  <c r="AZ87" i="12"/>
  <c r="AZ113" i="12"/>
  <c r="G72" i="9"/>
  <c r="G87" i="9"/>
  <c r="G49" i="9"/>
  <c r="G77" i="9"/>
  <c r="AE105" i="12"/>
  <c r="AF105" i="12" s="1"/>
  <c r="AZ49" i="12"/>
  <c r="AZ109" i="12"/>
  <c r="AZ37" i="12"/>
  <c r="AZ39" i="12"/>
  <c r="G37" i="9"/>
  <c r="G39" i="9"/>
  <c r="AZ44" i="12"/>
  <c r="AZ35" i="12"/>
  <c r="G44" i="9"/>
  <c r="G35" i="9"/>
  <c r="AZ64" i="12"/>
  <c r="AZ54" i="12"/>
  <c r="G64" i="9"/>
  <c r="G54" i="9"/>
  <c r="AZ84" i="12"/>
  <c r="AZ74" i="12"/>
  <c r="G84" i="9"/>
  <c r="G74" i="9"/>
  <c r="AZ104" i="12"/>
  <c r="AZ94" i="12"/>
  <c r="G104" i="9"/>
  <c r="G94" i="9"/>
  <c r="AZ114" i="12"/>
  <c r="AZ79" i="12"/>
  <c r="G109" i="9"/>
  <c r="G79" i="9"/>
  <c r="M113" i="7"/>
  <c r="O113" i="7"/>
  <c r="H37" i="9" s="1"/>
  <c r="G114" i="9"/>
  <c r="X37" i="10" l="1"/>
  <c r="X22" i="10"/>
  <c r="X23" i="10"/>
  <c r="X24" i="10"/>
  <c r="X25" i="10"/>
  <c r="X26" i="10"/>
  <c r="X27" i="10"/>
  <c r="X28" i="10"/>
  <c r="X29" i="10"/>
  <c r="X30" i="10"/>
  <c r="X35" i="10"/>
  <c r="X33" i="10"/>
  <c r="X34" i="10"/>
  <c r="X31" i="10"/>
  <c r="X32" i="10"/>
  <c r="H41" i="9"/>
  <c r="X41" i="10" s="1"/>
  <c r="H39" i="9"/>
  <c r="X39" i="10" s="1"/>
  <c r="H43" i="9"/>
  <c r="X43" i="10" s="1"/>
  <c r="H42" i="9"/>
  <c r="X42" i="10" s="1"/>
  <c r="H46" i="9"/>
  <c r="X46" i="10" s="1"/>
  <c r="H44" i="9"/>
  <c r="X44" i="10" s="1"/>
  <c r="H48" i="9"/>
  <c r="X48" i="10" s="1"/>
  <c r="H47" i="9"/>
  <c r="X47" i="10" s="1"/>
  <c r="H51" i="9"/>
  <c r="X51" i="10" s="1"/>
  <c r="H49" i="9"/>
  <c r="X49" i="10" s="1"/>
  <c r="H53" i="9"/>
  <c r="X53" i="10" s="1"/>
  <c r="H52" i="9"/>
  <c r="X52" i="10" s="1"/>
  <c r="H56" i="9"/>
  <c r="X56" i="10" s="1"/>
  <c r="H54" i="9"/>
  <c r="X54" i="10" s="1"/>
  <c r="H58" i="9"/>
  <c r="X58" i="10" s="1"/>
  <c r="H57" i="9"/>
  <c r="X57" i="10" s="1"/>
  <c r="H60" i="9"/>
  <c r="X60" i="10" s="1"/>
  <c r="H59" i="9"/>
  <c r="X59" i="10" s="1"/>
  <c r="H62" i="9"/>
  <c r="X62" i="10" s="1"/>
  <c r="H61" i="9"/>
  <c r="X61" i="10" s="1"/>
  <c r="H64" i="9"/>
  <c r="X64" i="10" s="1"/>
  <c r="H63" i="9"/>
  <c r="X63" i="10" s="1"/>
  <c r="H67" i="9"/>
  <c r="X67" i="10" s="1"/>
  <c r="H66" i="9"/>
  <c r="X66" i="10" s="1"/>
  <c r="H69" i="9"/>
  <c r="X69" i="10" s="1"/>
  <c r="H68" i="9"/>
  <c r="X68" i="10" s="1"/>
  <c r="H71" i="9"/>
  <c r="X71" i="10" s="1"/>
  <c r="H70" i="9"/>
  <c r="X70" i="10" s="1"/>
  <c r="H74" i="9"/>
  <c r="X74" i="10" s="1"/>
  <c r="H72" i="9"/>
  <c r="X72" i="10" s="1"/>
  <c r="H77" i="9"/>
  <c r="X77" i="10" s="1"/>
  <c r="H76" i="9"/>
  <c r="X76" i="10" s="1"/>
  <c r="H81" i="9"/>
  <c r="X81" i="10" s="1"/>
  <c r="H79" i="9"/>
  <c r="X79" i="10" s="1"/>
  <c r="H83" i="9"/>
  <c r="X83" i="10" s="1"/>
  <c r="H82" i="9"/>
  <c r="X82" i="10" s="1"/>
  <c r="H86" i="9"/>
  <c r="X86" i="10" s="1"/>
  <c r="H84" i="9"/>
  <c r="X84" i="10" s="1"/>
  <c r="H89" i="9"/>
  <c r="X89" i="10" s="1"/>
  <c r="H87" i="9"/>
  <c r="X87" i="10" s="1"/>
  <c r="H91" i="9"/>
  <c r="X91" i="10" s="1"/>
  <c r="H90" i="9"/>
  <c r="X90" i="10" s="1"/>
  <c r="H93" i="9"/>
  <c r="X93" i="10" s="1"/>
  <c r="H92" i="9"/>
  <c r="X92" i="10" s="1"/>
  <c r="H96" i="9"/>
  <c r="X96" i="10" s="1"/>
  <c r="H94" i="9"/>
  <c r="X94" i="10" s="1"/>
  <c r="H98" i="9"/>
  <c r="X98" i="10" s="1"/>
  <c r="H97" i="9"/>
  <c r="X97" i="10" s="1"/>
  <c r="H100" i="9"/>
  <c r="X100" i="10" s="1"/>
  <c r="H99" i="9"/>
  <c r="X99" i="10" s="1"/>
  <c r="H102" i="9"/>
  <c r="X102" i="10" s="1"/>
  <c r="H101" i="9"/>
  <c r="X101" i="10" s="1"/>
  <c r="H104" i="9"/>
  <c r="X104" i="10" s="1"/>
  <c r="H103" i="9"/>
  <c r="X103" i="10" s="1"/>
  <c r="H107" i="9"/>
  <c r="X107" i="10" s="1"/>
  <c r="H106" i="9"/>
  <c r="X106" i="10" s="1"/>
  <c r="H109" i="9"/>
  <c r="X109" i="10" s="1"/>
  <c r="H108" i="9"/>
  <c r="X108" i="10" s="1"/>
  <c r="H112" i="9"/>
  <c r="X112" i="10" s="1"/>
  <c r="H111" i="9"/>
  <c r="X111" i="10" s="1"/>
  <c r="H114" i="9"/>
  <c r="X114" i="10" s="1"/>
  <c r="H113" i="9"/>
  <c r="X113" i="10" s="1"/>
  <c r="H73" i="9"/>
  <c r="X73" i="10" s="1"/>
  <c r="H88" i="9"/>
  <c r="X88" i="10" s="1"/>
  <c r="H50" i="9"/>
  <c r="X50" i="10" s="1"/>
  <c r="H78" i="9"/>
  <c r="X78" i="10" s="1"/>
  <c r="AB105" i="12"/>
  <c r="AG105" i="12"/>
  <c r="AD106" i="12" s="1"/>
  <c r="H38" i="9"/>
  <c r="X38" i="10" s="1"/>
  <c r="H40" i="9"/>
  <c r="X40" i="10" s="1"/>
  <c r="H45" i="9"/>
  <c r="X45" i="10" s="1"/>
  <c r="H36" i="9"/>
  <c r="X36" i="10" s="1"/>
  <c r="H65" i="9"/>
  <c r="X65" i="10" s="1"/>
  <c r="H55" i="9"/>
  <c r="X55" i="10" s="1"/>
  <c r="H85" i="9"/>
  <c r="X85" i="10" s="1"/>
  <c r="H75" i="9"/>
  <c r="X75" i="10" s="1"/>
  <c r="H105" i="9"/>
  <c r="X105" i="10" s="1"/>
  <c r="H95" i="9"/>
  <c r="X95" i="10" s="1"/>
  <c r="H110" i="9"/>
  <c r="X110" i="10" s="1"/>
  <c r="H80" i="9"/>
  <c r="X80" i="10" s="1"/>
  <c r="Q113" i="7"/>
  <c r="H115" i="9"/>
  <c r="X115" i="10" s="1"/>
  <c r="Q67" i="7"/>
  <c r="Q63" i="7"/>
  <c r="Q61" i="7"/>
  <c r="Q57" i="7"/>
  <c r="Q43" i="7"/>
  <c r="Q44" i="7"/>
  <c r="Q41" i="7"/>
  <c r="Q36" i="7"/>
  <c r="Q25" i="7"/>
  <c r="Q24" i="7"/>
  <c r="Q20" i="7"/>
  <c r="Q18" i="7"/>
  <c r="Q3" i="7"/>
  <c r="Q5" i="7"/>
  <c r="Q62" i="7"/>
  <c r="Q65" i="7"/>
  <c r="Q17" i="7"/>
  <c r="Q16" i="7"/>
  <c r="Q10" i="7"/>
  <c r="Q11" i="7"/>
  <c r="Q60" i="7"/>
  <c r="Q59" i="7"/>
  <c r="Q55" i="7"/>
  <c r="Q53" i="7"/>
  <c r="Q39" i="7"/>
  <c r="Q40" i="7"/>
  <c r="Q35" i="7"/>
  <c r="Q33" i="7"/>
  <c r="Q21" i="7"/>
  <c r="Q19" i="7"/>
  <c r="Q14" i="7"/>
  <c r="Q15" i="7"/>
  <c r="Q34" i="7"/>
  <c r="Q31" i="7"/>
  <c r="Q29" i="7"/>
  <c r="Q26" i="7"/>
  <c r="Q12" i="7"/>
  <c r="Q9" i="7"/>
  <c r="Q7" i="7"/>
  <c r="Q4" i="7"/>
  <c r="Q58" i="7"/>
  <c r="Q56" i="7"/>
  <c r="Q54" i="7"/>
  <c r="Q49" i="7"/>
  <c r="Q37" i="7"/>
  <c r="Q38" i="7"/>
  <c r="Q32" i="7"/>
  <c r="Q30" i="7"/>
  <c r="Q50" i="7"/>
  <c r="Q48" i="7"/>
  <c r="Q46" i="7"/>
  <c r="Q42" i="7"/>
  <c r="Q28" i="7"/>
  <c r="Q27" i="7"/>
  <c r="Q23" i="7"/>
  <c r="Q22" i="7"/>
  <c r="Q13" i="7"/>
  <c r="Q8" i="7"/>
  <c r="Q6" i="7"/>
  <c r="Q66" i="7"/>
  <c r="Q64" i="7"/>
  <c r="Q51" i="7"/>
  <c r="Q52" i="7"/>
  <c r="Q47" i="7"/>
  <c r="Q45" i="7"/>
  <c r="Q68" i="7"/>
  <c r="Q69" i="7"/>
  <c r="Q70" i="7"/>
  <c r="Q71" i="7"/>
  <c r="Q72" i="7"/>
  <c r="Q73" i="7"/>
  <c r="Q74" i="7"/>
  <c r="Q75" i="7"/>
  <c r="Q76" i="7"/>
  <c r="Q77" i="7"/>
  <c r="Q79" i="7"/>
  <c r="Q78" i="7"/>
  <c r="Q81" i="7"/>
  <c r="Q80" i="7"/>
  <c r="Q82" i="7"/>
  <c r="Q84" i="7"/>
  <c r="Q83" i="7"/>
  <c r="Q85" i="7"/>
  <c r="Q86" i="7"/>
  <c r="Q87" i="7"/>
  <c r="Q89" i="7"/>
  <c r="Q88" i="7"/>
  <c r="Q90" i="7"/>
  <c r="Q91" i="7"/>
  <c r="Q92" i="7"/>
  <c r="Q93" i="7"/>
  <c r="Q94" i="7"/>
  <c r="Q96" i="7"/>
  <c r="Q95" i="7"/>
  <c r="Q97" i="7"/>
  <c r="Q98" i="7"/>
  <c r="Q99" i="7"/>
  <c r="Q100" i="7"/>
  <c r="Q101" i="7"/>
  <c r="Q102" i="7"/>
  <c r="Q103" i="7"/>
  <c r="Q104" i="7"/>
  <c r="Q105" i="7"/>
  <c r="Q106" i="7"/>
  <c r="Q112" i="7"/>
  <c r="Q111" i="7"/>
  <c r="Q109" i="7"/>
  <c r="Q107" i="7"/>
  <c r="Q110" i="7"/>
  <c r="Q108" i="7"/>
  <c r="R113" i="7"/>
  <c r="N113" i="7"/>
  <c r="AE106" i="12" l="1"/>
  <c r="AF106" i="12" s="1"/>
  <c r="AB106" i="12" s="1"/>
  <c r="P17" i="7"/>
  <c r="P62" i="7"/>
  <c r="P11" i="7"/>
  <c r="P51" i="7"/>
  <c r="P60" i="7"/>
  <c r="P61" i="7"/>
  <c r="P46" i="7"/>
  <c r="P54" i="7"/>
  <c r="P26" i="7"/>
  <c r="P40" i="7"/>
  <c r="P19" i="7"/>
  <c r="P37" i="7"/>
  <c r="P5" i="7"/>
  <c r="P22" i="7"/>
  <c r="P15" i="7"/>
  <c r="P56" i="7"/>
  <c r="P18" i="7"/>
  <c r="P33" i="7"/>
  <c r="P12" i="7"/>
  <c r="P27" i="7"/>
  <c r="P13" i="7"/>
  <c r="P53" i="7"/>
  <c r="P6" i="7"/>
  <c r="P42" i="7"/>
  <c r="P49" i="7"/>
  <c r="P57" i="7"/>
  <c r="P36" i="7"/>
  <c r="P50" i="7"/>
  <c r="P21" i="7"/>
  <c r="P35" i="7"/>
  <c r="P16" i="7"/>
  <c r="P30" i="7"/>
  <c r="P32" i="7"/>
  <c r="P48" i="7"/>
  <c r="P25" i="7"/>
  <c r="P43" i="7"/>
  <c r="P14" i="7"/>
  <c r="P29" i="7"/>
  <c r="P7" i="7"/>
  <c r="P20" i="7"/>
  <c r="P10" i="7"/>
  <c r="P44" i="7"/>
  <c r="P3" i="7"/>
  <c r="P67" i="7"/>
  <c r="P39" i="7"/>
  <c r="P52" i="7"/>
  <c r="P31" i="7"/>
  <c r="P47" i="7"/>
  <c r="P63" i="7"/>
  <c r="P65" i="7"/>
  <c r="P55" i="7"/>
  <c r="P58" i="7"/>
  <c r="P34" i="7"/>
  <c r="P45" i="7"/>
  <c r="P24" i="7"/>
  <c r="P41" i="7"/>
  <c r="P9" i="7"/>
  <c r="P28" i="7"/>
  <c r="P4" i="7"/>
  <c r="P23" i="7"/>
  <c r="P66" i="7"/>
  <c r="P8" i="7"/>
  <c r="P38" i="7"/>
  <c r="P59" i="7"/>
  <c r="P64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5" i="7"/>
  <c r="P94" i="7"/>
  <c r="P96" i="7"/>
  <c r="P97" i="7"/>
  <c r="P98" i="7"/>
  <c r="P99" i="7"/>
  <c r="P100" i="7"/>
  <c r="P101" i="7"/>
  <c r="P102" i="7"/>
  <c r="P103" i="7"/>
  <c r="P104" i="7"/>
  <c r="P105" i="7"/>
  <c r="P106" i="7"/>
  <c r="P111" i="7"/>
  <c r="P110" i="7"/>
  <c r="P108" i="7"/>
  <c r="P109" i="7"/>
  <c r="P112" i="7"/>
  <c r="O115" i="9"/>
  <c r="O69" i="9"/>
  <c r="O59" i="9"/>
  <c r="O66" i="9"/>
  <c r="O55" i="9"/>
  <c r="O67" i="9"/>
  <c r="O61" i="9"/>
  <c r="O57" i="9"/>
  <c r="O68" i="9"/>
  <c r="O64" i="9"/>
  <c r="O56" i="9"/>
  <c r="O52" i="9"/>
  <c r="O65" i="9"/>
  <c r="O60" i="9"/>
  <c r="O54" i="9"/>
  <c r="O51" i="9"/>
  <c r="O53" i="9"/>
  <c r="O62" i="9"/>
  <c r="O58" i="9"/>
  <c r="O63" i="9"/>
  <c r="O49" i="9"/>
  <c r="O50" i="9"/>
  <c r="O70" i="9"/>
  <c r="O28" i="9"/>
  <c r="O26" i="9"/>
  <c r="O32" i="9"/>
  <c r="O37" i="9"/>
  <c r="O43" i="9"/>
  <c r="O41" i="9"/>
  <c r="O46" i="9"/>
  <c r="O45" i="9"/>
  <c r="O42" i="9"/>
  <c r="O47" i="9"/>
  <c r="O27" i="9"/>
  <c r="O25" i="9"/>
  <c r="O31" i="9"/>
  <c r="O29" i="9"/>
  <c r="O35" i="9"/>
  <c r="O33" i="9"/>
  <c r="O39" i="9"/>
  <c r="O30" i="9"/>
  <c r="O36" i="9"/>
  <c r="O34" i="9"/>
  <c r="O40" i="9"/>
  <c r="O38" i="9"/>
  <c r="O44" i="9"/>
  <c r="O48" i="9"/>
  <c r="O71" i="9"/>
  <c r="O72" i="9"/>
  <c r="O73" i="9"/>
  <c r="O74" i="9"/>
  <c r="O75" i="9"/>
  <c r="O76" i="9"/>
  <c r="O77" i="9"/>
  <c r="O79" i="9"/>
  <c r="O78" i="9"/>
  <c r="O82" i="9"/>
  <c r="O80" i="9"/>
  <c r="O81" i="9"/>
  <c r="O83" i="9"/>
  <c r="O84" i="9"/>
  <c r="O86" i="9"/>
  <c r="O88" i="9"/>
  <c r="O87" i="9"/>
  <c r="O85" i="9"/>
  <c r="O89" i="9"/>
  <c r="O90" i="9"/>
  <c r="O92" i="9"/>
  <c r="O91" i="9"/>
  <c r="O93" i="9"/>
  <c r="O94" i="9"/>
  <c r="O95" i="9"/>
  <c r="O96" i="9"/>
  <c r="O99" i="9"/>
  <c r="O97" i="9"/>
  <c r="O98" i="9"/>
  <c r="O100" i="9"/>
  <c r="O101" i="9"/>
  <c r="O102" i="9"/>
  <c r="O103" i="9"/>
  <c r="O104" i="9"/>
  <c r="O105" i="9"/>
  <c r="O106" i="9"/>
  <c r="O107" i="9"/>
  <c r="O108" i="9"/>
  <c r="O109" i="9"/>
  <c r="O110" i="9"/>
  <c r="O112" i="9"/>
  <c r="O114" i="9"/>
  <c r="O113" i="9"/>
  <c r="O111" i="9"/>
  <c r="P107" i="7"/>
  <c r="P113" i="7"/>
  <c r="AG106" i="12" l="1"/>
  <c r="AD107" i="12" s="1"/>
  <c r="B26" i="9"/>
  <c r="AE107" i="12" l="1"/>
  <c r="AF107" i="12" s="1"/>
  <c r="AB107" i="12" s="1"/>
  <c r="AG107" i="12" l="1"/>
  <c r="AD108" i="12" s="1"/>
  <c r="AE108" i="12" l="1"/>
  <c r="AF108" i="12" s="1"/>
  <c r="AB108" i="12" l="1"/>
  <c r="AG108" i="12"/>
  <c r="AD109" i="12" s="1"/>
  <c r="AE109" i="12" l="1"/>
  <c r="AF109" i="12" s="1"/>
  <c r="AB109" i="12" s="1"/>
  <c r="AG109" i="12" l="1"/>
  <c r="AD110" i="12" s="1"/>
  <c r="AE110" i="12" l="1"/>
  <c r="AF110" i="12" s="1"/>
  <c r="AB110" i="12" s="1"/>
  <c r="AG110" i="12" l="1"/>
  <c r="AD111" i="12" s="1"/>
  <c r="AE111" i="12" l="1"/>
  <c r="AF111" i="12" s="1"/>
  <c r="AB111" i="12" s="1"/>
  <c r="AG111" i="12" l="1"/>
  <c r="AD112" i="12" s="1"/>
  <c r="AE112" i="12" l="1"/>
  <c r="AF112" i="12" s="1"/>
  <c r="AB112" i="12" s="1"/>
  <c r="AG112" i="12" l="1"/>
  <c r="AD113" i="12" s="1"/>
  <c r="K112" i="9"/>
  <c r="N115" i="8"/>
  <c r="I115" i="10" s="1"/>
  <c r="K113" i="9"/>
  <c r="K110" i="9"/>
  <c r="K107" i="9"/>
  <c r="K104" i="9"/>
  <c r="K111" i="9"/>
  <c r="K109" i="9"/>
  <c r="N110" i="8"/>
  <c r="I110" i="10" s="1"/>
  <c r="K108" i="9"/>
  <c r="K106" i="9"/>
  <c r="K105" i="9"/>
  <c r="J113" i="9"/>
  <c r="J111" i="9"/>
  <c r="J109" i="9"/>
  <c r="J107" i="9"/>
  <c r="J105" i="9"/>
  <c r="J103" i="9"/>
  <c r="J114" i="9"/>
  <c r="J112" i="9"/>
  <c r="J108" i="9"/>
  <c r="J106" i="9"/>
  <c r="K103" i="9"/>
  <c r="K101" i="9"/>
  <c r="K102" i="9"/>
  <c r="K99" i="9"/>
  <c r="K94" i="9"/>
  <c r="R115" i="8"/>
  <c r="K115" i="9"/>
  <c r="M115" i="9" s="1"/>
  <c r="K100" i="9"/>
  <c r="K97" i="9"/>
  <c r="R114" i="8"/>
  <c r="K114" i="9"/>
  <c r="K98" i="9"/>
  <c r="K96" i="9"/>
  <c r="K88" i="9"/>
  <c r="K95" i="9"/>
  <c r="K93" i="9"/>
  <c r="K89" i="9"/>
  <c r="K92" i="9"/>
  <c r="K91" i="9"/>
  <c r="K87" i="9"/>
  <c r="K90" i="9"/>
  <c r="K85" i="9"/>
  <c r="K86" i="9"/>
  <c r="K84" i="9"/>
  <c r="K81" i="9"/>
  <c r="K83" i="9"/>
  <c r="K79" i="9"/>
  <c r="K82" i="9"/>
  <c r="K80" i="9"/>
  <c r="K77" i="9"/>
  <c r="K78" i="9"/>
  <c r="K76" i="9"/>
  <c r="K74" i="9"/>
  <c r="K75" i="9"/>
  <c r="K72" i="9"/>
  <c r="K73" i="9"/>
  <c r="K71" i="9"/>
  <c r="K70" i="9"/>
  <c r="K69" i="9"/>
  <c r="K68" i="9"/>
  <c r="K67" i="9"/>
  <c r="K66" i="9"/>
  <c r="K64" i="9"/>
  <c r="K65" i="9"/>
  <c r="K63" i="9"/>
  <c r="K62" i="9"/>
  <c r="K61" i="9"/>
  <c r="K60" i="9"/>
  <c r="K59" i="9"/>
  <c r="K56" i="9"/>
  <c r="K58" i="9"/>
  <c r="K57" i="9"/>
  <c r="K55" i="9"/>
  <c r="K50" i="9"/>
  <c r="K54" i="9"/>
  <c r="K53" i="9"/>
  <c r="K52" i="9"/>
  <c r="K51" i="9"/>
  <c r="K49" i="9"/>
  <c r="K47" i="9"/>
  <c r="K48" i="9"/>
  <c r="K40" i="9"/>
  <c r="K46" i="9"/>
  <c r="K45" i="9"/>
  <c r="K44" i="9"/>
  <c r="K42" i="9"/>
  <c r="K43" i="9"/>
  <c r="K39" i="9"/>
  <c r="K38" i="9"/>
  <c r="K36" i="9"/>
  <c r="K37" i="9"/>
  <c r="K29" i="9"/>
  <c r="K34" i="9"/>
  <c r="K32" i="9"/>
  <c r="K26" i="9"/>
  <c r="K30" i="9"/>
  <c r="K25" i="9"/>
  <c r="K23" i="9"/>
  <c r="K18" i="9"/>
  <c r="K22" i="9"/>
  <c r="K21" i="9"/>
  <c r="K20" i="9"/>
  <c r="K16" i="9"/>
  <c r="K15" i="9"/>
  <c r="K17" i="9"/>
  <c r="K14" i="9"/>
  <c r="K13" i="9"/>
  <c r="K12" i="9"/>
  <c r="R112" i="8"/>
  <c r="R106" i="8"/>
  <c r="R102" i="8"/>
  <c r="R98" i="8"/>
  <c r="R96" i="8"/>
  <c r="R90" i="8"/>
  <c r="R85" i="8"/>
  <c r="R81" i="8"/>
  <c r="R79" i="8"/>
  <c r="R75" i="8"/>
  <c r="R69" i="8"/>
  <c r="R67" i="8"/>
  <c r="R63" i="8"/>
  <c r="R110" i="8"/>
  <c r="R107" i="8"/>
  <c r="R103" i="8"/>
  <c r="R99" i="8"/>
  <c r="R93" i="8"/>
  <c r="R92" i="8"/>
  <c r="R88" i="8"/>
  <c r="R83" i="8"/>
  <c r="R77" i="8"/>
  <c r="R73" i="8"/>
  <c r="R71" i="8"/>
  <c r="R65" i="8"/>
  <c r="R61" i="8"/>
  <c r="R57" i="8"/>
  <c r="R113" i="8"/>
  <c r="R111" i="8"/>
  <c r="R109" i="8"/>
  <c r="R105" i="8"/>
  <c r="R101" i="8"/>
  <c r="R97" i="8"/>
  <c r="R95" i="8"/>
  <c r="R91" i="8"/>
  <c r="R89" i="8"/>
  <c r="R87" i="8"/>
  <c r="R108" i="8"/>
  <c r="R104" i="8"/>
  <c r="R100" i="8"/>
  <c r="R94" i="8"/>
  <c r="R86" i="8"/>
  <c r="R84" i="8"/>
  <c r="R82" i="8"/>
  <c r="R80" i="8"/>
  <c r="R78" i="8"/>
  <c r="R76" i="8"/>
  <c r="R74" i="8"/>
  <c r="R72" i="8"/>
  <c r="R70" i="8"/>
  <c r="R68" i="8"/>
  <c r="R66" i="8"/>
  <c r="R64" i="8"/>
  <c r="R62" i="8"/>
  <c r="R60" i="8"/>
  <c r="R58" i="8"/>
  <c r="R56" i="8"/>
  <c r="R54" i="8"/>
  <c r="R52" i="8"/>
  <c r="R50" i="8"/>
  <c r="R48" i="8"/>
  <c r="R46" i="8"/>
  <c r="R44" i="8"/>
  <c r="R42" i="8"/>
  <c r="R40" i="8"/>
  <c r="R36" i="8"/>
  <c r="R24" i="8"/>
  <c r="R18" i="8"/>
  <c r="R31" i="8"/>
  <c r="R29" i="8"/>
  <c r="R27" i="8"/>
  <c r="R15" i="8"/>
  <c r="R22" i="8"/>
  <c r="R21" i="8"/>
  <c r="R20" i="8"/>
  <c r="R16" i="8"/>
  <c r="R14" i="8"/>
  <c r="L10" i="8"/>
  <c r="L9" i="8"/>
  <c r="L8" i="8"/>
  <c r="L7" i="8"/>
  <c r="L6" i="8"/>
  <c r="L5" i="8"/>
  <c r="R13" i="8"/>
  <c r="K10" i="9"/>
  <c r="K9" i="9"/>
  <c r="K8" i="9"/>
  <c r="K7" i="9"/>
  <c r="K6" i="9"/>
  <c r="K5" i="9"/>
  <c r="R107" i="12" l="1"/>
  <c r="AE113" i="12"/>
  <c r="AF113" i="12" s="1"/>
  <c r="R108" i="12"/>
  <c r="R111" i="12"/>
  <c r="R104" i="12"/>
  <c r="J110" i="9"/>
  <c r="R109" i="12" s="1"/>
  <c r="J115" i="9"/>
  <c r="L115" i="9" s="1"/>
  <c r="P115" i="9" s="1"/>
  <c r="M100" i="9"/>
  <c r="M96" i="9"/>
  <c r="M112" i="9"/>
  <c r="R105" i="12"/>
  <c r="M104" i="9"/>
  <c r="M53" i="9"/>
  <c r="M60" i="9"/>
  <c r="M65" i="9"/>
  <c r="M66" i="9"/>
  <c r="M73" i="9"/>
  <c r="M84" i="9"/>
  <c r="R106" i="12"/>
  <c r="M93" i="9"/>
  <c r="R110" i="12"/>
  <c r="R112" i="12"/>
  <c r="M52" i="9"/>
  <c r="M54" i="9"/>
  <c r="M58" i="9"/>
  <c r="M59" i="9"/>
  <c r="Q115" i="8"/>
  <c r="M80" i="9"/>
  <c r="M98" i="9"/>
  <c r="M102" i="9"/>
  <c r="M106" i="9"/>
  <c r="M61" i="9"/>
  <c r="M62" i="9"/>
  <c r="M76" i="9"/>
  <c r="M67" i="9"/>
  <c r="M108" i="9"/>
  <c r="M110" i="9"/>
  <c r="M49" i="9"/>
  <c r="M55" i="9"/>
  <c r="M68" i="9"/>
  <c r="M69" i="9"/>
  <c r="M70" i="9"/>
  <c r="M75" i="9"/>
  <c r="M82" i="9"/>
  <c r="M85" i="9"/>
  <c r="M90" i="9"/>
  <c r="M77" i="9"/>
  <c r="R51" i="8"/>
  <c r="R102" i="12"/>
  <c r="R113" i="12"/>
  <c r="R55" i="8"/>
  <c r="J6" i="9"/>
  <c r="R5" i="12" s="1"/>
  <c r="J8" i="9"/>
  <c r="R7" i="12" s="1"/>
  <c r="J10" i="9"/>
  <c r="R9" i="12" s="1"/>
  <c r="J12" i="9"/>
  <c r="R11" i="12" s="1"/>
  <c r="J5" i="9"/>
  <c r="J7" i="9"/>
  <c r="R6" i="12" s="1"/>
  <c r="J9" i="9"/>
  <c r="R8" i="12" s="1"/>
  <c r="J15" i="9"/>
  <c r="R14" i="12" s="1"/>
  <c r="J16" i="9"/>
  <c r="R15" i="12" s="1"/>
  <c r="J17" i="9"/>
  <c r="R16" i="12" s="1"/>
  <c r="J20" i="9"/>
  <c r="R19" i="12" s="1"/>
  <c r="J19" i="9"/>
  <c r="J24" i="9"/>
  <c r="J28" i="9"/>
  <c r="J29" i="9"/>
  <c r="R28" i="12" s="1"/>
  <c r="J32" i="9"/>
  <c r="R31" i="12" s="1"/>
  <c r="J34" i="9"/>
  <c r="R33" i="12" s="1"/>
  <c r="J36" i="9"/>
  <c r="R35" i="12" s="1"/>
  <c r="J37" i="9"/>
  <c r="R36" i="12" s="1"/>
  <c r="J38" i="9"/>
  <c r="R37" i="12" s="1"/>
  <c r="J35" i="9"/>
  <c r="J39" i="9"/>
  <c r="R38" i="12" s="1"/>
  <c r="J42" i="9"/>
  <c r="R41" i="12" s="1"/>
  <c r="J44" i="9"/>
  <c r="R43" i="12" s="1"/>
  <c r="J52" i="9"/>
  <c r="R51" i="12" s="1"/>
  <c r="J58" i="9"/>
  <c r="R57" i="12" s="1"/>
  <c r="J57" i="9"/>
  <c r="R56" i="12" s="1"/>
  <c r="J64" i="9"/>
  <c r="R63" i="12" s="1"/>
  <c r="J62" i="9"/>
  <c r="R61" i="12" s="1"/>
  <c r="J66" i="9"/>
  <c r="R65" i="12" s="1"/>
  <c r="J72" i="9"/>
  <c r="R71" i="12" s="1"/>
  <c r="J73" i="9"/>
  <c r="R72" i="12" s="1"/>
  <c r="J74" i="9"/>
  <c r="R73" i="12" s="1"/>
  <c r="J76" i="9"/>
  <c r="R75" i="12" s="1"/>
  <c r="J78" i="9"/>
  <c r="R77" i="12" s="1"/>
  <c r="J79" i="9"/>
  <c r="R78" i="12" s="1"/>
  <c r="J81" i="9"/>
  <c r="R80" i="12" s="1"/>
  <c r="J80" i="9"/>
  <c r="R79" i="12" s="1"/>
  <c r="J87" i="9"/>
  <c r="R86" i="12" s="1"/>
  <c r="J82" i="9"/>
  <c r="R81" i="12" s="1"/>
  <c r="J86" i="9"/>
  <c r="R85" i="12" s="1"/>
  <c r="J89" i="9"/>
  <c r="R88" i="12" s="1"/>
  <c r="J93" i="9"/>
  <c r="R92" i="12" s="1"/>
  <c r="J96" i="9"/>
  <c r="R95" i="12" s="1"/>
  <c r="J95" i="9"/>
  <c r="R94" i="12" s="1"/>
  <c r="J97" i="9"/>
  <c r="R96" i="12" s="1"/>
  <c r="J98" i="9"/>
  <c r="R97" i="12" s="1"/>
  <c r="J101" i="9"/>
  <c r="R100" i="12" s="1"/>
  <c r="J100" i="9"/>
  <c r="R99" i="12" s="1"/>
  <c r="J90" i="9"/>
  <c r="R89" i="12" s="1"/>
  <c r="R43" i="8"/>
  <c r="R53" i="8"/>
  <c r="R59" i="8"/>
  <c r="J11" i="9"/>
  <c r="J13" i="9"/>
  <c r="R12" i="12" s="1"/>
  <c r="J14" i="9"/>
  <c r="R13" i="12" s="1"/>
  <c r="J18" i="9"/>
  <c r="R17" i="12" s="1"/>
  <c r="J21" i="9"/>
  <c r="R20" i="12" s="1"/>
  <c r="J23" i="9"/>
  <c r="R22" i="12" s="1"/>
  <c r="J25" i="9"/>
  <c r="R24" i="12" s="1"/>
  <c r="J26" i="9"/>
  <c r="R25" i="12" s="1"/>
  <c r="J22" i="9"/>
  <c r="R21" i="12" s="1"/>
  <c r="J31" i="9"/>
  <c r="J30" i="9"/>
  <c r="R29" i="12" s="1"/>
  <c r="J33" i="9"/>
  <c r="J27" i="9"/>
  <c r="J40" i="9"/>
  <c r="R39" i="12" s="1"/>
  <c r="J41" i="9"/>
  <c r="J43" i="9"/>
  <c r="R42" i="12" s="1"/>
  <c r="J45" i="9"/>
  <c r="R44" i="12" s="1"/>
  <c r="J47" i="9"/>
  <c r="R46" i="12" s="1"/>
  <c r="J46" i="9"/>
  <c r="R45" i="12" s="1"/>
  <c r="J48" i="9"/>
  <c r="R47" i="12" s="1"/>
  <c r="J50" i="9"/>
  <c r="R49" i="12" s="1"/>
  <c r="J49" i="9"/>
  <c r="R48" i="12" s="1"/>
  <c r="J53" i="9"/>
  <c r="R52" i="12" s="1"/>
  <c r="J51" i="9"/>
  <c r="R50" i="12" s="1"/>
  <c r="J55" i="9"/>
  <c r="R54" i="12" s="1"/>
  <c r="J56" i="9"/>
  <c r="R55" i="12" s="1"/>
  <c r="J59" i="9"/>
  <c r="R58" i="12" s="1"/>
  <c r="J54" i="9"/>
  <c r="R53" i="12" s="1"/>
  <c r="J61" i="9"/>
  <c r="R60" i="12" s="1"/>
  <c r="J63" i="9"/>
  <c r="R62" i="12" s="1"/>
  <c r="J60" i="9"/>
  <c r="R59" i="12" s="1"/>
  <c r="J65" i="9"/>
  <c r="R64" i="12" s="1"/>
  <c r="J67" i="9"/>
  <c r="R66" i="12" s="1"/>
  <c r="J69" i="9"/>
  <c r="R68" i="12" s="1"/>
  <c r="J71" i="9"/>
  <c r="R70" i="12" s="1"/>
  <c r="J68" i="9"/>
  <c r="R67" i="12" s="1"/>
  <c r="J70" i="9"/>
  <c r="R69" i="12" s="1"/>
  <c r="J75" i="9"/>
  <c r="R74" i="12" s="1"/>
  <c r="J77" i="9"/>
  <c r="R76" i="12" s="1"/>
  <c r="J85" i="9"/>
  <c r="R84" i="12" s="1"/>
  <c r="J88" i="9"/>
  <c r="R87" i="12" s="1"/>
  <c r="J83" i="9"/>
  <c r="R82" i="12" s="1"/>
  <c r="J91" i="9"/>
  <c r="R90" i="12" s="1"/>
  <c r="J84" i="9"/>
  <c r="R83" i="12" s="1"/>
  <c r="J92" i="9"/>
  <c r="R91" i="12" s="1"/>
  <c r="J94" i="9"/>
  <c r="R93" i="12" s="1"/>
  <c r="J99" i="9"/>
  <c r="R98" i="12" s="1"/>
  <c r="J102" i="9"/>
  <c r="R101" i="12" s="1"/>
  <c r="J104" i="9"/>
  <c r="R103" i="12" s="1"/>
  <c r="R37" i="8"/>
  <c r="R47" i="8"/>
  <c r="R34" i="8"/>
  <c r="R41" i="8"/>
  <c r="R45" i="8"/>
  <c r="R49" i="8"/>
  <c r="M114" i="9"/>
  <c r="M111" i="9"/>
  <c r="M109" i="9"/>
  <c r="M50" i="9"/>
  <c r="M72" i="9"/>
  <c r="M79" i="9"/>
  <c r="M81" i="9"/>
  <c r="M89" i="9"/>
  <c r="M97" i="9"/>
  <c r="M99" i="9"/>
  <c r="M101" i="9"/>
  <c r="M103" i="9"/>
  <c r="M105" i="9"/>
  <c r="M107" i="9"/>
  <c r="M51" i="9"/>
  <c r="M57" i="9"/>
  <c r="M56" i="9"/>
  <c r="M63" i="9"/>
  <c r="M64" i="9"/>
  <c r="M71" i="9"/>
  <c r="M74" i="9"/>
  <c r="M78" i="9"/>
  <c r="M83" i="9"/>
  <c r="M86" i="9"/>
  <c r="M87" i="9"/>
  <c r="M91" i="9"/>
  <c r="M92" i="9"/>
  <c r="M95" i="9"/>
  <c r="M88" i="9"/>
  <c r="M113" i="9"/>
  <c r="M94" i="9"/>
  <c r="M43" i="9"/>
  <c r="M44" i="9"/>
  <c r="M45" i="9"/>
  <c r="M46" i="9"/>
  <c r="R11" i="8"/>
  <c r="K11" i="9"/>
  <c r="R19" i="8"/>
  <c r="K19" i="9"/>
  <c r="R23" i="8"/>
  <c r="K24" i="9"/>
  <c r="R26" i="8"/>
  <c r="K27" i="9"/>
  <c r="R28" i="8"/>
  <c r="K28" i="9"/>
  <c r="R30" i="8"/>
  <c r="K31" i="9"/>
  <c r="R33" i="8"/>
  <c r="K33" i="9"/>
  <c r="R35" i="8"/>
  <c r="K35" i="9"/>
  <c r="R39" i="8"/>
  <c r="K41" i="9"/>
  <c r="M41" i="9" s="1"/>
  <c r="R12" i="8"/>
  <c r="M42" i="9"/>
  <c r="M48" i="9"/>
  <c r="M47" i="9"/>
  <c r="R17" i="8"/>
  <c r="R25" i="8"/>
  <c r="R32" i="8"/>
  <c r="R38" i="8"/>
  <c r="R7" i="8"/>
  <c r="R9" i="8"/>
  <c r="R10" i="8"/>
  <c r="P11" i="8"/>
  <c r="P12" i="8"/>
  <c r="P13" i="8"/>
  <c r="P15" i="8"/>
  <c r="P17" i="8"/>
  <c r="P23" i="8"/>
  <c r="P24" i="8"/>
  <c r="P5" i="8"/>
  <c r="R5" i="8"/>
  <c r="B37" i="8" s="1"/>
  <c r="P6" i="8"/>
  <c r="P7" i="8"/>
  <c r="P8" i="8"/>
  <c r="P9" i="8"/>
  <c r="P10" i="8"/>
  <c r="P14" i="8"/>
  <c r="P16" i="8"/>
  <c r="P18" i="8"/>
  <c r="P19" i="8"/>
  <c r="P20" i="8"/>
  <c r="P21" i="8"/>
  <c r="P22" i="8"/>
  <c r="P26" i="8"/>
  <c r="P27" i="8"/>
  <c r="P28" i="8"/>
  <c r="P29" i="8"/>
  <c r="P30" i="8"/>
  <c r="P31" i="8"/>
  <c r="P32" i="8"/>
  <c r="P35" i="8"/>
  <c r="P37" i="8"/>
  <c r="P39" i="8"/>
  <c r="P41" i="8"/>
  <c r="P43" i="8"/>
  <c r="P45" i="8"/>
  <c r="P47" i="8"/>
  <c r="P49" i="8"/>
  <c r="P51" i="8"/>
  <c r="P53" i="8"/>
  <c r="P55" i="8"/>
  <c r="P57" i="8"/>
  <c r="P59" i="8"/>
  <c r="P61" i="8"/>
  <c r="P63" i="8"/>
  <c r="P65" i="8"/>
  <c r="P67" i="8"/>
  <c r="P69" i="8"/>
  <c r="P71" i="8"/>
  <c r="P73" i="8"/>
  <c r="P75" i="8"/>
  <c r="P77" i="8"/>
  <c r="P79" i="8"/>
  <c r="P81" i="8"/>
  <c r="P83" i="8"/>
  <c r="P85" i="8"/>
  <c r="P93" i="8"/>
  <c r="P99" i="8"/>
  <c r="P103" i="8"/>
  <c r="P107" i="8"/>
  <c r="P109" i="8"/>
  <c r="P111" i="8"/>
  <c r="P113" i="8"/>
  <c r="P25" i="8"/>
  <c r="P33" i="8"/>
  <c r="P34" i="8"/>
  <c r="P36" i="8"/>
  <c r="P38" i="8"/>
  <c r="P40" i="8"/>
  <c r="P42" i="8"/>
  <c r="P44" i="8"/>
  <c r="P46" i="8"/>
  <c r="P48" i="8"/>
  <c r="P50" i="8"/>
  <c r="P52" i="8"/>
  <c r="P54" i="8"/>
  <c r="P56" i="8"/>
  <c r="P58" i="8"/>
  <c r="P60" i="8"/>
  <c r="P62" i="8"/>
  <c r="P64" i="8"/>
  <c r="P66" i="8"/>
  <c r="P68" i="8"/>
  <c r="P70" i="8"/>
  <c r="P72" i="8"/>
  <c r="P74" i="8"/>
  <c r="P76" i="8"/>
  <c r="P78" i="8"/>
  <c r="P80" i="8"/>
  <c r="P82" i="8"/>
  <c r="P84" i="8"/>
  <c r="P86" i="8"/>
  <c r="P88" i="8"/>
  <c r="P90" i="8"/>
  <c r="P92" i="8"/>
  <c r="P94" i="8"/>
  <c r="P96" i="8"/>
  <c r="P98" i="8"/>
  <c r="P100" i="8"/>
  <c r="P102" i="8"/>
  <c r="P104" i="8"/>
  <c r="P106" i="8"/>
  <c r="P108" i="8"/>
  <c r="P110" i="8"/>
  <c r="P112" i="8"/>
  <c r="P114" i="8"/>
  <c r="P115" i="8"/>
  <c r="P87" i="8"/>
  <c r="P89" i="8"/>
  <c r="P91" i="8"/>
  <c r="P95" i="8"/>
  <c r="P97" i="8"/>
  <c r="P101" i="8"/>
  <c r="P105" i="8"/>
  <c r="R6" i="8"/>
  <c r="R8" i="8"/>
  <c r="U115" i="8" l="1"/>
  <c r="M115" i="10"/>
  <c r="M17" i="9"/>
  <c r="M15" i="9"/>
  <c r="AB113" i="12"/>
  <c r="AG113" i="12"/>
  <c r="AD114" i="12" s="1"/>
  <c r="R114" i="12"/>
  <c r="AX114" i="12" s="1"/>
  <c r="M26" i="9"/>
  <c r="M22" i="9"/>
  <c r="M38" i="9"/>
  <c r="Q115" i="9"/>
  <c r="M34" i="9"/>
  <c r="M25" i="9"/>
  <c r="M20" i="9"/>
  <c r="M12" i="9"/>
  <c r="M9" i="9"/>
  <c r="M40" i="9"/>
  <c r="M37" i="9"/>
  <c r="M10" i="9"/>
  <c r="M32" i="9"/>
  <c r="M29" i="9"/>
  <c r="M21" i="9"/>
  <c r="M14" i="9"/>
  <c r="M5" i="9"/>
  <c r="B34" i="9" s="1"/>
  <c r="M39" i="9"/>
  <c r="M36" i="9"/>
  <c r="M30" i="9"/>
  <c r="M23" i="9"/>
  <c r="M16" i="9"/>
  <c r="M13" i="9"/>
  <c r="M6" i="9"/>
  <c r="M18" i="9"/>
  <c r="M8" i="9"/>
  <c r="M7" i="9"/>
  <c r="R40" i="12"/>
  <c r="R26" i="12"/>
  <c r="R32" i="12"/>
  <c r="R30" i="12"/>
  <c r="R10" i="12"/>
  <c r="R34" i="12"/>
  <c r="R27" i="12"/>
  <c r="R23" i="12"/>
  <c r="R18" i="12"/>
  <c r="M35" i="9"/>
  <c r="M33" i="9"/>
  <c r="M31" i="9"/>
  <c r="M28" i="9"/>
  <c r="M27" i="9"/>
  <c r="M24" i="9"/>
  <c r="M19" i="9"/>
  <c r="M11" i="9"/>
  <c r="S114" i="12" l="1"/>
  <c r="V115" i="10"/>
  <c r="V114" i="12"/>
  <c r="AE114" i="12"/>
  <c r="AF114" i="12" s="1"/>
  <c r="AB114" i="12" s="1"/>
  <c r="B12" i="8"/>
  <c r="AG114" i="12" l="1"/>
  <c r="I17" i="8"/>
  <c r="I20" i="8"/>
  <c r="I21" i="8"/>
  <c r="I19" i="8"/>
  <c r="I23" i="8"/>
  <c r="I18" i="8"/>
  <c r="I16" i="8"/>
  <c r="I15" i="8"/>
  <c r="I24" i="8"/>
  <c r="I22" i="8"/>
  <c r="K57" i="8"/>
  <c r="I14" i="8"/>
  <c r="I13" i="8"/>
  <c r="J78" i="8"/>
  <c r="J74" i="8"/>
  <c r="K79" i="8"/>
  <c r="J76" i="8"/>
  <c r="J71" i="8"/>
  <c r="J67" i="8"/>
  <c r="B12" i="9"/>
  <c r="R115" i="9" s="1"/>
  <c r="S115" i="9" s="1"/>
  <c r="W114" i="12" s="1"/>
  <c r="X114" i="12" s="1"/>
  <c r="J79" i="8"/>
  <c r="J77" i="8"/>
  <c r="J75" i="8"/>
  <c r="J73" i="8"/>
  <c r="J69" i="8"/>
  <c r="J65" i="8"/>
  <c r="K78" i="8"/>
  <c r="K77" i="8"/>
  <c r="K76" i="8"/>
  <c r="K75" i="8"/>
  <c r="K74" i="8"/>
  <c r="K73" i="8"/>
  <c r="J72" i="8"/>
  <c r="J70" i="8"/>
  <c r="J68" i="8"/>
  <c r="J66" i="8"/>
  <c r="J63" i="8"/>
  <c r="K72" i="8"/>
  <c r="K71" i="8"/>
  <c r="K70" i="8"/>
  <c r="K69" i="8"/>
  <c r="K68" i="8"/>
  <c r="K67" i="8"/>
  <c r="K66" i="8"/>
  <c r="K65" i="8"/>
  <c r="J64" i="8"/>
  <c r="K59" i="8"/>
  <c r="K64" i="8"/>
  <c r="K63" i="8"/>
  <c r="K61" i="8"/>
  <c r="K13" i="8"/>
  <c r="I12" i="8"/>
  <c r="I11" i="8"/>
  <c r="K55" i="8"/>
  <c r="K62" i="8"/>
  <c r="K60" i="8"/>
  <c r="K58" i="8"/>
  <c r="K56" i="8"/>
  <c r="K53" i="8"/>
  <c r="J62" i="8"/>
  <c r="J61" i="8"/>
  <c r="J60" i="8"/>
  <c r="J59" i="8"/>
  <c r="J58" i="8"/>
  <c r="J57" i="8"/>
  <c r="J56" i="8"/>
  <c r="K54" i="8"/>
  <c r="J52" i="8"/>
  <c r="J50" i="8"/>
  <c r="J55" i="8"/>
  <c r="J54" i="8"/>
  <c r="J53" i="8"/>
  <c r="J51" i="8"/>
  <c r="J49" i="8"/>
  <c r="K52" i="8"/>
  <c r="K51" i="8"/>
  <c r="K50" i="8"/>
  <c r="K49" i="8"/>
  <c r="J48" i="8"/>
  <c r="J47" i="8"/>
  <c r="J45" i="8"/>
  <c r="K48" i="8"/>
  <c r="K47" i="8"/>
  <c r="J46" i="8"/>
  <c r="J44" i="8"/>
  <c r="K46" i="8"/>
  <c r="K45" i="8"/>
  <c r="K44" i="8"/>
  <c r="K43" i="8"/>
  <c r="K40" i="8"/>
  <c r="K42" i="8"/>
  <c r="K38" i="8"/>
  <c r="R74" i="9"/>
  <c r="K41" i="8"/>
  <c r="K39" i="8"/>
  <c r="K37" i="8"/>
  <c r="J43" i="8"/>
  <c r="J42" i="8"/>
  <c r="J41" i="8"/>
  <c r="J40" i="8"/>
  <c r="J39" i="8"/>
  <c r="J38" i="8"/>
  <c r="K36" i="8"/>
  <c r="K35" i="8"/>
  <c r="K34" i="8"/>
  <c r="K32" i="8"/>
  <c r="J37" i="8"/>
  <c r="J36" i="8"/>
  <c r="J35" i="8"/>
  <c r="K33" i="8"/>
  <c r="K31" i="8"/>
  <c r="J34" i="8"/>
  <c r="J33" i="8"/>
  <c r="J32" i="8"/>
  <c r="K30" i="8"/>
  <c r="K28" i="8"/>
  <c r="K25" i="8"/>
  <c r="K29" i="8"/>
  <c r="K27" i="8"/>
  <c r="K22" i="8"/>
  <c r="K18" i="8"/>
  <c r="J31" i="8"/>
  <c r="J30" i="8"/>
  <c r="J29" i="8"/>
  <c r="J28" i="8"/>
  <c r="K26" i="8"/>
  <c r="K24" i="8"/>
  <c r="K20" i="8"/>
  <c r="K15" i="8"/>
  <c r="K23" i="8"/>
  <c r="K21" i="8"/>
  <c r="K19" i="8"/>
  <c r="K17" i="8"/>
  <c r="B11" i="12"/>
  <c r="J87" i="8"/>
  <c r="J95" i="8"/>
  <c r="J103" i="8"/>
  <c r="J111" i="8"/>
  <c r="J90" i="8"/>
  <c r="J88" i="8"/>
  <c r="J108" i="8"/>
  <c r="J92" i="8"/>
  <c r="J109" i="8"/>
  <c r="J101" i="8"/>
  <c r="J93" i="8"/>
  <c r="J85" i="8"/>
  <c r="J100" i="8"/>
  <c r="J84" i="8"/>
  <c r="J112" i="8"/>
  <c r="J96" i="8"/>
  <c r="J98" i="8"/>
  <c r="J104" i="8"/>
  <c r="J80" i="8"/>
  <c r="J102" i="8"/>
  <c r="J86" i="8"/>
  <c r="J114" i="8"/>
  <c r="J82" i="8"/>
  <c r="J99" i="8"/>
  <c r="J83" i="8"/>
  <c r="J110" i="8"/>
  <c r="J94" i="8"/>
  <c r="J113" i="8"/>
  <c r="J105" i="8"/>
  <c r="J97" i="8"/>
  <c r="J89" i="8"/>
  <c r="J81" i="8"/>
  <c r="J106" i="8"/>
  <c r="J107" i="8"/>
  <c r="J91" i="8"/>
  <c r="K114" i="8"/>
  <c r="K110" i="8"/>
  <c r="K112" i="8"/>
  <c r="K111" i="8"/>
  <c r="K109" i="8"/>
  <c r="K104" i="8"/>
  <c r="K102" i="8"/>
  <c r="K100" i="8"/>
  <c r="K94" i="8"/>
  <c r="K91" i="8"/>
  <c r="K90" i="8"/>
  <c r="K85" i="8"/>
  <c r="K86" i="8"/>
  <c r="K84" i="8"/>
  <c r="K81" i="8"/>
  <c r="K113" i="8"/>
  <c r="K106" i="8"/>
  <c r="K108" i="8"/>
  <c r="K107" i="8"/>
  <c r="K105" i="8"/>
  <c r="K103" i="8"/>
  <c r="K101" i="8"/>
  <c r="K99" i="8"/>
  <c r="K96" i="8"/>
  <c r="K98" i="8"/>
  <c r="K97" i="8"/>
  <c r="K95" i="8"/>
  <c r="K93" i="8"/>
  <c r="K92" i="8"/>
  <c r="K89" i="8"/>
  <c r="K88" i="8"/>
  <c r="K87" i="8"/>
  <c r="K83" i="8"/>
  <c r="K82" i="8"/>
  <c r="K80" i="8"/>
  <c r="R111" i="9"/>
  <c r="K16" i="8"/>
  <c r="K14" i="8"/>
  <c r="K12" i="8"/>
  <c r="K10" i="8"/>
  <c r="K8" i="8"/>
  <c r="K6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K11" i="8"/>
  <c r="K9" i="8"/>
  <c r="K7" i="8"/>
  <c r="K5" i="8"/>
  <c r="B12" i="10"/>
  <c r="J11" i="8"/>
  <c r="I10" i="8"/>
  <c r="I9" i="8"/>
  <c r="I8" i="8"/>
  <c r="I7" i="8"/>
  <c r="I6" i="8"/>
  <c r="I5" i="8"/>
  <c r="R27" i="9" l="1"/>
  <c r="H21" i="10"/>
  <c r="H19" i="10"/>
  <c r="H23" i="10"/>
  <c r="H17" i="10"/>
  <c r="H15" i="10"/>
  <c r="H20" i="10"/>
  <c r="H18" i="10"/>
  <c r="H24" i="10"/>
  <c r="H22" i="10"/>
  <c r="H16" i="10"/>
  <c r="H13" i="10"/>
  <c r="H14" i="10"/>
  <c r="H11" i="10"/>
  <c r="H12" i="10"/>
  <c r="H9" i="10"/>
  <c r="H7" i="10"/>
  <c r="H5" i="10"/>
  <c r="H10" i="10"/>
  <c r="H8" i="10"/>
  <c r="H6" i="10"/>
  <c r="I6" i="12"/>
  <c r="I5" i="12"/>
  <c r="R108" i="9"/>
  <c r="R114" i="9"/>
  <c r="S114" i="9" s="1"/>
  <c r="W113" i="12" s="1"/>
  <c r="R110" i="9"/>
  <c r="R106" i="9"/>
  <c r="R109" i="9"/>
  <c r="R112" i="9"/>
  <c r="R107" i="9"/>
  <c r="R113" i="9"/>
  <c r="S113" i="9" s="1"/>
  <c r="W112" i="12" s="1"/>
  <c r="R91" i="9"/>
  <c r="R103" i="9"/>
  <c r="R104" i="9"/>
  <c r="R105" i="9"/>
  <c r="R95" i="9"/>
  <c r="R87" i="9"/>
  <c r="R92" i="9"/>
  <c r="R67" i="9"/>
  <c r="R94" i="9"/>
  <c r="R93" i="9"/>
  <c r="R88" i="9"/>
  <c r="R81" i="9"/>
  <c r="R43" i="9"/>
  <c r="R44" i="9"/>
  <c r="R90" i="9"/>
  <c r="R98" i="9"/>
  <c r="R85" i="9"/>
  <c r="R99" i="9"/>
  <c r="R101" i="9"/>
  <c r="R102" i="9"/>
  <c r="R96" i="9"/>
  <c r="R86" i="9"/>
  <c r="R89" i="9"/>
  <c r="R97" i="9"/>
  <c r="R84" i="9"/>
  <c r="R100" i="9"/>
  <c r="R59" i="9"/>
  <c r="R75" i="9"/>
  <c r="R76" i="9"/>
  <c r="I8" i="12"/>
  <c r="I21" i="12"/>
  <c r="I17" i="12"/>
  <c r="I24" i="12"/>
  <c r="I15" i="12"/>
  <c r="I18" i="12"/>
  <c r="I20" i="12"/>
  <c r="I16" i="12"/>
  <c r="I23" i="12"/>
  <c r="I19" i="12"/>
  <c r="I22" i="12"/>
  <c r="R28" i="9"/>
  <c r="R35" i="9"/>
  <c r="R51" i="9"/>
  <c r="R60" i="9"/>
  <c r="R42" i="9"/>
  <c r="I9" i="12"/>
  <c r="I10" i="12"/>
  <c r="R83" i="9"/>
  <c r="R82" i="9"/>
  <c r="R32" i="9"/>
  <c r="R29" i="9"/>
  <c r="R39" i="9"/>
  <c r="R47" i="9"/>
  <c r="R55" i="9"/>
  <c r="R63" i="9"/>
  <c r="R71" i="9"/>
  <c r="R79" i="9"/>
  <c r="R36" i="9"/>
  <c r="R52" i="9"/>
  <c r="R68" i="9"/>
  <c r="R58" i="9"/>
  <c r="R62" i="9"/>
  <c r="R70" i="9"/>
  <c r="R26" i="9"/>
  <c r="R30" i="9"/>
  <c r="R25" i="9"/>
  <c r="R33" i="9"/>
  <c r="R37" i="9"/>
  <c r="R41" i="9"/>
  <c r="R45" i="9"/>
  <c r="R49" i="9"/>
  <c r="R53" i="9"/>
  <c r="R57" i="9"/>
  <c r="R61" i="9"/>
  <c r="R65" i="9"/>
  <c r="R69" i="9"/>
  <c r="R73" i="9"/>
  <c r="R77" i="9"/>
  <c r="R31" i="9"/>
  <c r="R40" i="9"/>
  <c r="R48" i="9"/>
  <c r="R56" i="9"/>
  <c r="R64" i="9"/>
  <c r="R72" i="9"/>
  <c r="R80" i="9"/>
  <c r="R34" i="9"/>
  <c r="R50" i="9"/>
  <c r="R66" i="9"/>
  <c r="R46" i="9"/>
  <c r="R78" i="9"/>
  <c r="R38" i="9"/>
  <c r="R54" i="9"/>
  <c r="I7" i="12"/>
  <c r="B12" i="12"/>
  <c r="I13" i="12"/>
  <c r="I14" i="12"/>
  <c r="I11" i="12"/>
  <c r="I12" i="12"/>
  <c r="J7" i="12" l="1"/>
  <c r="O7" i="12" s="1"/>
  <c r="BO7" i="12" s="1"/>
  <c r="B13" i="12"/>
  <c r="J115" i="10"/>
  <c r="S111" i="9"/>
  <c r="W110" i="12" s="1"/>
  <c r="S107" i="9"/>
  <c r="W106" i="12" s="1"/>
  <c r="S109" i="9"/>
  <c r="W108" i="12" s="1"/>
  <c r="S105" i="9"/>
  <c r="W104" i="12" s="1"/>
  <c r="S112" i="9"/>
  <c r="W111" i="12" s="1"/>
  <c r="S106" i="9"/>
  <c r="W105" i="12" s="1"/>
  <c r="S110" i="9"/>
  <c r="W109" i="12" s="1"/>
  <c r="S108" i="9"/>
  <c r="W107" i="12" s="1"/>
  <c r="S103" i="9"/>
  <c r="W102" i="12" s="1"/>
  <c r="S104" i="9"/>
  <c r="W103" i="12" s="1"/>
  <c r="S102" i="9"/>
  <c r="W101" i="12" s="1"/>
  <c r="S101" i="9"/>
  <c r="W100" i="12" s="1"/>
  <c r="S81" i="9"/>
  <c r="W80" i="12" s="1"/>
  <c r="S83" i="9"/>
  <c r="W82" i="12" s="1"/>
  <c r="S100" i="9"/>
  <c r="W99" i="12" s="1"/>
  <c r="S95" i="9"/>
  <c r="W94" i="12" s="1"/>
  <c r="S97" i="9"/>
  <c r="W96" i="12" s="1"/>
  <c r="S96" i="9"/>
  <c r="W95" i="12" s="1"/>
  <c r="S94" i="9"/>
  <c r="W93" i="12" s="1"/>
  <c r="S85" i="9"/>
  <c r="W84" i="12" s="1"/>
  <c r="S35" i="9"/>
  <c r="W34" i="12" s="1"/>
  <c r="J8" i="12"/>
  <c r="S90" i="9"/>
  <c r="W89" i="12" s="1"/>
  <c r="S84" i="9"/>
  <c r="W83" i="12" s="1"/>
  <c r="J5" i="12"/>
  <c r="S92" i="9"/>
  <c r="W91" i="12" s="1"/>
  <c r="S89" i="9"/>
  <c r="W88" i="12" s="1"/>
  <c r="S93" i="9"/>
  <c r="W92" i="12" s="1"/>
  <c r="S88" i="9"/>
  <c r="W87" i="12" s="1"/>
  <c r="S86" i="9"/>
  <c r="W85" i="12" s="1"/>
  <c r="S99" i="9"/>
  <c r="W98" i="12" s="1"/>
  <c r="S98" i="9"/>
  <c r="W97" i="12" s="1"/>
  <c r="AO114" i="12"/>
  <c r="J9" i="12"/>
  <c r="S91" i="9"/>
  <c r="W90" i="12" s="1"/>
  <c r="S87" i="9"/>
  <c r="W86" i="12" s="1"/>
  <c r="S79" i="9"/>
  <c r="W78" i="12" s="1"/>
  <c r="S63" i="9"/>
  <c r="W62" i="12" s="1"/>
  <c r="S32" i="9"/>
  <c r="W31" i="12" s="1"/>
  <c r="J10" i="12"/>
  <c r="J6" i="12"/>
  <c r="S82" i="9"/>
  <c r="W81" i="12" s="1"/>
  <c r="S80" i="9"/>
  <c r="W79" i="12" s="1"/>
  <c r="J14" i="12"/>
  <c r="J16" i="12"/>
  <c r="J19" i="12"/>
  <c r="J22" i="12"/>
  <c r="J20" i="12"/>
  <c r="J23" i="12"/>
  <c r="J21" i="12"/>
  <c r="J17" i="12"/>
  <c r="J24" i="12"/>
  <c r="J15" i="12"/>
  <c r="J18" i="12"/>
  <c r="S43" i="9"/>
  <c r="W42" i="12" s="1"/>
  <c r="S71" i="9"/>
  <c r="W70" i="12" s="1"/>
  <c r="S56" i="9"/>
  <c r="W55" i="12" s="1"/>
  <c r="S36" i="9"/>
  <c r="W35" i="12" s="1"/>
  <c r="S55" i="9"/>
  <c r="W54" i="12" s="1"/>
  <c r="S34" i="9"/>
  <c r="W33" i="12" s="1"/>
  <c r="S40" i="9"/>
  <c r="W39" i="12" s="1"/>
  <c r="S64" i="9"/>
  <c r="W63" i="12" s="1"/>
  <c r="S48" i="9"/>
  <c r="W47" i="12" s="1"/>
  <c r="S75" i="9"/>
  <c r="W74" i="12" s="1"/>
  <c r="S67" i="9"/>
  <c r="W66" i="12" s="1"/>
  <c r="S59" i="9"/>
  <c r="W58" i="12" s="1"/>
  <c r="S51" i="9"/>
  <c r="W50" i="12" s="1"/>
  <c r="S72" i="9"/>
  <c r="W71" i="12" s="1"/>
  <c r="S25" i="9"/>
  <c r="W24" i="12" s="1"/>
  <c r="S74" i="9"/>
  <c r="W73" i="12" s="1"/>
  <c r="S28" i="9"/>
  <c r="W27" i="12" s="1"/>
  <c r="S66" i="9"/>
  <c r="W65" i="12" s="1"/>
  <c r="S70" i="9"/>
  <c r="W69" i="12" s="1"/>
  <c r="S38" i="9"/>
  <c r="W37" i="12" s="1"/>
  <c r="S73" i="9"/>
  <c r="W72" i="12" s="1"/>
  <c r="S58" i="9"/>
  <c r="W57" i="12" s="1"/>
  <c r="S57" i="9"/>
  <c r="W56" i="12" s="1"/>
  <c r="S42" i="9"/>
  <c r="W41" i="12" s="1"/>
  <c r="S41" i="9"/>
  <c r="W40" i="12" s="1"/>
  <c r="S31" i="9"/>
  <c r="W30" i="12" s="1"/>
  <c r="S47" i="9"/>
  <c r="W46" i="12" s="1"/>
  <c r="S39" i="9"/>
  <c r="W38" i="12" s="1"/>
  <c r="S76" i="9"/>
  <c r="W75" i="12" s="1"/>
  <c r="S68" i="9"/>
  <c r="W67" i="12" s="1"/>
  <c r="S60" i="9"/>
  <c r="W59" i="12" s="1"/>
  <c r="S52" i="9"/>
  <c r="W51" i="12" s="1"/>
  <c r="S44" i="9"/>
  <c r="W43" i="12" s="1"/>
  <c r="S33" i="9"/>
  <c r="W32" i="12" s="1"/>
  <c r="S77" i="9"/>
  <c r="W76" i="12" s="1"/>
  <c r="S69" i="9"/>
  <c r="W68" i="12" s="1"/>
  <c r="S65" i="9"/>
  <c r="W64" i="12" s="1"/>
  <c r="S61" i="9"/>
  <c r="W60" i="12" s="1"/>
  <c r="S53" i="9"/>
  <c r="W52" i="12" s="1"/>
  <c r="S49" i="9"/>
  <c r="W48" i="12" s="1"/>
  <c r="S45" i="9"/>
  <c r="W44" i="12" s="1"/>
  <c r="S37" i="9"/>
  <c r="W36" i="12" s="1"/>
  <c r="S78" i="9"/>
  <c r="W77" i="12" s="1"/>
  <c r="S62" i="9"/>
  <c r="W61" i="12" s="1"/>
  <c r="S54" i="9"/>
  <c r="W53" i="12" s="1"/>
  <c r="S50" i="9"/>
  <c r="W49" i="12" s="1"/>
  <c r="S46" i="9"/>
  <c r="W45" i="12" s="1"/>
  <c r="S27" i="9"/>
  <c r="W26" i="12" s="1"/>
  <c r="J13" i="12"/>
  <c r="S26" i="9"/>
  <c r="W25" i="12" s="1"/>
  <c r="S30" i="9"/>
  <c r="W29" i="12" s="1"/>
  <c r="S29" i="9"/>
  <c r="W28" i="12" s="1"/>
  <c r="J12" i="12"/>
  <c r="BN12" i="12" s="1"/>
  <c r="J11" i="12"/>
  <c r="B21" i="12"/>
  <c r="BM6" i="12" l="1"/>
  <c r="BM35" i="12"/>
  <c r="BM56" i="12"/>
  <c r="BM79" i="12"/>
  <c r="BM5" i="12"/>
  <c r="BM33" i="12"/>
  <c r="BM10" i="12"/>
  <c r="BM16" i="12"/>
  <c r="BM9" i="12"/>
  <c r="BM21" i="12"/>
  <c r="BM26" i="12"/>
  <c r="BM48" i="12"/>
  <c r="BM14" i="12"/>
  <c r="BM76" i="12"/>
  <c r="BM54" i="12"/>
  <c r="BM51" i="12"/>
  <c r="BM13" i="12"/>
  <c r="BM30" i="12"/>
  <c r="BM22" i="12"/>
  <c r="BM18" i="12"/>
  <c r="BM58" i="12"/>
  <c r="BM11" i="12"/>
  <c r="BM46" i="12"/>
  <c r="BM52" i="12"/>
  <c r="BM77" i="12"/>
  <c r="BM53" i="12"/>
  <c r="BM15" i="12"/>
  <c r="BM8" i="12"/>
  <c r="BM50" i="12"/>
  <c r="BM12" i="12"/>
  <c r="BM7" i="12"/>
  <c r="BM62" i="12"/>
  <c r="BM60" i="12"/>
  <c r="BM17" i="12"/>
  <c r="BM20" i="12"/>
  <c r="BM69" i="12"/>
  <c r="BM32" i="12"/>
  <c r="BM71" i="12"/>
  <c r="BM43" i="12"/>
  <c r="BM70" i="12"/>
  <c r="BM66" i="12"/>
  <c r="BM64" i="12"/>
  <c r="BM49" i="12"/>
  <c r="BM73" i="12"/>
  <c r="BM74" i="12"/>
  <c r="BM68" i="12"/>
  <c r="BM37" i="12"/>
  <c r="BM75" i="12"/>
  <c r="BM59" i="12"/>
  <c r="BM47" i="12"/>
  <c r="BM67" i="12"/>
  <c r="BQ67" i="12" s="1"/>
  <c r="BM45" i="12"/>
  <c r="BM39" i="12"/>
  <c r="BM42" i="12"/>
  <c r="BM78" i="12"/>
  <c r="BM34" i="12"/>
  <c r="BM36" i="12"/>
  <c r="BM61" i="12"/>
  <c r="BM19" i="12"/>
  <c r="BM27" i="12"/>
  <c r="BM29" i="12"/>
  <c r="BM63" i="12"/>
  <c r="BM28" i="12"/>
  <c r="BM41" i="12"/>
  <c r="BM44" i="12"/>
  <c r="BM38" i="12"/>
  <c r="BM40" i="12"/>
  <c r="BM25" i="12"/>
  <c r="BM57" i="12"/>
  <c r="BM24" i="12"/>
  <c r="BM55" i="12"/>
  <c r="BM72" i="12"/>
  <c r="BM31" i="12"/>
  <c r="BM23" i="12"/>
  <c r="BM65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N55" i="12"/>
  <c r="AN56" i="12"/>
  <c r="AN57" i="12"/>
  <c r="AN58" i="12"/>
  <c r="AN59" i="12"/>
  <c r="AN60" i="12"/>
  <c r="AN61" i="12"/>
  <c r="AN62" i="12"/>
  <c r="AN63" i="12"/>
  <c r="AN64" i="12"/>
  <c r="AN65" i="12"/>
  <c r="AN66" i="12"/>
  <c r="AN67" i="12"/>
  <c r="AN68" i="12"/>
  <c r="AN69" i="12"/>
  <c r="AN70" i="12"/>
  <c r="AN71" i="12"/>
  <c r="AN72" i="12"/>
  <c r="AN73" i="12"/>
  <c r="AN74" i="12"/>
  <c r="AN75" i="12"/>
  <c r="AN76" i="12"/>
  <c r="AN77" i="12"/>
  <c r="AN78" i="12"/>
  <c r="AN79" i="12"/>
  <c r="BN7" i="12"/>
  <c r="BT105" i="12"/>
  <c r="BR12" i="12"/>
  <c r="BQ113" i="12"/>
  <c r="BQ109" i="12"/>
  <c r="BQ105" i="12"/>
  <c r="BQ101" i="12"/>
  <c r="BQ97" i="12"/>
  <c r="BQ93" i="12"/>
  <c r="BQ89" i="12"/>
  <c r="BQ85" i="12"/>
  <c r="BQ74" i="12"/>
  <c r="BQ70" i="12"/>
  <c r="BQ66" i="12"/>
  <c r="BQ62" i="12"/>
  <c r="BQ59" i="12"/>
  <c r="BQ114" i="12"/>
  <c r="BQ110" i="12"/>
  <c r="BQ106" i="12"/>
  <c r="BQ102" i="12"/>
  <c r="BQ98" i="12"/>
  <c r="BQ95" i="12"/>
  <c r="BQ91" i="12"/>
  <c r="BQ87" i="12"/>
  <c r="BQ111" i="12"/>
  <c r="BQ107" i="12"/>
  <c r="BQ103" i="12"/>
  <c r="BQ99" i="12"/>
  <c r="BQ94" i="12"/>
  <c r="BQ90" i="12"/>
  <c r="BQ86" i="12"/>
  <c r="BQ112" i="12"/>
  <c r="BQ108" i="12"/>
  <c r="BQ104" i="12"/>
  <c r="BQ100" i="12"/>
  <c r="BQ96" i="12"/>
  <c r="BQ92" i="12"/>
  <c r="BQ88" i="12"/>
  <c r="BQ84" i="12"/>
  <c r="BQ81" i="12"/>
  <c r="BQ77" i="12"/>
  <c r="BQ80" i="12"/>
  <c r="BQ75" i="12"/>
  <c r="BQ71" i="12"/>
  <c r="BQ63" i="12"/>
  <c r="BQ58" i="12"/>
  <c r="BQ56" i="12"/>
  <c r="BQ54" i="12"/>
  <c r="BQ51" i="12"/>
  <c r="BQ83" i="12"/>
  <c r="BQ79" i="12"/>
  <c r="BQ82" i="12"/>
  <c r="BQ78" i="12"/>
  <c r="BQ73" i="12"/>
  <c r="BQ69" i="12"/>
  <c r="BQ65" i="12"/>
  <c r="BQ61" i="12"/>
  <c r="BQ57" i="12"/>
  <c r="BQ55" i="12"/>
  <c r="BQ53" i="12"/>
  <c r="BQ50" i="12"/>
  <c r="BQ76" i="12"/>
  <c r="BQ72" i="12"/>
  <c r="BQ68" i="12"/>
  <c r="BQ64" i="12"/>
  <c r="BQ60" i="12"/>
  <c r="BQ52" i="12"/>
  <c r="BR50" i="12"/>
  <c r="BS50" i="12"/>
  <c r="BS51" i="12"/>
  <c r="BR51" i="12"/>
  <c r="BR52" i="12"/>
  <c r="BS52" i="12"/>
  <c r="BR53" i="12"/>
  <c r="BS53" i="12"/>
  <c r="BR54" i="12"/>
  <c r="BS54" i="12"/>
  <c r="BS55" i="12"/>
  <c r="BR55" i="12"/>
  <c r="BR56" i="12"/>
  <c r="BS56" i="12"/>
  <c r="BR57" i="12"/>
  <c r="BS57" i="12"/>
  <c r="BR58" i="12"/>
  <c r="BS58" i="12"/>
  <c r="BR59" i="12"/>
  <c r="BS59" i="12"/>
  <c r="BS60" i="12"/>
  <c r="BR60" i="12"/>
  <c r="BR61" i="12"/>
  <c r="BS61" i="12"/>
  <c r="BR62" i="12"/>
  <c r="BS62" i="12"/>
  <c r="BR63" i="12"/>
  <c r="BS63" i="12"/>
  <c r="BR64" i="12"/>
  <c r="BS64" i="12"/>
  <c r="BR65" i="12"/>
  <c r="BS65" i="12"/>
  <c r="BR66" i="12"/>
  <c r="BS66" i="12"/>
  <c r="BS67" i="12"/>
  <c r="BR67" i="12"/>
  <c r="BR68" i="12"/>
  <c r="BS68" i="12"/>
  <c r="BR69" i="12"/>
  <c r="BS69" i="12"/>
  <c r="BS70" i="12"/>
  <c r="BR70" i="12"/>
  <c r="BS71" i="12"/>
  <c r="BR71" i="12"/>
  <c r="BR72" i="12"/>
  <c r="BS72" i="12"/>
  <c r="BR73" i="12"/>
  <c r="BS73" i="12"/>
  <c r="BR74" i="12"/>
  <c r="BS74" i="12"/>
  <c r="BR75" i="12"/>
  <c r="BS75" i="12"/>
  <c r="BR76" i="12"/>
  <c r="BS76" i="12"/>
  <c r="BR77" i="12"/>
  <c r="BS77" i="12"/>
  <c r="BR78" i="12"/>
  <c r="BS78" i="12"/>
  <c r="BR79" i="12"/>
  <c r="BS79" i="12"/>
  <c r="BR80" i="12"/>
  <c r="BS80" i="12"/>
  <c r="BR81" i="12"/>
  <c r="BS81" i="12"/>
  <c r="BR82" i="12"/>
  <c r="BS82" i="12"/>
  <c r="BR83" i="12"/>
  <c r="BS83" i="12"/>
  <c r="BR84" i="12"/>
  <c r="BS84" i="12"/>
  <c r="BS85" i="12"/>
  <c r="BR85" i="12"/>
  <c r="BR86" i="12"/>
  <c r="BS86" i="12"/>
  <c r="BR87" i="12"/>
  <c r="BS87" i="12"/>
  <c r="BS88" i="12"/>
  <c r="BR88" i="12"/>
  <c r="BR89" i="12"/>
  <c r="BS89" i="12"/>
  <c r="BR90" i="12"/>
  <c r="BS90" i="12"/>
  <c r="BR91" i="12"/>
  <c r="BS91" i="12"/>
  <c r="BR92" i="12"/>
  <c r="BS92" i="12"/>
  <c r="BR93" i="12"/>
  <c r="BS93" i="12"/>
  <c r="BR94" i="12"/>
  <c r="BS94" i="12"/>
  <c r="BR95" i="12"/>
  <c r="BS95" i="12"/>
  <c r="BR96" i="12"/>
  <c r="BS96" i="12"/>
  <c r="BS97" i="12"/>
  <c r="BR97" i="12"/>
  <c r="BS98" i="12"/>
  <c r="BR98" i="12"/>
  <c r="BS99" i="12"/>
  <c r="BR99" i="12"/>
  <c r="BR100" i="12"/>
  <c r="BS100" i="12"/>
  <c r="BR101" i="12"/>
  <c r="BS101" i="12"/>
  <c r="BR102" i="12"/>
  <c r="BS102" i="12"/>
  <c r="BS103" i="12"/>
  <c r="BR103" i="12"/>
  <c r="BR104" i="12"/>
  <c r="BS104" i="12"/>
  <c r="BR105" i="12"/>
  <c r="BS105" i="12"/>
  <c r="BR106" i="12"/>
  <c r="BS106" i="12"/>
  <c r="BR107" i="12"/>
  <c r="BS107" i="12"/>
  <c r="BR108" i="12"/>
  <c r="BS108" i="12"/>
  <c r="BR109" i="12"/>
  <c r="BS109" i="12"/>
  <c r="BR110" i="12"/>
  <c r="BS110" i="12"/>
  <c r="BR111" i="12"/>
  <c r="BS111" i="12"/>
  <c r="BS112" i="12"/>
  <c r="BR112" i="12"/>
  <c r="BR113" i="12"/>
  <c r="BS113" i="12"/>
  <c r="BS114" i="12"/>
  <c r="BR114" i="12"/>
  <c r="O11" i="12"/>
  <c r="BO11" i="12" s="1"/>
  <c r="BS11" i="12" s="1"/>
  <c r="BN11" i="12"/>
  <c r="BR11" i="12" s="1"/>
  <c r="O18" i="12"/>
  <c r="BO18" i="12" s="1"/>
  <c r="BS18" i="12" s="1"/>
  <c r="BN18" i="12"/>
  <c r="BR18" i="12" s="1"/>
  <c r="O24" i="12"/>
  <c r="BO24" i="12" s="1"/>
  <c r="BS24" i="12" s="1"/>
  <c r="BN24" i="12"/>
  <c r="BR24" i="12" s="1"/>
  <c r="O21" i="12"/>
  <c r="BO21" i="12" s="1"/>
  <c r="BS21" i="12" s="1"/>
  <c r="BN21" i="12"/>
  <c r="BR21" i="12" s="1"/>
  <c r="O20" i="12"/>
  <c r="BO20" i="12" s="1"/>
  <c r="BS20" i="12" s="1"/>
  <c r="BN20" i="12"/>
  <c r="BR20" i="12" s="1"/>
  <c r="O19" i="12"/>
  <c r="BO19" i="12" s="1"/>
  <c r="BS19" i="12" s="1"/>
  <c r="BN19" i="12"/>
  <c r="BR19" i="12" s="1"/>
  <c r="O14" i="12"/>
  <c r="BO14" i="12" s="1"/>
  <c r="BS14" i="12" s="1"/>
  <c r="BN14" i="12"/>
  <c r="BR14" i="12" s="1"/>
  <c r="O10" i="12"/>
  <c r="BO10" i="12" s="1"/>
  <c r="BS10" i="12" s="1"/>
  <c r="BN10" i="12"/>
  <c r="BR10" i="12" s="1"/>
  <c r="O9" i="12"/>
  <c r="BO9" i="12" s="1"/>
  <c r="BS9" i="12" s="1"/>
  <c r="BN9" i="12"/>
  <c r="BR9" i="12" s="1"/>
  <c r="O8" i="12"/>
  <c r="BO8" i="12" s="1"/>
  <c r="BS8" i="12" s="1"/>
  <c r="BN8" i="12"/>
  <c r="BR8" i="12" s="1"/>
  <c r="BS7" i="12"/>
  <c r="O13" i="12"/>
  <c r="BO13" i="12" s="1"/>
  <c r="BS13" i="12" s="1"/>
  <c r="BN13" i="12"/>
  <c r="BR13" i="12" s="1"/>
  <c r="O15" i="12"/>
  <c r="BO15" i="12" s="1"/>
  <c r="BS15" i="12" s="1"/>
  <c r="BN15" i="12"/>
  <c r="BR15" i="12" s="1"/>
  <c r="O17" i="12"/>
  <c r="BO17" i="12" s="1"/>
  <c r="BS17" i="12" s="1"/>
  <c r="BN17" i="12"/>
  <c r="BR17" i="12" s="1"/>
  <c r="O23" i="12"/>
  <c r="BO23" i="12" s="1"/>
  <c r="BS23" i="12" s="1"/>
  <c r="BN23" i="12"/>
  <c r="BR23" i="12" s="1"/>
  <c r="O22" i="12"/>
  <c r="BO22" i="12" s="1"/>
  <c r="BS22" i="12" s="1"/>
  <c r="BN22" i="12"/>
  <c r="BR22" i="12" s="1"/>
  <c r="O16" i="12"/>
  <c r="BO16" i="12" s="1"/>
  <c r="BS16" i="12" s="1"/>
  <c r="BN16" i="12"/>
  <c r="BR16" i="12" s="1"/>
  <c r="O6" i="12"/>
  <c r="BO6" i="12" s="1"/>
  <c r="BS6" i="12" s="1"/>
  <c r="BN6" i="12"/>
  <c r="BR6" i="12" s="1"/>
  <c r="AI113" i="12"/>
  <c r="BQ6" i="12"/>
  <c r="BQ49" i="12"/>
  <c r="BQ47" i="12"/>
  <c r="BQ43" i="12"/>
  <c r="BQ39" i="12"/>
  <c r="BQ35" i="12"/>
  <c r="BQ33" i="12"/>
  <c r="BQ31" i="12"/>
  <c r="BQ28" i="12"/>
  <c r="BQ25" i="12"/>
  <c r="BQ20" i="12"/>
  <c r="BQ16" i="12"/>
  <c r="BQ13" i="12"/>
  <c r="BQ11" i="12"/>
  <c r="BQ45" i="12"/>
  <c r="BQ41" i="12"/>
  <c r="BQ37" i="12"/>
  <c r="BQ29" i="12"/>
  <c r="BQ23" i="12"/>
  <c r="BQ21" i="12"/>
  <c r="BQ17" i="12"/>
  <c r="BQ10" i="12"/>
  <c r="BQ5" i="12"/>
  <c r="BQ7" i="12"/>
  <c r="BQ9" i="12"/>
  <c r="BQ8" i="12"/>
  <c r="BQ48" i="12"/>
  <c r="BQ46" i="12"/>
  <c r="BQ42" i="12"/>
  <c r="BQ38" i="12"/>
  <c r="BQ34" i="12"/>
  <c r="BQ32" i="12"/>
  <c r="BQ30" i="12"/>
  <c r="BQ26" i="12"/>
  <c r="BQ24" i="12"/>
  <c r="BQ19" i="12"/>
  <c r="BQ15" i="12"/>
  <c r="BQ12" i="12"/>
  <c r="BQ44" i="12"/>
  <c r="BQ40" i="12"/>
  <c r="BQ36" i="12"/>
  <c r="BQ27" i="12"/>
  <c r="BQ22" i="12"/>
  <c r="BQ18" i="12"/>
  <c r="BQ14" i="12"/>
  <c r="L5" i="12"/>
  <c r="BR25" i="12"/>
  <c r="BS25" i="12"/>
  <c r="BR26" i="12"/>
  <c r="BS26" i="12"/>
  <c r="BR27" i="12"/>
  <c r="BS27" i="12"/>
  <c r="BR28" i="12"/>
  <c r="BS28" i="12"/>
  <c r="BR29" i="12"/>
  <c r="BS29" i="12"/>
  <c r="BS30" i="12"/>
  <c r="BR30" i="12"/>
  <c r="BR31" i="12"/>
  <c r="BS31" i="12"/>
  <c r="BR32" i="12"/>
  <c r="BS32" i="12"/>
  <c r="BR33" i="12"/>
  <c r="BS33" i="12"/>
  <c r="BR34" i="12"/>
  <c r="BS34" i="12"/>
  <c r="BS35" i="12"/>
  <c r="BR35" i="12"/>
  <c r="BR36" i="12"/>
  <c r="BS36" i="12"/>
  <c r="BR37" i="12"/>
  <c r="BS37" i="12"/>
  <c r="BR38" i="12"/>
  <c r="BS38" i="12"/>
  <c r="BR39" i="12"/>
  <c r="BS39" i="12"/>
  <c r="BR40" i="12"/>
  <c r="BS40" i="12"/>
  <c r="BR41" i="12"/>
  <c r="BS41" i="12"/>
  <c r="BS42" i="12"/>
  <c r="BR42" i="12"/>
  <c r="BR43" i="12"/>
  <c r="BS43" i="12"/>
  <c r="BR44" i="12"/>
  <c r="BS44" i="12"/>
  <c r="BR45" i="12"/>
  <c r="BS45" i="12"/>
  <c r="BR46" i="12"/>
  <c r="BS46" i="12"/>
  <c r="BR47" i="12"/>
  <c r="BS47" i="12"/>
  <c r="BR48" i="12"/>
  <c r="BS48" i="12"/>
  <c r="BR49" i="12"/>
  <c r="BS49" i="12"/>
  <c r="O5" i="12"/>
  <c r="BO5" i="12" s="1"/>
  <c r="BS5" i="12" s="1"/>
  <c r="BN5" i="12"/>
  <c r="BR5" i="12" s="1"/>
  <c r="BR7" i="12"/>
  <c r="BT113" i="12"/>
  <c r="BD114" i="12"/>
  <c r="AL114" i="12"/>
  <c r="AI105" i="12"/>
  <c r="N114" i="12"/>
  <c r="M110" i="12"/>
  <c r="N106" i="12"/>
  <c r="M102" i="12"/>
  <c r="N98" i="12"/>
  <c r="M91" i="12"/>
  <c r="N91" i="12"/>
  <c r="M107" i="12"/>
  <c r="N107" i="12"/>
  <c r="M99" i="12"/>
  <c r="N99" i="12"/>
  <c r="M94" i="12"/>
  <c r="N90" i="12"/>
  <c r="M86" i="12"/>
  <c r="N112" i="12"/>
  <c r="M108" i="12"/>
  <c r="N104" i="12"/>
  <c r="M100" i="12"/>
  <c r="N96" i="12"/>
  <c r="M92" i="12"/>
  <c r="N88" i="12"/>
  <c r="M109" i="12"/>
  <c r="N109" i="12"/>
  <c r="M101" i="12"/>
  <c r="N101" i="12"/>
  <c r="M93" i="12"/>
  <c r="N93" i="12"/>
  <c r="M85" i="12"/>
  <c r="N85" i="12"/>
  <c r="M114" i="12"/>
  <c r="N110" i="12"/>
  <c r="M106" i="12"/>
  <c r="N102" i="12"/>
  <c r="M98" i="12"/>
  <c r="M95" i="12"/>
  <c r="N95" i="12"/>
  <c r="M87" i="12"/>
  <c r="N87" i="12"/>
  <c r="M111" i="12"/>
  <c r="N111" i="12"/>
  <c r="M103" i="12"/>
  <c r="N103" i="12"/>
  <c r="N94" i="12"/>
  <c r="M90" i="12"/>
  <c r="N86" i="12"/>
  <c r="M112" i="12"/>
  <c r="N108" i="12"/>
  <c r="M104" i="12"/>
  <c r="N100" i="12"/>
  <c r="M96" i="12"/>
  <c r="N92" i="12"/>
  <c r="M88" i="12"/>
  <c r="M113" i="12"/>
  <c r="N113" i="12"/>
  <c r="M105" i="12"/>
  <c r="N105" i="12"/>
  <c r="M97" i="12"/>
  <c r="N97" i="12"/>
  <c r="M89" i="12"/>
  <c r="N89" i="12"/>
  <c r="AI12" i="12"/>
  <c r="O12" i="12"/>
  <c r="BO12" i="12" s="1"/>
  <c r="BS12" i="12" s="1"/>
  <c r="AL89" i="12"/>
  <c r="M84" i="12"/>
  <c r="M83" i="12"/>
  <c r="M82" i="12"/>
  <c r="M81" i="12"/>
  <c r="M80" i="12"/>
  <c r="M79" i="12"/>
  <c r="M78" i="12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N13" i="12"/>
  <c r="N12" i="12"/>
  <c r="N10" i="12"/>
  <c r="N8" i="12"/>
  <c r="N7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N58" i="12"/>
  <c r="N57" i="12"/>
  <c r="N56" i="12"/>
  <c r="N55" i="12"/>
  <c r="N54" i="12"/>
  <c r="N53" i="12"/>
  <c r="N52" i="12"/>
  <c r="N51" i="12"/>
  <c r="N50" i="12"/>
  <c r="N49" i="12"/>
  <c r="N48" i="12"/>
  <c r="N47" i="12"/>
  <c r="N46" i="12"/>
  <c r="N45" i="12"/>
  <c r="N44" i="12"/>
  <c r="N43" i="12"/>
  <c r="N42" i="12"/>
  <c r="N41" i="12"/>
  <c r="N40" i="12"/>
  <c r="N39" i="12"/>
  <c r="N38" i="12"/>
  <c r="N37" i="12"/>
  <c r="N36" i="12"/>
  <c r="N35" i="12"/>
  <c r="N34" i="12"/>
  <c r="N33" i="12"/>
  <c r="N32" i="12"/>
  <c r="N31" i="12"/>
  <c r="N30" i="12"/>
  <c r="N29" i="12"/>
  <c r="N28" i="12"/>
  <c r="N27" i="12"/>
  <c r="N26" i="12"/>
  <c r="N25" i="12"/>
  <c r="N24" i="12"/>
  <c r="N23" i="12"/>
  <c r="N22" i="12"/>
  <c r="N21" i="12"/>
  <c r="N20" i="12"/>
  <c r="N19" i="12"/>
  <c r="N18" i="12"/>
  <c r="N17" i="12"/>
  <c r="N16" i="12"/>
  <c r="N15" i="12"/>
  <c r="N14" i="12"/>
  <c r="N11" i="12"/>
  <c r="N9" i="12"/>
  <c r="N6" i="12"/>
  <c r="AI6" i="12"/>
  <c r="BI114" i="12"/>
  <c r="AL108" i="12"/>
  <c r="BT109" i="12"/>
  <c r="AL112" i="12"/>
  <c r="AI109" i="12"/>
  <c r="BK114" i="12"/>
  <c r="AL87" i="12"/>
  <c r="AL110" i="12"/>
  <c r="BT111" i="12"/>
  <c r="AI107" i="12"/>
  <c r="AI97" i="12"/>
  <c r="AL98" i="12"/>
  <c r="AL106" i="12"/>
  <c r="BT110" i="12"/>
  <c r="BT107" i="12"/>
  <c r="BT99" i="12"/>
  <c r="AI35" i="12"/>
  <c r="AL75" i="12"/>
  <c r="AI85" i="12"/>
  <c r="AI88" i="12"/>
  <c r="BJ114" i="12"/>
  <c r="AR114" i="12"/>
  <c r="AM114" i="12"/>
  <c r="AL113" i="12"/>
  <c r="AL107" i="12"/>
  <c r="AL109" i="12"/>
  <c r="BT114" i="12"/>
  <c r="BT112" i="12"/>
  <c r="AI111" i="12"/>
  <c r="AI108" i="12"/>
  <c r="BT106" i="12"/>
  <c r="BT101" i="12"/>
  <c r="AI93" i="12"/>
  <c r="AL81" i="12"/>
  <c r="AL111" i="12"/>
  <c r="AL105" i="12"/>
  <c r="AI114" i="12"/>
  <c r="AI112" i="12"/>
  <c r="AI110" i="12"/>
  <c r="BT108" i="12"/>
  <c r="AI106" i="12"/>
  <c r="BT102" i="12"/>
  <c r="AI95" i="12"/>
  <c r="AL63" i="12"/>
  <c r="BT72" i="12"/>
  <c r="AL67" i="12"/>
  <c r="BT55" i="12"/>
  <c r="AL34" i="12"/>
  <c r="AI51" i="12"/>
  <c r="AL20" i="12"/>
  <c r="AL84" i="12"/>
  <c r="BT81" i="12"/>
  <c r="AL79" i="12"/>
  <c r="BT76" i="12"/>
  <c r="AL71" i="12"/>
  <c r="BT68" i="12"/>
  <c r="AL50" i="12"/>
  <c r="BT39" i="12"/>
  <c r="BT28" i="12"/>
  <c r="AI43" i="12"/>
  <c r="AL82" i="12"/>
  <c r="AL97" i="12"/>
  <c r="AL103" i="12"/>
  <c r="BT103" i="12"/>
  <c r="AI99" i="12"/>
  <c r="BT95" i="12"/>
  <c r="AI89" i="12"/>
  <c r="AI81" i="12"/>
  <c r="AL101" i="12"/>
  <c r="AL80" i="12"/>
  <c r="AL104" i="12"/>
  <c r="AI101" i="12"/>
  <c r="BT97" i="12"/>
  <c r="BT93" i="12"/>
  <c r="BT85" i="12"/>
  <c r="AL96" i="12"/>
  <c r="BT60" i="12"/>
  <c r="AI54" i="12"/>
  <c r="BT47" i="12"/>
  <c r="AL42" i="12"/>
  <c r="BT31" i="12"/>
  <c r="BT25" i="12"/>
  <c r="AI47" i="12"/>
  <c r="AI39" i="12"/>
  <c r="AI31" i="12"/>
  <c r="AL24" i="12"/>
  <c r="AL16" i="12"/>
  <c r="BT64" i="12"/>
  <c r="AL59" i="12"/>
  <c r="AI56" i="12"/>
  <c r="AI52" i="12"/>
  <c r="AL54" i="12"/>
  <c r="BT51" i="12"/>
  <c r="AL46" i="12"/>
  <c r="BT43" i="12"/>
  <c r="AL38" i="12"/>
  <c r="BT35" i="12"/>
  <c r="AL30" i="12"/>
  <c r="AI49" i="12"/>
  <c r="AI45" i="12"/>
  <c r="AI41" i="12"/>
  <c r="AI37" i="12"/>
  <c r="AI33" i="12"/>
  <c r="BT29" i="12"/>
  <c r="AI26" i="12"/>
  <c r="AL22" i="12"/>
  <c r="AL18" i="12"/>
  <c r="AL14" i="12"/>
  <c r="AL9" i="12"/>
  <c r="AI8" i="12"/>
  <c r="AI5" i="12"/>
  <c r="AI9" i="12"/>
  <c r="BT78" i="12"/>
  <c r="AL77" i="12"/>
  <c r="BT74" i="12"/>
  <c r="AL73" i="12"/>
  <c r="BT70" i="12"/>
  <c r="AL69" i="12"/>
  <c r="BT66" i="12"/>
  <c r="AL65" i="12"/>
  <c r="BT62" i="12"/>
  <c r="AL61" i="12"/>
  <c r="BT58" i="12"/>
  <c r="AL57" i="12"/>
  <c r="AI55" i="12"/>
  <c r="AI53" i="12"/>
  <c r="AL56" i="12"/>
  <c r="BT53" i="12"/>
  <c r="AL52" i="12"/>
  <c r="BT49" i="12"/>
  <c r="AL48" i="12"/>
  <c r="BT45" i="12"/>
  <c r="AL44" i="12"/>
  <c r="BT41" i="12"/>
  <c r="AL40" i="12"/>
  <c r="BT37" i="12"/>
  <c r="AL36" i="12"/>
  <c r="BT33" i="12"/>
  <c r="AL32" i="12"/>
  <c r="AI29" i="12"/>
  <c r="AL26" i="12"/>
  <c r="AL8" i="12"/>
  <c r="AI50" i="12"/>
  <c r="AI48" i="12"/>
  <c r="AI46" i="12"/>
  <c r="AI44" i="12"/>
  <c r="AI42" i="12"/>
  <c r="AI40" i="12"/>
  <c r="AI38" i="12"/>
  <c r="AI36" i="12"/>
  <c r="AI34" i="12"/>
  <c r="AI32" i="12"/>
  <c r="AI30" i="12"/>
  <c r="AL27" i="12"/>
  <c r="AI25" i="12"/>
  <c r="AL23" i="12"/>
  <c r="AL21" i="12"/>
  <c r="AL19" i="12"/>
  <c r="AL17" i="12"/>
  <c r="AL15" i="12"/>
  <c r="AL13" i="12"/>
  <c r="BH5" i="12"/>
  <c r="AL86" i="12"/>
  <c r="AI91" i="12"/>
  <c r="BT87" i="12"/>
  <c r="BT83" i="12"/>
  <c r="AL94" i="12"/>
  <c r="BT91" i="12"/>
  <c r="AI87" i="12"/>
  <c r="AI83" i="12"/>
  <c r="B20" i="12"/>
  <c r="AI7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BT79" i="12"/>
  <c r="AL78" i="12"/>
  <c r="BT77" i="12"/>
  <c r="AL76" i="12"/>
  <c r="BT75" i="12"/>
  <c r="AL74" i="12"/>
  <c r="BT73" i="12"/>
  <c r="AL72" i="12"/>
  <c r="BT71" i="12"/>
  <c r="AL70" i="12"/>
  <c r="BT69" i="12"/>
  <c r="AL68" i="12"/>
  <c r="BT67" i="12"/>
  <c r="AL66" i="12"/>
  <c r="BT65" i="12"/>
  <c r="AL64" i="12"/>
  <c r="BT63" i="12"/>
  <c r="AL62" i="12"/>
  <c r="BT61" i="12"/>
  <c r="AL60" i="12"/>
  <c r="BT59" i="12"/>
  <c r="AL58" i="12"/>
  <c r="BT57" i="12"/>
  <c r="BT56" i="12"/>
  <c r="AL55" i="12"/>
  <c r="BT54" i="12"/>
  <c r="AL53" i="12"/>
  <c r="BT52" i="12"/>
  <c r="AL51" i="12"/>
  <c r="BT50" i="12"/>
  <c r="AL49" i="12"/>
  <c r="BT48" i="12"/>
  <c r="AL47" i="12"/>
  <c r="BT46" i="12"/>
  <c r="AL45" i="12"/>
  <c r="BT44" i="12"/>
  <c r="AL43" i="12"/>
  <c r="BT42" i="12"/>
  <c r="AL41" i="12"/>
  <c r="BT40" i="12"/>
  <c r="AL39" i="12"/>
  <c r="BT38" i="12"/>
  <c r="AL37" i="12"/>
  <c r="BT36" i="12"/>
  <c r="AL35" i="12"/>
  <c r="BT34" i="12"/>
  <c r="AL33" i="12"/>
  <c r="BT32" i="12"/>
  <c r="AL31" i="12"/>
  <c r="BT30" i="12"/>
  <c r="AL28" i="12"/>
  <c r="AI27" i="12"/>
  <c r="BT26" i="12"/>
  <c r="AL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L12" i="12"/>
  <c r="AI11" i="12"/>
  <c r="AL10" i="12"/>
  <c r="AL6" i="12"/>
  <c r="AL29" i="12"/>
  <c r="AI28" i="12"/>
  <c r="BT27" i="12"/>
  <c r="AL11" i="12"/>
  <c r="AL7" i="12"/>
  <c r="AL5" i="12"/>
  <c r="AL100" i="12"/>
  <c r="AL93" i="12"/>
  <c r="AL92" i="12"/>
  <c r="AL91" i="12"/>
  <c r="AI104" i="12"/>
  <c r="AI103" i="12"/>
  <c r="AI100" i="12"/>
  <c r="BT98" i="12"/>
  <c r="BT96" i="12"/>
  <c r="BT94" i="12"/>
  <c r="AI92" i="12"/>
  <c r="AI90" i="12"/>
  <c r="BT89" i="12"/>
  <c r="BT86" i="12"/>
  <c r="AI84" i="12"/>
  <c r="AI82" i="12"/>
  <c r="BT80" i="12"/>
  <c r="AL88" i="12"/>
  <c r="AL83" i="12"/>
  <c r="AL99" i="12"/>
  <c r="AL85" i="12"/>
  <c r="AL102" i="12"/>
  <c r="AL90" i="12"/>
  <c r="BT104" i="12"/>
  <c r="AI102" i="12"/>
  <c r="BT100" i="12"/>
  <c r="AI98" i="12"/>
  <c r="AI96" i="12"/>
  <c r="AI94" i="12"/>
  <c r="BT92" i="12"/>
  <c r="BT90" i="12"/>
  <c r="BT88" i="12"/>
  <c r="AI86" i="12"/>
  <c r="BT84" i="12"/>
  <c r="BT82" i="12"/>
  <c r="AI80" i="12"/>
  <c r="AL95" i="12"/>
  <c r="AI10" i="12"/>
  <c r="BR1" i="12" l="1"/>
  <c r="BQ1" i="12"/>
  <c r="BS1" i="12"/>
  <c r="P5" i="12"/>
  <c r="AJ5" i="12" s="1"/>
  <c r="P112" i="12"/>
  <c r="BG112" i="12" s="1"/>
  <c r="P106" i="12"/>
  <c r="BC106" i="12" s="1"/>
  <c r="P114" i="12"/>
  <c r="BC114" i="12" s="1"/>
  <c r="P109" i="12"/>
  <c r="BC109" i="12" s="1"/>
  <c r="P107" i="12"/>
  <c r="AJ107" i="12" s="1"/>
  <c r="P88" i="12"/>
  <c r="AJ88" i="12" s="1"/>
  <c r="P96" i="12"/>
  <c r="BC96" i="12" s="1"/>
  <c r="P104" i="12"/>
  <c r="P90" i="12"/>
  <c r="BC90" i="12" s="1"/>
  <c r="P98" i="12"/>
  <c r="BC98" i="12" s="1"/>
  <c r="P85" i="12"/>
  <c r="BC85" i="12" s="1"/>
  <c r="P93" i="12"/>
  <c r="BC93" i="12" s="1"/>
  <c r="P101" i="12"/>
  <c r="AJ101" i="12" s="1"/>
  <c r="P99" i="12"/>
  <c r="AJ99" i="12" s="1"/>
  <c r="P91" i="12"/>
  <c r="BG91" i="12" s="1"/>
  <c r="P89" i="12"/>
  <c r="P97" i="12"/>
  <c r="AJ97" i="12" s="1"/>
  <c r="P105" i="12"/>
  <c r="BC105" i="12" s="1"/>
  <c r="P113" i="12"/>
  <c r="AJ113" i="12" s="1"/>
  <c r="P103" i="12"/>
  <c r="AJ103" i="12" s="1"/>
  <c r="P111" i="12"/>
  <c r="BG111" i="12" s="1"/>
  <c r="P87" i="12"/>
  <c r="P95" i="12"/>
  <c r="BG95" i="12" s="1"/>
  <c r="P92" i="12"/>
  <c r="AJ92" i="12" s="1"/>
  <c r="P100" i="12"/>
  <c r="BC100" i="12" s="1"/>
  <c r="P108" i="12"/>
  <c r="AJ108" i="12" s="1"/>
  <c r="P86" i="12"/>
  <c r="BG86" i="12" s="1"/>
  <c r="P94" i="12"/>
  <c r="BG94" i="12" s="1"/>
  <c r="P102" i="12"/>
  <c r="BC102" i="12" s="1"/>
  <c r="P110" i="12"/>
  <c r="BC110" i="12" s="1"/>
  <c r="P7" i="12"/>
  <c r="AJ7" i="12" s="1"/>
  <c r="P9" i="12"/>
  <c r="AJ9" i="12" s="1"/>
  <c r="P11" i="12"/>
  <c r="AJ11" i="12" s="1"/>
  <c r="P13" i="12"/>
  <c r="AJ13" i="12" s="1"/>
  <c r="P15" i="12"/>
  <c r="AJ15" i="12" s="1"/>
  <c r="P17" i="12"/>
  <c r="AJ17" i="12" s="1"/>
  <c r="P19" i="12"/>
  <c r="AJ19" i="12" s="1"/>
  <c r="P21" i="12"/>
  <c r="AJ21" i="12" s="1"/>
  <c r="P23" i="12"/>
  <c r="AJ23" i="12" s="1"/>
  <c r="P25" i="12"/>
  <c r="BG25" i="12" s="1"/>
  <c r="P27" i="12"/>
  <c r="BC27" i="12" s="1"/>
  <c r="P29" i="12"/>
  <c r="AJ29" i="12" s="1"/>
  <c r="P31" i="12"/>
  <c r="BC31" i="12" s="1"/>
  <c r="P33" i="12"/>
  <c r="BC33" i="12" s="1"/>
  <c r="P35" i="12"/>
  <c r="BC35" i="12" s="1"/>
  <c r="P37" i="12"/>
  <c r="BC37" i="12" s="1"/>
  <c r="P39" i="12"/>
  <c r="BG39" i="12" s="1"/>
  <c r="P41" i="12"/>
  <c r="BC41" i="12" s="1"/>
  <c r="P43" i="12"/>
  <c r="BG43" i="12" s="1"/>
  <c r="P45" i="12"/>
  <c r="BC45" i="12" s="1"/>
  <c r="P47" i="12"/>
  <c r="BC47" i="12" s="1"/>
  <c r="P49" i="12"/>
  <c r="BG49" i="12" s="1"/>
  <c r="P51" i="12"/>
  <c r="BC51" i="12" s="1"/>
  <c r="P53" i="12"/>
  <c r="AJ53" i="12" s="1"/>
  <c r="P55" i="12"/>
  <c r="AJ55" i="12" s="1"/>
  <c r="P57" i="12"/>
  <c r="BC57" i="12" s="1"/>
  <c r="P59" i="12"/>
  <c r="AJ59" i="12" s="1"/>
  <c r="P61" i="12"/>
  <c r="AJ61" i="12" s="1"/>
  <c r="P63" i="12"/>
  <c r="AJ63" i="12" s="1"/>
  <c r="P65" i="12"/>
  <c r="BC65" i="12" s="1"/>
  <c r="P67" i="12"/>
  <c r="BC67" i="12" s="1"/>
  <c r="P69" i="12"/>
  <c r="AJ69" i="12" s="1"/>
  <c r="P71" i="12"/>
  <c r="BC71" i="12" s="1"/>
  <c r="P73" i="12"/>
  <c r="AJ73" i="12" s="1"/>
  <c r="P75" i="12"/>
  <c r="BC75" i="12" s="1"/>
  <c r="P77" i="12"/>
  <c r="AJ77" i="12" s="1"/>
  <c r="P79" i="12"/>
  <c r="BC79" i="12" s="1"/>
  <c r="P81" i="12"/>
  <c r="AJ81" i="12" s="1"/>
  <c r="P83" i="12"/>
  <c r="AJ83" i="12" s="1"/>
  <c r="P6" i="12"/>
  <c r="AJ6" i="12" s="1"/>
  <c r="P8" i="12"/>
  <c r="AJ8" i="12" s="1"/>
  <c r="P10" i="12"/>
  <c r="AJ10" i="12" s="1"/>
  <c r="P12" i="12"/>
  <c r="AJ12" i="12" s="1"/>
  <c r="P14" i="12"/>
  <c r="AJ14" i="12" s="1"/>
  <c r="P16" i="12"/>
  <c r="AJ16" i="12" s="1"/>
  <c r="P18" i="12"/>
  <c r="AJ18" i="12" s="1"/>
  <c r="P20" i="12"/>
  <c r="AJ20" i="12" s="1"/>
  <c r="P22" i="12"/>
  <c r="AJ22" i="12" s="1"/>
  <c r="P24" i="12"/>
  <c r="AJ24" i="12" s="1"/>
  <c r="P26" i="12"/>
  <c r="BC26" i="12" s="1"/>
  <c r="P28" i="12"/>
  <c r="AJ28" i="12" s="1"/>
  <c r="P30" i="12"/>
  <c r="BC30" i="12" s="1"/>
  <c r="P32" i="12"/>
  <c r="BC32" i="12" s="1"/>
  <c r="P34" i="12"/>
  <c r="BG34" i="12" s="1"/>
  <c r="P36" i="12"/>
  <c r="BC36" i="12" s="1"/>
  <c r="P38" i="12"/>
  <c r="BC38" i="12" s="1"/>
  <c r="P40" i="12"/>
  <c r="BC40" i="12" s="1"/>
  <c r="P42" i="12"/>
  <c r="BG42" i="12" s="1"/>
  <c r="P44" i="12"/>
  <c r="BC44" i="12" s="1"/>
  <c r="P46" i="12"/>
  <c r="BC46" i="12" s="1"/>
  <c r="P48" i="12"/>
  <c r="BC48" i="12" s="1"/>
  <c r="P50" i="12"/>
  <c r="BC50" i="12" s="1"/>
  <c r="P52" i="12"/>
  <c r="AJ52" i="12" s="1"/>
  <c r="P54" i="12"/>
  <c r="AJ54" i="12" s="1"/>
  <c r="P56" i="12"/>
  <c r="BC56" i="12" s="1"/>
  <c r="P58" i="12"/>
  <c r="AJ58" i="12" s="1"/>
  <c r="P60" i="12"/>
  <c r="BC60" i="12" s="1"/>
  <c r="P62" i="12"/>
  <c r="BC62" i="12" s="1"/>
  <c r="P64" i="12"/>
  <c r="BC64" i="12" s="1"/>
  <c r="P66" i="12"/>
  <c r="BC66" i="12" s="1"/>
  <c r="P68" i="12"/>
  <c r="AJ68" i="12" s="1"/>
  <c r="P70" i="12"/>
  <c r="AJ70" i="12" s="1"/>
  <c r="P72" i="12"/>
  <c r="AJ72" i="12" s="1"/>
  <c r="P74" i="12"/>
  <c r="BC74" i="12" s="1"/>
  <c r="P76" i="12"/>
  <c r="AJ76" i="12" s="1"/>
  <c r="P78" i="12"/>
  <c r="BC78" i="12" s="1"/>
  <c r="P80" i="12"/>
  <c r="BC80" i="12" s="1"/>
  <c r="P82" i="12"/>
  <c r="BC82" i="12" s="1"/>
  <c r="P84" i="12"/>
  <c r="BC84" i="12" s="1"/>
  <c r="BG89" i="12"/>
  <c r="AI1" i="12"/>
  <c r="BW5" i="12" s="1"/>
  <c r="BW8" i="12" s="1"/>
  <c r="BC108" i="12"/>
  <c r="BW9" i="12" l="1"/>
  <c r="BR2" i="12"/>
  <c r="BS2" i="12"/>
  <c r="BQ2" i="12"/>
  <c r="BW10" i="12" s="1"/>
  <c r="AJ105" i="12"/>
  <c r="AJ110" i="12"/>
  <c r="BG98" i="12"/>
  <c r="BC103" i="12"/>
  <c r="BG88" i="12"/>
  <c r="AJ98" i="12"/>
  <c r="AJ94" i="12"/>
  <c r="BG110" i="12"/>
  <c r="AJ109" i="12"/>
  <c r="BC88" i="12"/>
  <c r="BC94" i="12"/>
  <c r="BG106" i="12"/>
  <c r="BG105" i="12"/>
  <c r="BG103" i="12"/>
  <c r="BG109" i="12"/>
  <c r="BG108" i="12"/>
  <c r="BG113" i="12"/>
  <c r="AJ78" i="12"/>
  <c r="BG78" i="12"/>
  <c r="BG66" i="12"/>
  <c r="BG107" i="12"/>
  <c r="AJ111" i="12"/>
  <c r="BC86" i="12"/>
  <c r="BC107" i="12"/>
  <c r="AJ114" i="12"/>
  <c r="BC113" i="12"/>
  <c r="BC111" i="12"/>
  <c r="BC63" i="12"/>
  <c r="BC70" i="12"/>
  <c r="AJ66" i="12"/>
  <c r="AJ102" i="12"/>
  <c r="AJ86" i="12"/>
  <c r="AJ90" i="12"/>
  <c r="BC54" i="12"/>
  <c r="BG70" i="12"/>
  <c r="BC72" i="12"/>
  <c r="BG28" i="12"/>
  <c r="BG64" i="12"/>
  <c r="BG114" i="12"/>
  <c r="BG96" i="12"/>
  <c r="BG90" i="12"/>
  <c r="BG102" i="12"/>
  <c r="AJ64" i="12"/>
  <c r="BG72" i="12"/>
  <c r="BG63" i="12"/>
  <c r="BG60" i="12"/>
  <c r="BC28" i="12"/>
  <c r="BG54" i="12"/>
  <c r="BG83" i="12"/>
  <c r="AJ96" i="12"/>
  <c r="BC112" i="12"/>
  <c r="AJ106" i="12"/>
  <c r="AJ89" i="12"/>
  <c r="AJ112" i="12"/>
  <c r="BC61" i="12"/>
  <c r="AJ74" i="12"/>
  <c r="BC97" i="12"/>
  <c r="BG101" i="12"/>
  <c r="BC76" i="12"/>
  <c r="BC81" i="12"/>
  <c r="BC92" i="12"/>
  <c r="BG76" i="12"/>
  <c r="BC101" i="12"/>
  <c r="BG81" i="12"/>
  <c r="AJ51" i="12"/>
  <c r="BC39" i="12"/>
  <c r="BC83" i="12"/>
  <c r="BC68" i="12"/>
  <c r="AJ60" i="12"/>
  <c r="BC89" i="12"/>
  <c r="BC43" i="12"/>
  <c r="BC91" i="12"/>
  <c r="AJ71" i="12"/>
  <c r="BG68" i="12"/>
  <c r="AJ84" i="12"/>
  <c r="AJ91" i="12"/>
  <c r="BC42" i="12"/>
  <c r="BG79" i="12"/>
  <c r="BG99" i="12"/>
  <c r="BG74" i="12"/>
  <c r="AJ27" i="12"/>
  <c r="BG97" i="12"/>
  <c r="BG82" i="12"/>
  <c r="AJ62" i="12"/>
  <c r="AJ79" i="12"/>
  <c r="BC99" i="12"/>
  <c r="AJ85" i="12"/>
  <c r="AJ93" i="12"/>
  <c r="AJ82" i="12"/>
  <c r="BG67" i="12"/>
  <c r="BG80" i="12"/>
  <c r="BG92" i="12"/>
  <c r="BG100" i="12"/>
  <c r="BG35" i="12"/>
  <c r="BC69" i="12"/>
  <c r="BG71" i="12"/>
  <c r="AJ49" i="12"/>
  <c r="AJ43" i="12"/>
  <c r="AJ100" i="12"/>
  <c r="BC49" i="12"/>
  <c r="BG56" i="12"/>
  <c r="AJ35" i="12"/>
  <c r="BG36" i="12"/>
  <c r="BC73" i="12"/>
  <c r="AJ65" i="12"/>
  <c r="BG57" i="12"/>
  <c r="BG62" i="12"/>
  <c r="BC53" i="12"/>
  <c r="AJ75" i="12"/>
  <c r="BG85" i="12"/>
  <c r="BG93" i="12"/>
  <c r="AJ37" i="12"/>
  <c r="BG45" i="12"/>
  <c r="BG37" i="12"/>
  <c r="BG27" i="12"/>
  <c r="BG33" i="12"/>
  <c r="BG53" i="12"/>
  <c r="AJ45" i="12"/>
  <c r="AJ33" i="12"/>
  <c r="BG51" i="12"/>
  <c r="BC59" i="12"/>
  <c r="AJ56" i="12"/>
  <c r="BC29" i="12"/>
  <c r="AJ40" i="12"/>
  <c r="BC77" i="12"/>
  <c r="BG69" i="12"/>
  <c r="BG61" i="12"/>
  <c r="BC58" i="12"/>
  <c r="BG59" i="12"/>
  <c r="AJ80" i="12"/>
  <c r="AJ50" i="12"/>
  <c r="BG52" i="12"/>
  <c r="AJ36" i="12"/>
  <c r="AJ41" i="12"/>
  <c r="BG50" i="12"/>
  <c r="BG84" i="12"/>
  <c r="BC52" i="12"/>
  <c r="BC25" i="12"/>
  <c r="BC34" i="12"/>
  <c r="AJ25" i="12"/>
  <c r="BG77" i="12"/>
  <c r="BG58" i="12"/>
  <c r="BC55" i="12"/>
  <c r="BG75" i="12"/>
  <c r="AJ38" i="12"/>
  <c r="BG30" i="12"/>
  <c r="AJ47" i="12"/>
  <c r="AJ95" i="12"/>
  <c r="BC95" i="12"/>
  <c r="BG73" i="12"/>
  <c r="BG65" i="12"/>
  <c r="AJ57" i="12"/>
  <c r="AJ67" i="12"/>
  <c r="AJ46" i="12"/>
  <c r="AJ30" i="12"/>
  <c r="BG44" i="12"/>
  <c r="BG26" i="12"/>
  <c r="BG46" i="12"/>
  <c r="AJ31" i="12"/>
  <c r="BG41" i="12"/>
  <c r="BG29" i="12"/>
  <c r="AJ42" i="12"/>
  <c r="AJ34" i="12"/>
  <c r="AJ32" i="12"/>
  <c r="BG32" i="12"/>
  <c r="AJ39" i="12"/>
  <c r="BG47" i="12"/>
  <c r="AJ48" i="12"/>
  <c r="AJ26" i="12"/>
  <c r="BG48" i="12"/>
  <c r="BG40" i="12"/>
  <c r="BG38" i="12"/>
  <c r="BG31" i="12"/>
  <c r="BG55" i="12"/>
  <c r="AJ44" i="12"/>
  <c r="BG104" i="12"/>
  <c r="BC104" i="12"/>
  <c r="AJ104" i="12"/>
  <c r="AJ87" i="12"/>
  <c r="BC87" i="12"/>
  <c r="BG87" i="12"/>
  <c r="BW11" i="12" l="1"/>
  <c r="BU114" i="12"/>
  <c r="S105" i="12" l="1"/>
  <c r="V105" i="12"/>
  <c r="X105" i="12"/>
  <c r="AH105" i="12"/>
  <c r="AK105" i="12"/>
  <c r="AM105" i="12"/>
  <c r="AO105" i="12"/>
  <c r="BU105" i="12" s="1"/>
  <c r="AP105" i="12"/>
  <c r="AQ105" i="12"/>
  <c r="AR105" i="12"/>
  <c r="AS105" i="12"/>
  <c r="AT105" i="12"/>
  <c r="AU105" i="12"/>
  <c r="AV105" i="12"/>
  <c r="AW105" i="12"/>
  <c r="AX105" i="12"/>
  <c r="BA105" i="12"/>
  <c r="BB105" i="12"/>
  <c r="BD105" i="12"/>
  <c r="BE105" i="12"/>
  <c r="BF105" i="12"/>
  <c r="BH105" i="12"/>
  <c r="BI105" i="12"/>
  <c r="BJ105" i="12"/>
  <c r="BK105" i="12"/>
  <c r="BL105" i="12"/>
  <c r="BP105" i="12"/>
  <c r="S106" i="12"/>
  <c r="V106" i="12"/>
  <c r="X106" i="12"/>
  <c r="AH106" i="12"/>
  <c r="AK106" i="12"/>
  <c r="AM106" i="12"/>
  <c r="AO106" i="12"/>
  <c r="BU106" i="12" s="1"/>
  <c r="AP106" i="12"/>
  <c r="AQ106" i="12"/>
  <c r="AR106" i="12"/>
  <c r="AS106" i="12"/>
  <c r="AT106" i="12"/>
  <c r="AU106" i="12"/>
  <c r="AV106" i="12"/>
  <c r="AW106" i="12"/>
  <c r="AX106" i="12"/>
  <c r="BA106" i="12"/>
  <c r="BB106" i="12"/>
  <c r="BD106" i="12"/>
  <c r="BE106" i="12"/>
  <c r="BF106" i="12"/>
  <c r="BH106" i="12"/>
  <c r="BI106" i="12"/>
  <c r="BJ106" i="12"/>
  <c r="BK106" i="12"/>
  <c r="BL106" i="12"/>
  <c r="BP106" i="12"/>
  <c r="S107" i="12"/>
  <c r="V107" i="12"/>
  <c r="X107" i="12"/>
  <c r="AH107" i="12"/>
  <c r="AK107" i="12"/>
  <c r="AM107" i="12"/>
  <c r="AO107" i="12"/>
  <c r="BU107" i="12" s="1"/>
  <c r="AP107" i="12"/>
  <c r="AQ107" i="12"/>
  <c r="AR107" i="12"/>
  <c r="AS107" i="12"/>
  <c r="AT107" i="12"/>
  <c r="AU107" i="12"/>
  <c r="AV107" i="12"/>
  <c r="AW107" i="12"/>
  <c r="AX107" i="12"/>
  <c r="BA107" i="12"/>
  <c r="BB107" i="12"/>
  <c r="BD107" i="12"/>
  <c r="BE107" i="12"/>
  <c r="BF107" i="12"/>
  <c r="BH107" i="12"/>
  <c r="BI107" i="12"/>
  <c r="BJ107" i="12"/>
  <c r="BK107" i="12"/>
  <c r="BL107" i="12"/>
  <c r="BP107" i="12"/>
  <c r="S108" i="12"/>
  <c r="V108" i="12"/>
  <c r="X108" i="12"/>
  <c r="AH108" i="12"/>
  <c r="AK108" i="12"/>
  <c r="AM108" i="12"/>
  <c r="AO108" i="12"/>
  <c r="BU108" i="12" s="1"/>
  <c r="AP108" i="12"/>
  <c r="AQ108" i="12"/>
  <c r="AR108" i="12"/>
  <c r="AS108" i="12"/>
  <c r="AT108" i="12"/>
  <c r="AU108" i="12"/>
  <c r="AV108" i="12"/>
  <c r="AW108" i="12"/>
  <c r="AX108" i="12"/>
  <c r="BA108" i="12"/>
  <c r="BB108" i="12"/>
  <c r="BD108" i="12"/>
  <c r="BE108" i="12"/>
  <c r="BF108" i="12"/>
  <c r="BH108" i="12"/>
  <c r="BI108" i="12"/>
  <c r="BJ108" i="12"/>
  <c r="BK108" i="12"/>
  <c r="BL108" i="12"/>
  <c r="BP108" i="12"/>
  <c r="S109" i="12"/>
  <c r="V109" i="12"/>
  <c r="X109" i="12"/>
  <c r="AH109" i="12"/>
  <c r="AK109" i="12"/>
  <c r="AM109" i="12"/>
  <c r="AO109" i="12"/>
  <c r="BU109" i="12" s="1"/>
  <c r="AP109" i="12"/>
  <c r="AQ109" i="12"/>
  <c r="AR109" i="12"/>
  <c r="AS109" i="12"/>
  <c r="AT109" i="12"/>
  <c r="AU109" i="12"/>
  <c r="AV109" i="12"/>
  <c r="AW109" i="12"/>
  <c r="AX109" i="12"/>
  <c r="BA109" i="12"/>
  <c r="BB109" i="12"/>
  <c r="BD109" i="12"/>
  <c r="BE109" i="12"/>
  <c r="BF109" i="12"/>
  <c r="BH109" i="12"/>
  <c r="BI109" i="12"/>
  <c r="BJ109" i="12"/>
  <c r="BK109" i="12"/>
  <c r="BL109" i="12"/>
  <c r="BP109" i="12"/>
  <c r="S110" i="12"/>
  <c r="V110" i="12"/>
  <c r="X110" i="12"/>
  <c r="AH110" i="12"/>
  <c r="AK110" i="12"/>
  <c r="AM110" i="12"/>
  <c r="AO110" i="12"/>
  <c r="BU110" i="12" s="1"/>
  <c r="AP110" i="12"/>
  <c r="AQ110" i="12"/>
  <c r="AR110" i="12"/>
  <c r="AS110" i="12"/>
  <c r="AT110" i="12"/>
  <c r="AU110" i="12"/>
  <c r="AV110" i="12"/>
  <c r="AW110" i="12"/>
  <c r="AX110" i="12"/>
  <c r="BA110" i="12"/>
  <c r="BB110" i="12"/>
  <c r="BD110" i="12"/>
  <c r="BE110" i="12"/>
  <c r="BF110" i="12"/>
  <c r="BH110" i="12"/>
  <c r="BI110" i="12"/>
  <c r="BJ110" i="12"/>
  <c r="BK110" i="12"/>
  <c r="BL110" i="12"/>
  <c r="BP110" i="12"/>
  <c r="S111" i="12"/>
  <c r="V111" i="12"/>
  <c r="X111" i="12"/>
  <c r="AH111" i="12"/>
  <c r="AK111" i="12"/>
  <c r="AM111" i="12"/>
  <c r="AO111" i="12"/>
  <c r="BU111" i="12" s="1"/>
  <c r="AP111" i="12"/>
  <c r="AQ111" i="12"/>
  <c r="AR111" i="12"/>
  <c r="AS111" i="12"/>
  <c r="AT111" i="12"/>
  <c r="AU111" i="12"/>
  <c r="AV111" i="12"/>
  <c r="AW111" i="12"/>
  <c r="AX111" i="12"/>
  <c r="BA111" i="12"/>
  <c r="BB111" i="12"/>
  <c r="BD111" i="12"/>
  <c r="BE111" i="12"/>
  <c r="BF111" i="12"/>
  <c r="BH111" i="12"/>
  <c r="BI111" i="12"/>
  <c r="BJ111" i="12"/>
  <c r="BK111" i="12"/>
  <c r="BL111" i="12"/>
  <c r="BP111" i="12"/>
  <c r="S112" i="12"/>
  <c r="V112" i="12"/>
  <c r="X112" i="12"/>
  <c r="AH112" i="12"/>
  <c r="AK112" i="12"/>
  <c r="AM112" i="12"/>
  <c r="AO112" i="12"/>
  <c r="BU112" i="12" s="1"/>
  <c r="AP112" i="12"/>
  <c r="AQ112" i="12"/>
  <c r="AR112" i="12"/>
  <c r="AS112" i="12"/>
  <c r="AT112" i="12"/>
  <c r="AU112" i="12"/>
  <c r="AV112" i="12"/>
  <c r="AW112" i="12"/>
  <c r="AX112" i="12"/>
  <c r="BA112" i="12"/>
  <c r="BB112" i="12"/>
  <c r="BD112" i="12"/>
  <c r="BE112" i="12"/>
  <c r="BF112" i="12"/>
  <c r="BH112" i="12"/>
  <c r="BI112" i="12"/>
  <c r="BJ112" i="12"/>
  <c r="BK112" i="12"/>
  <c r="BL112" i="12"/>
  <c r="BP112" i="12"/>
  <c r="S113" i="12"/>
  <c r="V113" i="12"/>
  <c r="X113" i="12"/>
  <c r="AH113" i="12"/>
  <c r="AK113" i="12"/>
  <c r="AM113" i="12"/>
  <c r="AO113" i="12"/>
  <c r="BU113" i="12" s="1"/>
  <c r="AP113" i="12"/>
  <c r="AQ113" i="12"/>
  <c r="AR113" i="12"/>
  <c r="AS113" i="12"/>
  <c r="AT113" i="12"/>
  <c r="AU113" i="12"/>
  <c r="AV113" i="12"/>
  <c r="AW113" i="12"/>
  <c r="AX113" i="12"/>
  <c r="BA113" i="12"/>
  <c r="BB113" i="12"/>
  <c r="BD113" i="12"/>
  <c r="BE113" i="12"/>
  <c r="BF113" i="12"/>
  <c r="BH113" i="12"/>
  <c r="BI113" i="12"/>
  <c r="BJ113" i="12"/>
  <c r="BK113" i="12"/>
  <c r="BL113" i="12"/>
  <c r="BP113" i="12"/>
  <c r="AH114" i="12"/>
  <c r="AK114" i="12"/>
  <c r="AP114" i="12"/>
  <c r="AQ114" i="12"/>
  <c r="AS114" i="12"/>
  <c r="AT114" i="12"/>
  <c r="AU114" i="12"/>
  <c r="AV114" i="12"/>
  <c r="AW114" i="12"/>
  <c r="BA114" i="12"/>
  <c r="BB114" i="12"/>
  <c r="BE114" i="12"/>
  <c r="BF114" i="12"/>
  <c r="BH114" i="12"/>
  <c r="BL114" i="12"/>
  <c r="BP114" i="12"/>
  <c r="W12" i="10"/>
  <c r="W13" i="10"/>
  <c r="W14" i="10"/>
  <c r="W15" i="10"/>
  <c r="W16" i="10"/>
  <c r="W17" i="10"/>
  <c r="W18" i="10"/>
  <c r="W19" i="10"/>
  <c r="W20" i="10"/>
  <c r="W21" i="10"/>
  <c r="J106" i="10"/>
  <c r="K106" i="10"/>
  <c r="M106" i="10"/>
  <c r="V106" i="10"/>
  <c r="J107" i="10"/>
  <c r="K107" i="10"/>
  <c r="M107" i="10"/>
  <c r="V107" i="10"/>
  <c r="J108" i="10"/>
  <c r="K108" i="10"/>
  <c r="M108" i="10"/>
  <c r="V108" i="10"/>
  <c r="J109" i="10"/>
  <c r="K109" i="10"/>
  <c r="M109" i="10"/>
  <c r="V109" i="10"/>
  <c r="J110" i="10"/>
  <c r="K110" i="10"/>
  <c r="M110" i="10"/>
  <c r="V110" i="10"/>
  <c r="J111" i="10"/>
  <c r="K111" i="10"/>
  <c r="M111" i="10"/>
  <c r="V111" i="10"/>
  <c r="J112" i="10"/>
  <c r="K112" i="10"/>
  <c r="M112" i="10"/>
  <c r="V112" i="10"/>
  <c r="J113" i="10"/>
  <c r="K113" i="10"/>
  <c r="M113" i="10"/>
  <c r="V113" i="10"/>
  <c r="J114" i="10"/>
  <c r="K114" i="10"/>
  <c r="M114" i="10"/>
  <c r="V114" i="10"/>
  <c r="K115" i="10"/>
  <c r="V105" i="8"/>
  <c r="Q106" i="8"/>
  <c r="U106" i="8"/>
  <c r="V106" i="8"/>
  <c r="Q107" i="8"/>
  <c r="U107" i="8"/>
  <c r="V107" i="8"/>
  <c r="Q105" i="8"/>
  <c r="M105" i="10" s="1"/>
  <c r="Q108" i="8"/>
  <c r="U108" i="8"/>
  <c r="V108" i="8"/>
  <c r="Q109" i="8"/>
  <c r="U109" i="8"/>
  <c r="V109" i="8"/>
  <c r="Q110" i="8"/>
  <c r="U110" i="8"/>
  <c r="V110" i="8"/>
  <c r="Q111" i="8"/>
  <c r="U111" i="8"/>
  <c r="V111" i="8"/>
  <c r="Q112" i="8"/>
  <c r="U112" i="8"/>
  <c r="V112" i="8"/>
  <c r="Q113" i="8"/>
  <c r="U113" i="8"/>
  <c r="V113" i="8"/>
  <c r="Q114" i="8"/>
  <c r="U114" i="8"/>
  <c r="V114" i="8"/>
  <c r="L105" i="9"/>
  <c r="P105" i="9" s="1"/>
  <c r="L106" i="9"/>
  <c r="P106" i="9"/>
  <c r="Q106" i="9"/>
  <c r="L107" i="9"/>
  <c r="P107" i="9"/>
  <c r="Q107" i="9"/>
  <c r="L108" i="9"/>
  <c r="P108" i="9"/>
  <c r="Q108" i="9"/>
  <c r="L109" i="9"/>
  <c r="P109" i="9"/>
  <c r="Q109" i="9"/>
  <c r="L110" i="9"/>
  <c r="P110" i="9"/>
  <c r="Q110" i="9"/>
  <c r="L111" i="9"/>
  <c r="P111" i="9"/>
  <c r="Q111" i="9"/>
  <c r="L112" i="9"/>
  <c r="P112" i="9"/>
  <c r="Q112" i="9"/>
  <c r="L113" i="9"/>
  <c r="P113" i="9"/>
  <c r="Q113" i="9"/>
  <c r="L114" i="9"/>
  <c r="P114" i="9"/>
  <c r="Q114" i="9"/>
  <c r="X20" i="10" l="1"/>
  <c r="X19" i="10"/>
  <c r="X21" i="10"/>
  <c r="X18" i="10"/>
  <c r="X17" i="10"/>
  <c r="X15" i="10"/>
  <c r="X16" i="10"/>
  <c r="X14" i="10"/>
  <c r="X13" i="10"/>
  <c r="X12" i="10"/>
  <c r="AX104" i="12"/>
  <c r="Q105" i="9"/>
  <c r="V104" i="12" s="1"/>
  <c r="U105" i="8"/>
  <c r="V105" i="10" l="1"/>
  <c r="X104" i="12"/>
  <c r="AO104" i="12"/>
  <c r="BU104" i="12" s="1"/>
  <c r="BI104" i="12" l="1"/>
  <c r="BK104" i="12"/>
  <c r="BJ104" i="12"/>
  <c r="AR104" i="12"/>
  <c r="S104" i="12"/>
  <c r="J105" i="10"/>
  <c r="AM104" i="12" l="1"/>
  <c r="BD104" i="12"/>
  <c r="S95" i="12"/>
  <c r="V95" i="12"/>
  <c r="X95" i="12"/>
  <c r="AH95" i="12"/>
  <c r="AK95" i="12"/>
  <c r="AM95" i="12"/>
  <c r="AO95" i="12"/>
  <c r="AP95" i="12"/>
  <c r="AQ95" i="12"/>
  <c r="AR95" i="12"/>
  <c r="AS95" i="12"/>
  <c r="AT95" i="12"/>
  <c r="AU95" i="12"/>
  <c r="AV95" i="12"/>
  <c r="AW95" i="12"/>
  <c r="AX95" i="12"/>
  <c r="BA95" i="12"/>
  <c r="BB95" i="12"/>
  <c r="BD95" i="12"/>
  <c r="BE95" i="12"/>
  <c r="BF95" i="12"/>
  <c r="BH95" i="12"/>
  <c r="BI95" i="12"/>
  <c r="BJ95" i="12"/>
  <c r="BK95" i="12"/>
  <c r="BL95" i="12"/>
  <c r="BP95" i="12"/>
  <c r="BU95" i="12"/>
  <c r="S96" i="12"/>
  <c r="V96" i="12"/>
  <c r="X96" i="12"/>
  <c r="AH96" i="12"/>
  <c r="AK96" i="12"/>
  <c r="AM96" i="12"/>
  <c r="AO96" i="12"/>
  <c r="BU96" i="12" s="1"/>
  <c r="AP96" i="12"/>
  <c r="AQ96" i="12"/>
  <c r="AR96" i="12"/>
  <c r="AS96" i="12"/>
  <c r="AT96" i="12"/>
  <c r="AU96" i="12"/>
  <c r="AV96" i="12"/>
  <c r="AW96" i="12"/>
  <c r="AX96" i="12"/>
  <c r="BA96" i="12"/>
  <c r="BB96" i="12"/>
  <c r="BD96" i="12"/>
  <c r="BE96" i="12"/>
  <c r="BF96" i="12"/>
  <c r="BH96" i="12"/>
  <c r="BI96" i="12"/>
  <c r="BJ96" i="12"/>
  <c r="BK96" i="12"/>
  <c r="BL96" i="12"/>
  <c r="BP96" i="12"/>
  <c r="S97" i="12"/>
  <c r="V97" i="12"/>
  <c r="X97" i="12"/>
  <c r="AH97" i="12"/>
  <c r="AK97" i="12"/>
  <c r="AM97" i="12"/>
  <c r="AO97" i="12"/>
  <c r="BU97" i="12" s="1"/>
  <c r="AP97" i="12"/>
  <c r="AQ97" i="12"/>
  <c r="AR97" i="12"/>
  <c r="AS97" i="12"/>
  <c r="AT97" i="12"/>
  <c r="AU97" i="12"/>
  <c r="AV97" i="12"/>
  <c r="AW97" i="12"/>
  <c r="AX97" i="12"/>
  <c r="BA97" i="12"/>
  <c r="BB97" i="12"/>
  <c r="BD97" i="12"/>
  <c r="BE97" i="12"/>
  <c r="BF97" i="12"/>
  <c r="BH97" i="12"/>
  <c r="BI97" i="12"/>
  <c r="BJ97" i="12"/>
  <c r="BK97" i="12"/>
  <c r="BL97" i="12"/>
  <c r="BP97" i="12"/>
  <c r="S98" i="12"/>
  <c r="V98" i="12"/>
  <c r="X98" i="12"/>
  <c r="AH98" i="12"/>
  <c r="AK98" i="12"/>
  <c r="AM98" i="12"/>
  <c r="AO98" i="12"/>
  <c r="BU98" i="12" s="1"/>
  <c r="AP98" i="12"/>
  <c r="AQ98" i="12"/>
  <c r="AR98" i="12"/>
  <c r="AS98" i="12"/>
  <c r="AT98" i="12"/>
  <c r="AU98" i="12"/>
  <c r="AV98" i="12"/>
  <c r="AW98" i="12"/>
  <c r="AX98" i="12"/>
  <c r="BA98" i="12"/>
  <c r="BB98" i="12"/>
  <c r="BD98" i="12"/>
  <c r="BE98" i="12"/>
  <c r="BF98" i="12"/>
  <c r="BH98" i="12"/>
  <c r="BI98" i="12"/>
  <c r="BJ98" i="12"/>
  <c r="BK98" i="12"/>
  <c r="BL98" i="12"/>
  <c r="BP98" i="12"/>
  <c r="S99" i="12"/>
  <c r="V99" i="12"/>
  <c r="X99" i="12"/>
  <c r="AH99" i="12"/>
  <c r="AK99" i="12"/>
  <c r="AM99" i="12"/>
  <c r="AO99" i="12"/>
  <c r="BU99" i="12" s="1"/>
  <c r="AP99" i="12"/>
  <c r="AQ99" i="12"/>
  <c r="AR99" i="12"/>
  <c r="AS99" i="12"/>
  <c r="AT99" i="12"/>
  <c r="AU99" i="12"/>
  <c r="AV99" i="12"/>
  <c r="AW99" i="12"/>
  <c r="AX99" i="12"/>
  <c r="BA99" i="12"/>
  <c r="BB99" i="12"/>
  <c r="BD99" i="12"/>
  <c r="BE99" i="12"/>
  <c r="BF99" i="12"/>
  <c r="BH99" i="12"/>
  <c r="BI99" i="12"/>
  <c r="BJ99" i="12"/>
  <c r="BK99" i="12"/>
  <c r="BL99" i="12"/>
  <c r="BP99" i="12"/>
  <c r="S100" i="12"/>
  <c r="V100" i="12"/>
  <c r="X100" i="12"/>
  <c r="AH100" i="12"/>
  <c r="AK100" i="12"/>
  <c r="AM100" i="12"/>
  <c r="AO100" i="12"/>
  <c r="BU100" i="12" s="1"/>
  <c r="AP100" i="12"/>
  <c r="AQ100" i="12"/>
  <c r="AR100" i="12"/>
  <c r="AS100" i="12"/>
  <c r="AT100" i="12"/>
  <c r="AU100" i="12"/>
  <c r="AV100" i="12"/>
  <c r="AW100" i="12"/>
  <c r="AX100" i="12"/>
  <c r="BA100" i="12"/>
  <c r="BB100" i="12"/>
  <c r="BD100" i="12"/>
  <c r="BE100" i="12"/>
  <c r="BF100" i="12"/>
  <c r="BH100" i="12"/>
  <c r="BI100" i="12"/>
  <c r="BJ100" i="12"/>
  <c r="BK100" i="12"/>
  <c r="BL100" i="12"/>
  <c r="BP100" i="12"/>
  <c r="S101" i="12"/>
  <c r="V101" i="12"/>
  <c r="X101" i="12"/>
  <c r="AH101" i="12"/>
  <c r="AK101" i="12"/>
  <c r="AM101" i="12"/>
  <c r="AO101" i="12"/>
  <c r="BU101" i="12" s="1"/>
  <c r="AP101" i="12"/>
  <c r="AQ101" i="12"/>
  <c r="AR101" i="12"/>
  <c r="AS101" i="12"/>
  <c r="AT101" i="12"/>
  <c r="AU101" i="12"/>
  <c r="AV101" i="12"/>
  <c r="AW101" i="12"/>
  <c r="AX101" i="12"/>
  <c r="BA101" i="12"/>
  <c r="BB101" i="12"/>
  <c r="BD101" i="12"/>
  <c r="BE101" i="12"/>
  <c r="BF101" i="12"/>
  <c r="BH101" i="12"/>
  <c r="BI101" i="12"/>
  <c r="BJ101" i="12"/>
  <c r="BK101" i="12"/>
  <c r="BL101" i="12"/>
  <c r="BP101" i="12"/>
  <c r="S102" i="12"/>
  <c r="V102" i="12"/>
  <c r="X102" i="12"/>
  <c r="AH102" i="12"/>
  <c r="AK102" i="12"/>
  <c r="AM102" i="12"/>
  <c r="AO102" i="12"/>
  <c r="BU102" i="12" s="1"/>
  <c r="AP102" i="12"/>
  <c r="AQ102" i="12"/>
  <c r="AR102" i="12"/>
  <c r="AS102" i="12"/>
  <c r="AT102" i="12"/>
  <c r="AU102" i="12"/>
  <c r="AV102" i="12"/>
  <c r="AW102" i="12"/>
  <c r="AX102" i="12"/>
  <c r="BA102" i="12"/>
  <c r="BB102" i="12"/>
  <c r="BD102" i="12"/>
  <c r="BE102" i="12"/>
  <c r="BF102" i="12"/>
  <c r="BH102" i="12"/>
  <c r="BI102" i="12"/>
  <c r="BJ102" i="12"/>
  <c r="BK102" i="12"/>
  <c r="BL102" i="12"/>
  <c r="BP102" i="12"/>
  <c r="S103" i="12"/>
  <c r="V103" i="12"/>
  <c r="X103" i="12"/>
  <c r="AH103" i="12"/>
  <c r="AK103" i="12"/>
  <c r="AM103" i="12"/>
  <c r="AO103" i="12"/>
  <c r="BU103" i="12" s="1"/>
  <c r="AP103" i="12"/>
  <c r="AQ103" i="12"/>
  <c r="AR103" i="12"/>
  <c r="AS103" i="12"/>
  <c r="AT103" i="12"/>
  <c r="AU103" i="12"/>
  <c r="AV103" i="12"/>
  <c r="AW103" i="12"/>
  <c r="AX103" i="12"/>
  <c r="BA103" i="12"/>
  <c r="BB103" i="12"/>
  <c r="BD103" i="12"/>
  <c r="BE103" i="12"/>
  <c r="BF103" i="12"/>
  <c r="BH103" i="12"/>
  <c r="BI103" i="12"/>
  <c r="BJ103" i="12"/>
  <c r="BK103" i="12"/>
  <c r="BL103" i="12"/>
  <c r="BP103" i="12"/>
  <c r="AH104" i="12"/>
  <c r="AK104" i="12"/>
  <c r="AP104" i="12"/>
  <c r="AQ104" i="12"/>
  <c r="AS104" i="12"/>
  <c r="AT104" i="12"/>
  <c r="AU104" i="12"/>
  <c r="AV104" i="12"/>
  <c r="AW104" i="12"/>
  <c r="BA104" i="12"/>
  <c r="BB104" i="12"/>
  <c r="BE104" i="12"/>
  <c r="BF104" i="12"/>
  <c r="BH104" i="12"/>
  <c r="BL104" i="12"/>
  <c r="BP104" i="12"/>
  <c r="W6" i="10"/>
  <c r="W7" i="10"/>
  <c r="W8" i="10"/>
  <c r="W9" i="10"/>
  <c r="W10" i="10"/>
  <c r="W11" i="10"/>
  <c r="X10" i="10" s="1"/>
  <c r="J96" i="10"/>
  <c r="K96" i="10"/>
  <c r="M96" i="10"/>
  <c r="V96" i="10"/>
  <c r="J97" i="10"/>
  <c r="K97" i="10"/>
  <c r="M97" i="10"/>
  <c r="V97" i="10"/>
  <c r="J98" i="10"/>
  <c r="K98" i="10"/>
  <c r="M98" i="10"/>
  <c r="V98" i="10"/>
  <c r="J99" i="10"/>
  <c r="K99" i="10"/>
  <c r="M99" i="10"/>
  <c r="V99" i="10"/>
  <c r="J100" i="10"/>
  <c r="K100" i="10"/>
  <c r="M100" i="10"/>
  <c r="V100" i="10"/>
  <c r="J101" i="10"/>
  <c r="K101" i="10"/>
  <c r="M101" i="10"/>
  <c r="V101" i="10"/>
  <c r="J102" i="10"/>
  <c r="K102" i="10"/>
  <c r="M102" i="10"/>
  <c r="V102" i="10"/>
  <c r="J103" i="10"/>
  <c r="K103" i="10"/>
  <c r="M103" i="10"/>
  <c r="V103" i="10"/>
  <c r="J104" i="10"/>
  <c r="K104" i="10"/>
  <c r="M104" i="10"/>
  <c r="V104" i="10"/>
  <c r="K105" i="10"/>
  <c r="V95" i="8"/>
  <c r="Q96" i="8"/>
  <c r="U96" i="8"/>
  <c r="V96" i="8"/>
  <c r="Q97" i="8"/>
  <c r="U97" i="8"/>
  <c r="V97" i="8"/>
  <c r="Q98" i="8"/>
  <c r="U98" i="8"/>
  <c r="V98" i="8"/>
  <c r="Q95" i="8"/>
  <c r="M95" i="10" s="1"/>
  <c r="Q99" i="8"/>
  <c r="U99" i="8"/>
  <c r="V99" i="8"/>
  <c r="Q100" i="8"/>
  <c r="U100" i="8"/>
  <c r="V100" i="8"/>
  <c r="Q101" i="8"/>
  <c r="U101" i="8"/>
  <c r="V101" i="8"/>
  <c r="Q102" i="8"/>
  <c r="U102" i="8"/>
  <c r="V102" i="8"/>
  <c r="Q103" i="8"/>
  <c r="U103" i="8"/>
  <c r="V103" i="8"/>
  <c r="Q104" i="8"/>
  <c r="U104" i="8"/>
  <c r="V104" i="8"/>
  <c r="L95" i="9"/>
  <c r="P95" i="9" s="1"/>
  <c r="L96" i="9"/>
  <c r="P96" i="9"/>
  <c r="Q96" i="9"/>
  <c r="L97" i="9"/>
  <c r="P97" i="9"/>
  <c r="Q97" i="9"/>
  <c r="L98" i="9"/>
  <c r="P98" i="9"/>
  <c r="Q98" i="9"/>
  <c r="L99" i="9"/>
  <c r="P99" i="9"/>
  <c r="Q99" i="9"/>
  <c r="L100" i="9"/>
  <c r="P100" i="9"/>
  <c r="Q100" i="9"/>
  <c r="L101" i="9"/>
  <c r="P101" i="9"/>
  <c r="Q101" i="9"/>
  <c r="L102" i="9"/>
  <c r="P102" i="9"/>
  <c r="Q102" i="9"/>
  <c r="L103" i="9"/>
  <c r="P103" i="9"/>
  <c r="Q103" i="9"/>
  <c r="L104" i="9"/>
  <c r="P104" i="9"/>
  <c r="Q104" i="9"/>
  <c r="X11" i="10" l="1"/>
  <c r="X9" i="10"/>
  <c r="X7" i="10"/>
  <c r="AX94" i="12"/>
  <c r="U95" i="8"/>
  <c r="X8" i="10"/>
  <c r="X6" i="10"/>
  <c r="V95" i="10" l="1"/>
  <c r="Q95" i="9"/>
  <c r="V94" i="12" s="1"/>
  <c r="S94" i="12" l="1"/>
  <c r="J95" i="10"/>
  <c r="X94" i="12"/>
  <c r="AO94" i="12"/>
  <c r="BU94" i="12" s="1"/>
  <c r="AM94" i="12" l="1"/>
  <c r="BD94" i="12"/>
  <c r="BI94" i="12"/>
  <c r="BK94" i="12"/>
  <c r="AR94" i="12"/>
  <c r="BJ94" i="12"/>
  <c r="S85" i="12"/>
  <c r="V85" i="12"/>
  <c r="X85" i="12"/>
  <c r="AH85" i="12"/>
  <c r="AK85" i="12"/>
  <c r="AM85" i="12"/>
  <c r="AO85" i="12"/>
  <c r="BU85" i="12" s="1"/>
  <c r="AP85" i="12"/>
  <c r="AQ85" i="12"/>
  <c r="AR85" i="12"/>
  <c r="AS85" i="12"/>
  <c r="AT85" i="12"/>
  <c r="AU85" i="12"/>
  <c r="AV85" i="12"/>
  <c r="AW85" i="12"/>
  <c r="AX85" i="12"/>
  <c r="BA85" i="12"/>
  <c r="BB85" i="12"/>
  <c r="BD85" i="12"/>
  <c r="BE85" i="12"/>
  <c r="BF85" i="12"/>
  <c r="BH85" i="12"/>
  <c r="BI85" i="12"/>
  <c r="BJ85" i="12"/>
  <c r="BK85" i="12"/>
  <c r="BL85" i="12"/>
  <c r="BP85" i="12"/>
  <c r="S86" i="12"/>
  <c r="V86" i="12"/>
  <c r="X86" i="12"/>
  <c r="AH86" i="12"/>
  <c r="AK86" i="12"/>
  <c r="AM86" i="12"/>
  <c r="AO86" i="12"/>
  <c r="BU86" i="12" s="1"/>
  <c r="AP86" i="12"/>
  <c r="AQ86" i="12"/>
  <c r="AR86" i="12"/>
  <c r="AS86" i="12"/>
  <c r="AT86" i="12"/>
  <c r="AU86" i="12"/>
  <c r="AV86" i="12"/>
  <c r="AW86" i="12"/>
  <c r="AX86" i="12"/>
  <c r="BA86" i="12"/>
  <c r="BB86" i="12"/>
  <c r="BD86" i="12"/>
  <c r="BE86" i="12"/>
  <c r="BF86" i="12"/>
  <c r="BH86" i="12"/>
  <c r="BI86" i="12"/>
  <c r="BJ86" i="12"/>
  <c r="BK86" i="12"/>
  <c r="BL86" i="12"/>
  <c r="BP86" i="12"/>
  <c r="S87" i="12"/>
  <c r="V87" i="12"/>
  <c r="X87" i="12"/>
  <c r="AH87" i="12"/>
  <c r="AK87" i="12"/>
  <c r="AM87" i="12"/>
  <c r="AO87" i="12"/>
  <c r="BU87" i="12" s="1"/>
  <c r="AP87" i="12"/>
  <c r="AQ87" i="12"/>
  <c r="AR87" i="12"/>
  <c r="AS87" i="12"/>
  <c r="AT87" i="12"/>
  <c r="AU87" i="12"/>
  <c r="AV87" i="12"/>
  <c r="AW87" i="12"/>
  <c r="AX87" i="12"/>
  <c r="BA87" i="12"/>
  <c r="BB87" i="12"/>
  <c r="BD87" i="12"/>
  <c r="BE87" i="12"/>
  <c r="BF87" i="12"/>
  <c r="BH87" i="12"/>
  <c r="BI87" i="12"/>
  <c r="BJ87" i="12"/>
  <c r="BK87" i="12"/>
  <c r="BL87" i="12"/>
  <c r="BP87" i="12"/>
  <c r="S88" i="12"/>
  <c r="V88" i="12"/>
  <c r="X88" i="12"/>
  <c r="AH88" i="12"/>
  <c r="AK88" i="12"/>
  <c r="AM88" i="12"/>
  <c r="AO88" i="12"/>
  <c r="BU88" i="12" s="1"/>
  <c r="AP88" i="12"/>
  <c r="AQ88" i="12"/>
  <c r="AR88" i="12"/>
  <c r="AS88" i="12"/>
  <c r="AT88" i="12"/>
  <c r="AU88" i="12"/>
  <c r="AV88" i="12"/>
  <c r="AW88" i="12"/>
  <c r="AX88" i="12"/>
  <c r="BA88" i="12"/>
  <c r="BB88" i="12"/>
  <c r="BD88" i="12"/>
  <c r="BE88" i="12"/>
  <c r="BF88" i="12"/>
  <c r="BH88" i="12"/>
  <c r="BI88" i="12"/>
  <c r="BJ88" i="12"/>
  <c r="BK88" i="12"/>
  <c r="BL88" i="12"/>
  <c r="BP88" i="12"/>
  <c r="S89" i="12"/>
  <c r="V89" i="12"/>
  <c r="X89" i="12"/>
  <c r="AH89" i="12"/>
  <c r="AK89" i="12"/>
  <c r="AM89" i="12"/>
  <c r="AO89" i="12"/>
  <c r="BU89" i="12" s="1"/>
  <c r="AP89" i="12"/>
  <c r="AQ89" i="12"/>
  <c r="AR89" i="12"/>
  <c r="AS89" i="12"/>
  <c r="AT89" i="12"/>
  <c r="AU89" i="12"/>
  <c r="AV89" i="12"/>
  <c r="AW89" i="12"/>
  <c r="AX89" i="12"/>
  <c r="BA89" i="12"/>
  <c r="BB89" i="12"/>
  <c r="BD89" i="12"/>
  <c r="BE89" i="12"/>
  <c r="BF89" i="12"/>
  <c r="BH89" i="12"/>
  <c r="BI89" i="12"/>
  <c r="BJ89" i="12"/>
  <c r="BK89" i="12"/>
  <c r="BL89" i="12"/>
  <c r="BP89" i="12"/>
  <c r="S90" i="12"/>
  <c r="V90" i="12"/>
  <c r="X90" i="12"/>
  <c r="AH90" i="12"/>
  <c r="AK90" i="12"/>
  <c r="AM90" i="12"/>
  <c r="AO90" i="12"/>
  <c r="BU90" i="12" s="1"/>
  <c r="AP90" i="12"/>
  <c r="AQ90" i="12"/>
  <c r="AR90" i="12"/>
  <c r="AS90" i="12"/>
  <c r="AT90" i="12"/>
  <c r="AU90" i="12"/>
  <c r="AV90" i="12"/>
  <c r="AW90" i="12"/>
  <c r="AX90" i="12"/>
  <c r="BA90" i="12"/>
  <c r="BB90" i="12"/>
  <c r="BD90" i="12"/>
  <c r="BE90" i="12"/>
  <c r="BF90" i="12"/>
  <c r="BH90" i="12"/>
  <c r="BI90" i="12"/>
  <c r="BJ90" i="12"/>
  <c r="BK90" i="12"/>
  <c r="BL90" i="12"/>
  <c r="BP90" i="12"/>
  <c r="S91" i="12"/>
  <c r="V91" i="12"/>
  <c r="X91" i="12"/>
  <c r="AH91" i="12"/>
  <c r="AK91" i="12"/>
  <c r="AM91" i="12"/>
  <c r="AO91" i="12"/>
  <c r="BU91" i="12" s="1"/>
  <c r="AP91" i="12"/>
  <c r="AQ91" i="12"/>
  <c r="AR91" i="12"/>
  <c r="AS91" i="12"/>
  <c r="AT91" i="12"/>
  <c r="AU91" i="12"/>
  <c r="AV91" i="12"/>
  <c r="AW91" i="12"/>
  <c r="AX91" i="12"/>
  <c r="BA91" i="12"/>
  <c r="BB91" i="12"/>
  <c r="BD91" i="12"/>
  <c r="BE91" i="12"/>
  <c r="BF91" i="12"/>
  <c r="BH91" i="12"/>
  <c r="BI91" i="12"/>
  <c r="BJ91" i="12"/>
  <c r="BK91" i="12"/>
  <c r="BL91" i="12"/>
  <c r="BP91" i="12"/>
  <c r="S92" i="12"/>
  <c r="V92" i="12"/>
  <c r="X92" i="12"/>
  <c r="AH92" i="12"/>
  <c r="AK92" i="12"/>
  <c r="AM92" i="12"/>
  <c r="AO92" i="12"/>
  <c r="BU92" i="12" s="1"/>
  <c r="AP92" i="12"/>
  <c r="AQ92" i="12"/>
  <c r="AR92" i="12"/>
  <c r="AS92" i="12"/>
  <c r="AT92" i="12"/>
  <c r="AU92" i="12"/>
  <c r="AV92" i="12"/>
  <c r="AW92" i="12"/>
  <c r="AX92" i="12"/>
  <c r="BA92" i="12"/>
  <c r="BB92" i="12"/>
  <c r="BD92" i="12"/>
  <c r="BE92" i="12"/>
  <c r="BF92" i="12"/>
  <c r="BH92" i="12"/>
  <c r="BI92" i="12"/>
  <c r="BJ92" i="12"/>
  <c r="BK92" i="12"/>
  <c r="BL92" i="12"/>
  <c r="BP92" i="12"/>
  <c r="S93" i="12"/>
  <c r="V93" i="12"/>
  <c r="X93" i="12"/>
  <c r="AH93" i="12"/>
  <c r="AK93" i="12"/>
  <c r="AM93" i="12"/>
  <c r="AO93" i="12"/>
  <c r="BU93" i="12" s="1"/>
  <c r="AP93" i="12"/>
  <c r="AQ93" i="12"/>
  <c r="AR93" i="12"/>
  <c r="AS93" i="12"/>
  <c r="AT93" i="12"/>
  <c r="AU93" i="12"/>
  <c r="AV93" i="12"/>
  <c r="AW93" i="12"/>
  <c r="AX93" i="12"/>
  <c r="BA93" i="12"/>
  <c r="BB93" i="12"/>
  <c r="BD93" i="12"/>
  <c r="BE93" i="12"/>
  <c r="BF93" i="12"/>
  <c r="BH93" i="12"/>
  <c r="BI93" i="12"/>
  <c r="BJ93" i="12"/>
  <c r="BK93" i="12"/>
  <c r="BL93" i="12"/>
  <c r="BP93" i="12"/>
  <c r="AH94" i="12"/>
  <c r="AK94" i="12"/>
  <c r="AP94" i="12"/>
  <c r="AQ94" i="12"/>
  <c r="AS94" i="12"/>
  <c r="AT94" i="12"/>
  <c r="AU94" i="12"/>
  <c r="AV94" i="12"/>
  <c r="AW94" i="12"/>
  <c r="BA94" i="12"/>
  <c r="BB94" i="12"/>
  <c r="BE94" i="12"/>
  <c r="BF94" i="12"/>
  <c r="BH94" i="12"/>
  <c r="BL94" i="12"/>
  <c r="BP94" i="12"/>
  <c r="J86" i="10"/>
  <c r="K86" i="10"/>
  <c r="M86" i="10"/>
  <c r="V86" i="10"/>
  <c r="J87" i="10"/>
  <c r="K87" i="10"/>
  <c r="M87" i="10"/>
  <c r="V87" i="10"/>
  <c r="J88" i="10"/>
  <c r="K88" i="10"/>
  <c r="M88" i="10"/>
  <c r="V88" i="10"/>
  <c r="J89" i="10"/>
  <c r="K89" i="10"/>
  <c r="M89" i="10"/>
  <c r="V89" i="10"/>
  <c r="J90" i="10"/>
  <c r="K90" i="10"/>
  <c r="M90" i="10"/>
  <c r="V90" i="10"/>
  <c r="J91" i="10"/>
  <c r="K91" i="10"/>
  <c r="M91" i="10"/>
  <c r="V91" i="10"/>
  <c r="J92" i="10"/>
  <c r="K92" i="10"/>
  <c r="M92" i="10"/>
  <c r="V92" i="10"/>
  <c r="J93" i="10"/>
  <c r="K93" i="10"/>
  <c r="M93" i="10"/>
  <c r="V93" i="10"/>
  <c r="J94" i="10"/>
  <c r="K94" i="10"/>
  <c r="M94" i="10"/>
  <c r="V94" i="10"/>
  <c r="K95" i="10"/>
  <c r="V85" i="8"/>
  <c r="Q85" i="8"/>
  <c r="M85" i="10" s="1"/>
  <c r="Q86" i="8"/>
  <c r="U86" i="8"/>
  <c r="V86" i="8"/>
  <c r="Q87" i="8"/>
  <c r="U87" i="8"/>
  <c r="V87" i="8"/>
  <c r="Q88" i="8"/>
  <c r="U88" i="8"/>
  <c r="V88" i="8"/>
  <c r="Q89" i="8"/>
  <c r="U89" i="8"/>
  <c r="V89" i="8"/>
  <c r="Q90" i="8"/>
  <c r="U90" i="8"/>
  <c r="V90" i="8"/>
  <c r="Q91" i="8"/>
  <c r="U91" i="8"/>
  <c r="V91" i="8"/>
  <c r="Q92" i="8"/>
  <c r="U92" i="8"/>
  <c r="V92" i="8"/>
  <c r="Q93" i="8"/>
  <c r="U93" i="8"/>
  <c r="V93" i="8"/>
  <c r="Q94" i="8"/>
  <c r="U94" i="8"/>
  <c r="V94" i="8"/>
  <c r="L85" i="9"/>
  <c r="P85" i="9" s="1"/>
  <c r="L86" i="9"/>
  <c r="P86" i="9"/>
  <c r="Q86" i="9"/>
  <c r="L87" i="9"/>
  <c r="P87" i="9"/>
  <c r="Q87" i="9"/>
  <c r="L88" i="9"/>
  <c r="P88" i="9"/>
  <c r="Q88" i="9"/>
  <c r="L89" i="9"/>
  <c r="P89" i="9"/>
  <c r="Q89" i="9"/>
  <c r="L90" i="9"/>
  <c r="P90" i="9"/>
  <c r="Q90" i="9"/>
  <c r="L91" i="9"/>
  <c r="P91" i="9"/>
  <c r="Q91" i="9"/>
  <c r="L92" i="9"/>
  <c r="P92" i="9"/>
  <c r="Q92" i="9"/>
  <c r="L93" i="9"/>
  <c r="P93" i="9"/>
  <c r="Q93" i="9"/>
  <c r="L94" i="9"/>
  <c r="P94" i="9"/>
  <c r="Q94" i="9"/>
  <c r="AX84" i="12" l="1"/>
  <c r="U85" i="8"/>
  <c r="V85" i="10" l="1"/>
  <c r="Q85" i="9"/>
  <c r="V84" i="12" s="1"/>
  <c r="J85" i="10" l="1"/>
  <c r="S84" i="12"/>
  <c r="X84" i="12"/>
  <c r="AO84" i="12"/>
  <c r="BU84" i="12" s="1"/>
  <c r="AR84" i="12" l="1"/>
  <c r="BJ84" i="12"/>
  <c r="BI84" i="12"/>
  <c r="BK84" i="12"/>
  <c r="AM84" i="12"/>
  <c r="BD84" i="12"/>
  <c r="S83" i="12"/>
  <c r="V83" i="12"/>
  <c r="X83" i="12"/>
  <c r="AH83" i="12"/>
  <c r="AK83" i="12"/>
  <c r="AM83" i="12"/>
  <c r="AO83" i="12"/>
  <c r="BU83" i="12" s="1"/>
  <c r="AP83" i="12"/>
  <c r="AQ83" i="12"/>
  <c r="AR83" i="12"/>
  <c r="AS83" i="12"/>
  <c r="AT83" i="12"/>
  <c r="AU83" i="12"/>
  <c r="AV83" i="12"/>
  <c r="AW83" i="12"/>
  <c r="AX83" i="12"/>
  <c r="BA83" i="12"/>
  <c r="BB83" i="12"/>
  <c r="BD83" i="12"/>
  <c r="BE83" i="12"/>
  <c r="BF83" i="12"/>
  <c r="BH83" i="12"/>
  <c r="BI83" i="12"/>
  <c r="BJ83" i="12"/>
  <c r="BK83" i="12"/>
  <c r="BL83" i="12"/>
  <c r="BP83" i="12"/>
  <c r="AH84" i="12"/>
  <c r="AK84" i="12"/>
  <c r="AP84" i="12"/>
  <c r="AQ84" i="12"/>
  <c r="AS84" i="12"/>
  <c r="AT84" i="12"/>
  <c r="AU84" i="12"/>
  <c r="AV84" i="12"/>
  <c r="AW84" i="12"/>
  <c r="BA84" i="12"/>
  <c r="BB84" i="12"/>
  <c r="BE84" i="12"/>
  <c r="BF84" i="12"/>
  <c r="BH84" i="12"/>
  <c r="BL84" i="12"/>
  <c r="BP84" i="12"/>
  <c r="J84" i="10"/>
  <c r="K84" i="10"/>
  <c r="M84" i="10"/>
  <c r="V84" i="10"/>
  <c r="K85" i="10"/>
  <c r="Q83" i="8"/>
  <c r="U83" i="8" s="1"/>
  <c r="V83" i="8"/>
  <c r="Q84" i="8"/>
  <c r="U84" i="8"/>
  <c r="V84" i="8"/>
  <c r="L83" i="9"/>
  <c r="P83" i="9" s="1"/>
  <c r="L84" i="9"/>
  <c r="P84" i="9"/>
  <c r="Q84" i="9"/>
  <c r="AX82" i="12" l="1"/>
  <c r="Q83" i="9"/>
  <c r="V82" i="12" s="1"/>
  <c r="V83" i="10"/>
  <c r="M83" i="10"/>
  <c r="AO82" i="12" l="1"/>
  <c r="BU82" i="12" s="1"/>
  <c r="X82" i="12"/>
  <c r="J83" i="10"/>
  <c r="S82" i="12"/>
  <c r="AM82" i="12" s="1"/>
  <c r="BD82" i="12" l="1"/>
  <c r="BI82" i="12"/>
  <c r="BJ82" i="12"/>
  <c r="BK82" i="12"/>
  <c r="AR82" i="12"/>
  <c r="K83" i="10" l="1"/>
  <c r="BP82" i="12"/>
  <c r="BL82" i="12"/>
  <c r="AW81" i="12"/>
  <c r="AU81" i="12"/>
  <c r="BP80" i="12"/>
  <c r="BL80" i="12"/>
  <c r="M82" i="10"/>
  <c r="AM81" i="12"/>
  <c r="S81" i="12"/>
  <c r="BF81" i="12"/>
  <c r="AK81" i="12"/>
  <c r="J81" i="10"/>
  <c r="K81" i="10"/>
  <c r="AP82" i="12"/>
  <c r="AV81" i="12"/>
  <c r="AS81" i="12"/>
  <c r="AT81" i="12"/>
  <c r="AP80" i="12"/>
  <c r="V82" i="10"/>
  <c r="AW82" i="12"/>
  <c r="AU82" i="12"/>
  <c r="BP81" i="12"/>
  <c r="BL81" i="12"/>
  <c r="AO81" i="12"/>
  <c r="BU81" i="12" s="1"/>
  <c r="BH81" i="12"/>
  <c r="AR80" i="12"/>
  <c r="BK80" i="12"/>
  <c r="BE81" i="12"/>
  <c r="BJ80" i="12"/>
  <c r="X80" i="12"/>
  <c r="BI80" i="12"/>
  <c r="AW80" i="12"/>
  <c r="AU80" i="12"/>
  <c r="Q81" i="9"/>
  <c r="V80" i="12"/>
  <c r="AO80" i="12"/>
  <c r="BU80" i="12" s="1"/>
  <c r="V81" i="10"/>
  <c r="BA82" i="12"/>
  <c r="BD81" i="12"/>
  <c r="AX81" i="12"/>
  <c r="BB81" i="12"/>
  <c r="S80" i="12"/>
  <c r="AM80" i="12"/>
  <c r="BA80" i="12"/>
  <c r="M81" i="10"/>
  <c r="AT82" i="12"/>
  <c r="AQ81" i="12"/>
  <c r="AH82" i="12"/>
  <c r="AQ82" i="12"/>
  <c r="AS82" i="12"/>
  <c r="AV82" i="12"/>
  <c r="BB82" i="12"/>
  <c r="BF82" i="12"/>
  <c r="AK82" i="12"/>
  <c r="BI81" i="12"/>
  <c r="BE82" i="12"/>
  <c r="BJ81" i="12"/>
  <c r="BH82" i="12"/>
  <c r="AR81" i="12"/>
  <c r="L82" i="9"/>
  <c r="P82" i="9"/>
  <c r="Q82" i="9"/>
  <c r="V81" i="12"/>
  <c r="X81" i="12"/>
  <c r="BK81" i="12"/>
  <c r="BD80" i="12"/>
  <c r="BB80" i="12"/>
  <c r="Q81" i="8"/>
  <c r="U81" i="8"/>
  <c r="V81" i="8"/>
  <c r="L80" i="9"/>
  <c r="P80" i="9" s="1"/>
  <c r="L81" i="9"/>
  <c r="P81" i="9"/>
  <c r="AX80" i="12"/>
  <c r="BA81" i="12"/>
  <c r="AH81" i="12"/>
  <c r="AP81" i="12"/>
  <c r="K82" i="10"/>
  <c r="V82" i="8"/>
  <c r="Q82" i="8"/>
  <c r="U82" i="8"/>
  <c r="J82" i="10"/>
  <c r="AT80" i="12"/>
  <c r="AH80" i="12"/>
  <c r="AQ80" i="12"/>
  <c r="AS80" i="12"/>
  <c r="AV80" i="12"/>
  <c r="BF80" i="12"/>
  <c r="AK80" i="12"/>
  <c r="BE80" i="12"/>
  <c r="BH80" i="12"/>
  <c r="V80" i="8"/>
  <c r="Q80" i="8"/>
  <c r="U80" i="8" s="1"/>
  <c r="G80" i="10" s="1"/>
  <c r="M80" i="10" l="1"/>
  <c r="AX79" i="12"/>
  <c r="Q80" i="9"/>
  <c r="V79" i="12" s="1"/>
  <c r="V80" i="10"/>
  <c r="S79" i="12" l="1"/>
  <c r="AM79" i="12" s="1"/>
  <c r="J80" i="10"/>
  <c r="AO79" i="12"/>
  <c r="BU79" i="12" s="1"/>
  <c r="X79" i="12"/>
  <c r="BD79" i="12"/>
  <c r="BK79" i="12" l="1"/>
  <c r="AR79" i="12"/>
  <c r="BI79" i="12"/>
  <c r="BJ79" i="12"/>
  <c r="BF2" i="12"/>
  <c r="BF1" i="12"/>
  <c r="BF5" i="12"/>
  <c r="BP32" i="12"/>
  <c r="BL32" i="12"/>
  <c r="AM72" i="12"/>
  <c r="S72" i="12"/>
  <c r="AM23" i="12"/>
  <c r="S23" i="12"/>
  <c r="BP37" i="12"/>
  <c r="BL37" i="12"/>
  <c r="S7" i="10"/>
  <c r="R7" i="10"/>
  <c r="U7" i="10"/>
  <c r="Q7" i="10"/>
  <c r="T7" i="10"/>
  <c r="AP38" i="12"/>
  <c r="AW67" i="12"/>
  <c r="AU67" i="12"/>
  <c r="BU55" i="12"/>
  <c r="AO55" i="12"/>
  <c r="BU52" i="12"/>
  <c r="AO52" i="12"/>
  <c r="BP49" i="12"/>
  <c r="BL49" i="12"/>
  <c r="AM28" i="12"/>
  <c r="S28" i="12"/>
  <c r="AM21" i="12"/>
  <c r="S21" i="12"/>
  <c r="AK51" i="12"/>
  <c r="Q51" i="12"/>
  <c r="BF51" i="12"/>
  <c r="M52" i="10"/>
  <c r="BU15" i="12"/>
  <c r="AO15" i="12"/>
  <c r="BP23" i="12"/>
  <c r="BL23" i="12"/>
  <c r="V42" i="10"/>
  <c r="AP66" i="12"/>
  <c r="J23" i="10"/>
  <c r="K23" i="10"/>
  <c r="AT30" i="12"/>
  <c r="AV30" i="12"/>
  <c r="AM7" i="12"/>
  <c r="S7" i="12"/>
  <c r="BU12" i="12"/>
  <c r="AO12" i="12"/>
  <c r="G23" i="10"/>
  <c r="S22" i="12"/>
  <c r="AM22" i="12"/>
  <c r="AP69" i="12"/>
  <c r="B37" i="12"/>
  <c r="BT6" i="12"/>
  <c r="AN6" i="12"/>
  <c r="T6" i="12"/>
  <c r="U22" i="10"/>
  <c r="S22" i="10"/>
  <c r="T22" i="10"/>
  <c r="Q22" i="10"/>
  <c r="R22" i="10"/>
  <c r="BD76" i="12"/>
  <c r="BB76" i="12"/>
  <c r="AX76" i="12"/>
  <c r="BA77" i="12"/>
  <c r="BH59" i="12"/>
  <c r="BE59" i="12"/>
  <c r="AR58" i="12"/>
  <c r="BK58" i="12"/>
  <c r="BI58" i="12"/>
  <c r="X58" i="12"/>
  <c r="BJ58" i="12"/>
  <c r="BJ38" i="12"/>
  <c r="BH39" i="12"/>
  <c r="BE39" i="12"/>
  <c r="BK38" i="12"/>
  <c r="AR38" i="12"/>
  <c r="X38" i="12"/>
  <c r="BI38" i="12"/>
  <c r="BI57" i="12"/>
  <c r="BH58" i="12"/>
  <c r="BE58" i="12"/>
  <c r="AR57" i="12"/>
  <c r="BJ57" i="12"/>
  <c r="X57" i="12"/>
  <c r="BK57" i="12"/>
  <c r="BE77" i="12"/>
  <c r="BJ76" i="12"/>
  <c r="BI76" i="12"/>
  <c r="AR76" i="12"/>
  <c r="BK76" i="12"/>
  <c r="X76" i="12"/>
  <c r="BH77" i="12"/>
  <c r="BP62" i="12"/>
  <c r="BL62" i="12"/>
  <c r="AW6" i="12"/>
  <c r="AU6" i="12"/>
  <c r="K24" i="10"/>
  <c r="G24" i="10"/>
  <c r="J24" i="10"/>
  <c r="J42" i="10"/>
  <c r="K42" i="10"/>
  <c r="BF78" i="12"/>
  <c r="Q78" i="12"/>
  <c r="AK78" i="12"/>
  <c r="G42" i="10"/>
  <c r="S41" i="12"/>
  <c r="AM41" i="12"/>
  <c r="AM52" i="12"/>
  <c r="S52" i="12"/>
  <c r="BD74" i="12"/>
  <c r="BA75" i="12"/>
  <c r="AX74" i="12"/>
  <c r="BB74" i="12"/>
  <c r="N11" i="10"/>
  <c r="L11" i="10"/>
  <c r="AS30" i="12"/>
  <c r="AU30" i="12"/>
  <c r="AW30" i="12"/>
  <c r="V63" i="10"/>
  <c r="M31" i="10"/>
  <c r="R7" i="9"/>
  <c r="S7" i="9"/>
  <c r="W6" i="12"/>
  <c r="BF46" i="12"/>
  <c r="Q46" i="12"/>
  <c r="AK46" i="12"/>
  <c r="BU20" i="12"/>
  <c r="AO20" i="12"/>
  <c r="AO25" i="12"/>
  <c r="BU25" i="12"/>
  <c r="BA62" i="12"/>
  <c r="BD61" i="12"/>
  <c r="AX61" i="12"/>
  <c r="BB61" i="12"/>
  <c r="AM38" i="12"/>
  <c r="S38" i="12"/>
  <c r="BU32" i="12"/>
  <c r="AO32" i="12"/>
  <c r="BP20" i="12"/>
  <c r="BL20" i="12"/>
  <c r="K63" i="10"/>
  <c r="J63" i="10"/>
  <c r="AW18" i="12"/>
  <c r="AU18" i="12"/>
  <c r="R11" i="10"/>
  <c r="S11" i="10"/>
  <c r="U11" i="10"/>
  <c r="Q11" i="10"/>
  <c r="T11" i="10"/>
  <c r="BP68" i="12"/>
  <c r="BL68" i="12"/>
  <c r="AW11" i="12"/>
  <c r="AU11" i="12"/>
  <c r="V76" i="10"/>
  <c r="BU11" i="12"/>
  <c r="AO11" i="12"/>
  <c r="AK66" i="12"/>
  <c r="Q66" i="12"/>
  <c r="BF66" i="12"/>
  <c r="AK72" i="12"/>
  <c r="Q72" i="12"/>
  <c r="BF72" i="12"/>
  <c r="AV35" i="12"/>
  <c r="AT35" i="12"/>
  <c r="V40" i="10"/>
  <c r="BA79" i="12"/>
  <c r="BB78" i="12"/>
  <c r="AX78" i="12"/>
  <c r="BD78" i="12"/>
  <c r="N22" i="10"/>
  <c r="L22" i="10"/>
  <c r="T7" i="8"/>
  <c r="S7" i="8"/>
  <c r="AM39" i="12"/>
  <c r="S39" i="12"/>
  <c r="V39" i="10"/>
  <c r="W21" i="12"/>
  <c r="S22" i="9"/>
  <c r="R22" i="9"/>
  <c r="AM60" i="12"/>
  <c r="S60" i="12"/>
  <c r="M34" i="10"/>
  <c r="AK17" i="12"/>
  <c r="Q17" i="12"/>
  <c r="BF17" i="12"/>
  <c r="O7" i="9"/>
  <c r="AK58" i="12"/>
  <c r="Q58" i="12"/>
  <c r="BF58" i="12"/>
  <c r="BB50" i="12"/>
  <c r="BD50" i="12"/>
  <c r="AX50" i="12"/>
  <c r="BA51" i="12"/>
  <c r="AT11" i="12"/>
  <c r="AS11" i="12"/>
  <c r="AV11" i="12"/>
  <c r="BA67" i="12"/>
  <c r="BD66" i="12"/>
  <c r="AX66" i="12"/>
  <c r="BB66" i="12"/>
  <c r="AP36" i="12"/>
  <c r="AV67" i="12"/>
  <c r="AS67" i="12"/>
  <c r="AT67" i="12"/>
  <c r="AP60" i="12"/>
  <c r="BU24" i="12"/>
  <c r="AO24" i="12"/>
  <c r="J76" i="10"/>
  <c r="K76" i="10"/>
  <c r="BP50" i="12"/>
  <c r="BL50" i="12"/>
  <c r="K40" i="10"/>
  <c r="G40" i="10"/>
  <c r="J40" i="10"/>
  <c r="BF74" i="12"/>
  <c r="Q74" i="12"/>
  <c r="AK74" i="12"/>
  <c r="BT7" i="12"/>
  <c r="AN7" i="12"/>
  <c r="T7" i="12"/>
  <c r="N16" i="10"/>
  <c r="L16" i="10"/>
  <c r="J39" i="10"/>
  <c r="G39" i="10"/>
  <c r="K39" i="10"/>
  <c r="K61" i="10"/>
  <c r="G61" i="10"/>
  <c r="J61" i="10"/>
  <c r="C39" i="12"/>
  <c r="B21" i="9"/>
  <c r="B31" i="9"/>
  <c r="T24" i="8"/>
  <c r="S24" i="8"/>
  <c r="M73" i="10"/>
  <c r="B28" i="12"/>
  <c r="AV5" i="12"/>
  <c r="BE73" i="12"/>
  <c r="BH73" i="12"/>
  <c r="BI72" i="12"/>
  <c r="BJ72" i="12"/>
  <c r="AR72" i="12"/>
  <c r="X72" i="12"/>
  <c r="BK72" i="12"/>
  <c r="BI65" i="12"/>
  <c r="AR65" i="12"/>
  <c r="BJ65" i="12"/>
  <c r="BH66" i="12"/>
  <c r="BE66" i="12"/>
  <c r="X65" i="12"/>
  <c r="BK65" i="12"/>
  <c r="BI35" i="12"/>
  <c r="BH36" i="12"/>
  <c r="BJ35" i="12"/>
  <c r="AR35" i="12"/>
  <c r="BK35" i="12"/>
  <c r="X35" i="12"/>
  <c r="BE36" i="12"/>
  <c r="AR71" i="12"/>
  <c r="BH72" i="12"/>
  <c r="BI71" i="12"/>
  <c r="BK71" i="12"/>
  <c r="BE72" i="12"/>
  <c r="X71" i="12"/>
  <c r="BJ71" i="12"/>
  <c r="BJ39" i="12"/>
  <c r="AR39" i="12"/>
  <c r="BH40" i="12"/>
  <c r="BK39" i="12"/>
  <c r="BE40" i="12"/>
  <c r="X39" i="12"/>
  <c r="BI39" i="12"/>
  <c r="BE45" i="12"/>
  <c r="BK44" i="12"/>
  <c r="BI44" i="12"/>
  <c r="BJ44" i="12"/>
  <c r="AR44" i="12"/>
  <c r="X44" i="12"/>
  <c r="BH45" i="12"/>
  <c r="BE64" i="12"/>
  <c r="BI63" i="12"/>
  <c r="AR63" i="12"/>
  <c r="BJ63" i="12"/>
  <c r="BK63" i="12"/>
  <c r="X63" i="12"/>
  <c r="BH64" i="12"/>
  <c r="AR75" i="12"/>
  <c r="BE76" i="12"/>
  <c r="BI75" i="12"/>
  <c r="BJ75" i="12"/>
  <c r="BH76" i="12"/>
  <c r="X75" i="12"/>
  <c r="BK75" i="12"/>
  <c r="BF73" i="12"/>
  <c r="Q73" i="12"/>
  <c r="AK73" i="12"/>
  <c r="AR64" i="12"/>
  <c r="BI64" i="12"/>
  <c r="BK64" i="12"/>
  <c r="BJ64" i="12"/>
  <c r="BE65" i="12"/>
  <c r="X64" i="12"/>
  <c r="BH65" i="12"/>
  <c r="BH69" i="12"/>
  <c r="BK68" i="12"/>
  <c r="BI68" i="12"/>
  <c r="AR68" i="12"/>
  <c r="BJ68" i="12"/>
  <c r="X68" i="12"/>
  <c r="BE69" i="12"/>
  <c r="BE79" i="12"/>
  <c r="BJ78" i="12"/>
  <c r="AR78" i="12"/>
  <c r="BI78" i="12"/>
  <c r="BK78" i="12"/>
  <c r="X78" i="12"/>
  <c r="BH79" i="12"/>
  <c r="BJ74" i="12"/>
  <c r="BH75" i="12"/>
  <c r="BK74" i="12"/>
  <c r="BE75" i="12"/>
  <c r="AR74" i="12"/>
  <c r="X74" i="12"/>
  <c r="BI74" i="12"/>
  <c r="BI25" i="12"/>
  <c r="BE26" i="12"/>
  <c r="AR25" i="12"/>
  <c r="BK25" i="12"/>
  <c r="BH26" i="12"/>
  <c r="Q26" i="9"/>
  <c r="V25" i="12"/>
  <c r="X25" i="12"/>
  <c r="BJ25" i="12"/>
  <c r="M26" i="10"/>
  <c r="AP45" i="12"/>
  <c r="T21" i="10"/>
  <c r="S21" i="10"/>
  <c r="U21" i="10"/>
  <c r="Q21" i="10"/>
  <c r="R21" i="10"/>
  <c r="BI41" i="12"/>
  <c r="BE42" i="12"/>
  <c r="BK41" i="12"/>
  <c r="AR41" i="12"/>
  <c r="BH42" i="12"/>
  <c r="X41" i="12"/>
  <c r="BJ41" i="12"/>
  <c r="BI67" i="12"/>
  <c r="AR67" i="12"/>
  <c r="BH68" i="12"/>
  <c r="BK67" i="12"/>
  <c r="BE68" i="12"/>
  <c r="X67" i="12"/>
  <c r="BJ67" i="12"/>
  <c r="BJ50" i="12"/>
  <c r="BH51" i="12"/>
  <c r="BE51" i="12"/>
  <c r="AR50" i="12"/>
  <c r="BI50" i="12"/>
  <c r="X50" i="12"/>
  <c r="BK50" i="12"/>
  <c r="BJ51" i="12"/>
  <c r="BE52" i="12"/>
  <c r="BH52" i="12"/>
  <c r="BK51" i="12"/>
  <c r="BI51" i="12"/>
  <c r="X51" i="12"/>
  <c r="AR51" i="12"/>
  <c r="V65" i="10"/>
  <c r="V22" i="10"/>
  <c r="BB69" i="12"/>
  <c r="BD69" i="12"/>
  <c r="AX69" i="12"/>
  <c r="BA70" i="12"/>
  <c r="AK69" i="12"/>
  <c r="Q69" i="12"/>
  <c r="BF69" i="12"/>
  <c r="BB65" i="12"/>
  <c r="BA66" i="12"/>
  <c r="AX65" i="12"/>
  <c r="BD65" i="12"/>
  <c r="BD53" i="12"/>
  <c r="BB53" i="12"/>
  <c r="AX53" i="12"/>
  <c r="BA54" i="12"/>
  <c r="B38" i="12"/>
  <c r="M27" i="10"/>
  <c r="G76" i="10"/>
  <c r="S75" i="12"/>
  <c r="AM75" i="12"/>
  <c r="BF70" i="12"/>
  <c r="Q70" i="12"/>
  <c r="AK70" i="12"/>
  <c r="BP44" i="12"/>
  <c r="BL44" i="12"/>
  <c r="BD19" i="12"/>
  <c r="AX19" i="12"/>
  <c r="BB19" i="12"/>
  <c r="AW55" i="12"/>
  <c r="AU55" i="12"/>
  <c r="BA64" i="12"/>
  <c r="BD63" i="12"/>
  <c r="AX63" i="12"/>
  <c r="BB63" i="12"/>
  <c r="R14" i="9"/>
  <c r="S14" i="9"/>
  <c r="W13" i="12"/>
  <c r="AO9" i="12"/>
  <c r="BU9" i="12"/>
  <c r="M71" i="10"/>
  <c r="BU74" i="12"/>
  <c r="L75" i="9"/>
  <c r="P75" i="9"/>
  <c r="Q75" i="9"/>
  <c r="V74" i="12"/>
  <c r="AO74" i="12"/>
  <c r="J65" i="10"/>
  <c r="K65" i="10"/>
  <c r="B16" i="8"/>
  <c r="B28" i="8"/>
  <c r="BA58" i="12"/>
  <c r="BB57" i="12"/>
  <c r="AX57" i="12"/>
  <c r="BD57" i="12"/>
  <c r="BH10" i="12"/>
  <c r="BK9" i="12"/>
  <c r="BE10" i="12"/>
  <c r="BJ9" i="12"/>
  <c r="BI9" i="12"/>
  <c r="Q10" i="9"/>
  <c r="V9" i="12"/>
  <c r="X9" i="12"/>
  <c r="AR9" i="12"/>
  <c r="BK47" i="12"/>
  <c r="BH48" i="12"/>
  <c r="BE48" i="12"/>
  <c r="BJ47" i="12"/>
  <c r="AR47" i="12"/>
  <c r="X47" i="12"/>
  <c r="BI47" i="12"/>
  <c r="BD75" i="12"/>
  <c r="BB75" i="12"/>
  <c r="AX75" i="12"/>
  <c r="BA76" i="12"/>
  <c r="BI77" i="12"/>
  <c r="BK77" i="12"/>
  <c r="BH78" i="12"/>
  <c r="BE78" i="12"/>
  <c r="BJ77" i="12"/>
  <c r="X77" i="12"/>
  <c r="AR77" i="12"/>
  <c r="BI53" i="12"/>
  <c r="BJ53" i="12"/>
  <c r="AR53" i="12"/>
  <c r="BK53" i="12"/>
  <c r="BE54" i="12"/>
  <c r="X53" i="12"/>
  <c r="BH54" i="12"/>
  <c r="BF59" i="12"/>
  <c r="Q59" i="12"/>
  <c r="AK59" i="12"/>
  <c r="BF63" i="12"/>
  <c r="Q63" i="12"/>
  <c r="AK63" i="12"/>
  <c r="G8" i="10"/>
  <c r="J8" i="10"/>
  <c r="BK69" i="12"/>
  <c r="AR69" i="12"/>
  <c r="BJ69" i="12"/>
  <c r="BI69" i="12"/>
  <c r="BE70" i="12"/>
  <c r="X69" i="12"/>
  <c r="BH70" i="12"/>
  <c r="BF71" i="12"/>
  <c r="Q71" i="12"/>
  <c r="AK71" i="12"/>
  <c r="AR42" i="12"/>
  <c r="BI42" i="12"/>
  <c r="BJ42" i="12"/>
  <c r="BK42" i="12"/>
  <c r="BE43" i="12"/>
  <c r="X42" i="12"/>
  <c r="BH43" i="12"/>
  <c r="AR54" i="12"/>
  <c r="BJ54" i="12"/>
  <c r="BI54" i="12"/>
  <c r="BE55" i="12"/>
  <c r="BK54" i="12"/>
  <c r="X54" i="12"/>
  <c r="BH55" i="12"/>
  <c r="O14" i="9"/>
  <c r="BH67" i="12"/>
  <c r="BK66" i="12"/>
  <c r="AR66" i="12"/>
  <c r="BE67" i="12"/>
  <c r="BJ66" i="12"/>
  <c r="X66" i="12"/>
  <c r="BI66" i="12"/>
  <c r="B30" i="8"/>
  <c r="B33" i="8"/>
  <c r="B23" i="8"/>
  <c r="S5" i="8"/>
  <c r="T5" i="8"/>
  <c r="G65" i="10"/>
  <c r="S64" i="12"/>
  <c r="AM64" i="12"/>
  <c r="AS35" i="12"/>
  <c r="AU35" i="12"/>
  <c r="AW35" i="12"/>
  <c r="AP14" i="12"/>
  <c r="AP55" i="12"/>
  <c r="AM63" i="12"/>
  <c r="S63" i="12"/>
  <c r="R20" i="9"/>
  <c r="S20" i="9"/>
  <c r="W19" i="12"/>
  <c r="BD24" i="12"/>
  <c r="BA25" i="12"/>
  <c r="AX24" i="12"/>
  <c r="BB24" i="12"/>
  <c r="K53" i="10"/>
  <c r="G53" i="10"/>
  <c r="J53" i="10"/>
  <c r="AK32" i="12"/>
  <c r="Q32" i="12"/>
  <c r="BF32" i="12"/>
  <c r="BA73" i="12"/>
  <c r="BB72" i="12"/>
  <c r="AX72" i="12"/>
  <c r="BD72" i="12"/>
  <c r="K64" i="10"/>
  <c r="G64" i="10"/>
  <c r="J64" i="10"/>
  <c r="AV6" i="12"/>
  <c r="AS6" i="12"/>
  <c r="AT6" i="12"/>
  <c r="BF36" i="12"/>
  <c r="Q36" i="12"/>
  <c r="AK36" i="12"/>
  <c r="AP13" i="12"/>
  <c r="K12" i="10"/>
  <c r="J12" i="10"/>
  <c r="BD48" i="12"/>
  <c r="BB48" i="12"/>
  <c r="AX48" i="12"/>
  <c r="BA49" i="12"/>
  <c r="K73" i="10"/>
  <c r="G73" i="10"/>
  <c r="J73" i="10"/>
  <c r="V73" i="10"/>
  <c r="BF9" i="12"/>
  <c r="Q9" i="12"/>
  <c r="AK9" i="12"/>
  <c r="AM20" i="12"/>
  <c r="S20" i="12"/>
  <c r="BT10" i="12"/>
  <c r="AN10" i="12"/>
  <c r="T10" i="12"/>
  <c r="BA29" i="12"/>
  <c r="BD28" i="12"/>
  <c r="AX28" i="12"/>
  <c r="BB28" i="12"/>
  <c r="BU36" i="12"/>
  <c r="AO36" i="12"/>
  <c r="V64" i="10"/>
  <c r="M67" i="10"/>
  <c r="BP43" i="12"/>
  <c r="BL43" i="12"/>
  <c r="L54" i="9"/>
  <c r="P54" i="9"/>
  <c r="Q54" i="9"/>
  <c r="V53" i="12"/>
  <c r="AO53" i="12"/>
  <c r="BU53" i="12"/>
  <c r="G63" i="10"/>
  <c r="S62" i="12"/>
  <c r="AM62" i="12"/>
  <c r="V30" i="10"/>
  <c r="T20" i="8"/>
  <c r="S20" i="8"/>
  <c r="AP67" i="12"/>
  <c r="M20" i="10"/>
  <c r="V31" i="10"/>
  <c r="M64" i="10"/>
  <c r="BP79" i="12"/>
  <c r="BL79" i="12"/>
  <c r="BP66" i="12"/>
  <c r="BL66" i="12"/>
  <c r="BT12" i="12"/>
  <c r="AN12" i="12"/>
  <c r="T12" i="12"/>
  <c r="M25" i="10"/>
  <c r="AW77" i="12"/>
  <c r="AU77" i="12"/>
  <c r="AW68" i="12"/>
  <c r="AU68" i="12"/>
  <c r="BU51" i="12"/>
  <c r="Q52" i="9"/>
  <c r="V51" i="12"/>
  <c r="AO51" i="12"/>
  <c r="B25" i="12"/>
  <c r="AV1" i="12"/>
  <c r="M60" i="10"/>
  <c r="BG7" i="12"/>
  <c r="BA7" i="12"/>
  <c r="N7" i="9"/>
  <c r="K7" i="12"/>
  <c r="BC7" i="12"/>
  <c r="K22" i="10"/>
  <c r="G22" i="10"/>
  <c r="J22" i="10"/>
  <c r="AK37" i="12"/>
  <c r="Q37" i="12"/>
  <c r="BF37" i="12"/>
  <c r="BD43" i="12"/>
  <c r="BA44" i="12"/>
  <c r="AX43" i="12"/>
  <c r="BB43" i="12"/>
  <c r="AW45" i="12"/>
  <c r="AU45" i="12"/>
  <c r="Q55" i="9"/>
  <c r="V54" i="12"/>
  <c r="AO54" i="12"/>
  <c r="BU54" i="12"/>
  <c r="AK55" i="12"/>
  <c r="Q55" i="12"/>
  <c r="BF55" i="12"/>
  <c r="AW34" i="12"/>
  <c r="AU34" i="12"/>
  <c r="AW70" i="12"/>
  <c r="AU70" i="12"/>
  <c r="AK10" i="12"/>
  <c r="Q10" i="12"/>
  <c r="BF10" i="12"/>
  <c r="BP61" i="12"/>
  <c r="BL61" i="12"/>
  <c r="BB8" i="12"/>
  <c r="AX8" i="12"/>
  <c r="BD8" i="12"/>
  <c r="AM59" i="12"/>
  <c r="S59" i="12"/>
  <c r="N21" i="10"/>
  <c r="L21" i="10"/>
  <c r="BP22" i="12"/>
  <c r="BL22" i="12"/>
  <c r="AK61" i="12"/>
  <c r="Q61" i="12"/>
  <c r="BF61" i="12"/>
  <c r="BA72" i="12"/>
  <c r="BB71" i="12"/>
  <c r="AX71" i="12"/>
  <c r="BD71" i="12"/>
  <c r="AP12" i="12"/>
  <c r="AK31" i="12"/>
  <c r="Q31" i="12"/>
  <c r="BF31" i="12"/>
  <c r="BG14" i="12"/>
  <c r="BA14" i="12"/>
  <c r="BC14" i="12"/>
  <c r="BF39" i="12"/>
  <c r="Q39" i="12"/>
  <c r="AK39" i="12"/>
  <c r="V29" i="10"/>
  <c r="M12" i="10"/>
  <c r="AP10" i="12"/>
  <c r="M79" i="10"/>
  <c r="AM48" i="12"/>
  <c r="S48" i="12"/>
  <c r="BP38" i="12"/>
  <c r="BL38" i="12"/>
  <c r="AM34" i="12"/>
  <c r="S34" i="12"/>
  <c r="G12" i="10"/>
  <c r="S11" i="12"/>
  <c r="AM11" i="12"/>
  <c r="AR70" i="12"/>
  <c r="BK70" i="12"/>
  <c r="BI70" i="12"/>
  <c r="BE71" i="12"/>
  <c r="BH71" i="12"/>
  <c r="X70" i="12"/>
  <c r="BJ70" i="12"/>
  <c r="BP31" i="12"/>
  <c r="BL31" i="12"/>
  <c r="K29" i="10"/>
  <c r="G29" i="10"/>
  <c r="J29" i="10"/>
  <c r="BB60" i="12"/>
  <c r="BD60" i="12"/>
  <c r="AX60" i="12"/>
  <c r="BA61" i="12"/>
  <c r="BP15" i="12"/>
  <c r="BL15" i="12"/>
  <c r="BP76" i="12"/>
  <c r="BL76" i="12"/>
  <c r="AK25" i="12"/>
  <c r="Q25" i="12"/>
  <c r="BF25" i="12"/>
  <c r="BE74" i="12"/>
  <c r="BH74" i="12"/>
  <c r="BI73" i="12"/>
  <c r="AR73" i="12"/>
  <c r="BJ73" i="12"/>
  <c r="X73" i="12"/>
  <c r="BK73" i="12"/>
  <c r="BG2" i="12"/>
  <c r="BG1" i="12"/>
  <c r="BG5" i="12"/>
  <c r="BB49" i="12"/>
  <c r="BA50" i="12"/>
  <c r="AX49" i="12"/>
  <c r="BD49" i="12"/>
  <c r="V59" i="10"/>
  <c r="AP15" i="12"/>
  <c r="BD10" i="12"/>
  <c r="AX10" i="12"/>
  <c r="BB10" i="12"/>
  <c r="BD59" i="12"/>
  <c r="BB59" i="12"/>
  <c r="AX59" i="12"/>
  <c r="BA60" i="12"/>
  <c r="BU14" i="12"/>
  <c r="AO14" i="12"/>
  <c r="AP70" i="12"/>
  <c r="AM66" i="12"/>
  <c r="S66" i="12"/>
  <c r="AM76" i="12"/>
  <c r="S76" i="12"/>
  <c r="AM68" i="12"/>
  <c r="S68" i="12"/>
  <c r="AM54" i="12"/>
  <c r="S54" i="12"/>
  <c r="BB33" i="12"/>
  <c r="BD33" i="12"/>
  <c r="AX33" i="12"/>
  <c r="BA34" i="12"/>
  <c r="AT12" i="12"/>
  <c r="AV12" i="12"/>
  <c r="AW14" i="12"/>
  <c r="AU14" i="12"/>
  <c r="BP34" i="12"/>
  <c r="BL34" i="12"/>
  <c r="AM70" i="12"/>
  <c r="S70" i="12"/>
  <c r="V79" i="10"/>
  <c r="K30" i="10"/>
  <c r="J30" i="10"/>
  <c r="V67" i="10"/>
  <c r="V61" i="10"/>
  <c r="V49" i="10"/>
  <c r="BP41" i="12"/>
  <c r="BL41" i="12"/>
  <c r="B39" i="12"/>
  <c r="B24" i="8"/>
  <c r="B34" i="8"/>
  <c r="M47" i="10"/>
  <c r="BU57" i="12"/>
  <c r="I58" i="9"/>
  <c r="L58" i="9"/>
  <c r="P58" i="9"/>
  <c r="Q58" i="9"/>
  <c r="V57" i="12"/>
  <c r="AO57" i="12"/>
  <c r="AM5" i="12"/>
  <c r="S5" i="12"/>
  <c r="AW57" i="12"/>
  <c r="AU57" i="12"/>
  <c r="AS12" i="12"/>
  <c r="AU12" i="12"/>
  <c r="AW12" i="12"/>
  <c r="AT5" i="12"/>
  <c r="AP71" i="12"/>
  <c r="AT74" i="12"/>
  <c r="AV74" i="12"/>
  <c r="BK37" i="12"/>
  <c r="BE38" i="12"/>
  <c r="BI37" i="12"/>
  <c r="BH38" i="12"/>
  <c r="AR37" i="12"/>
  <c r="X37" i="12"/>
  <c r="BJ37" i="12"/>
  <c r="BI59" i="12"/>
  <c r="BK59" i="12"/>
  <c r="BH60" i="12"/>
  <c r="AR59" i="12"/>
  <c r="BE60" i="12"/>
  <c r="X59" i="12"/>
  <c r="BJ59" i="12"/>
  <c r="T23" i="8"/>
  <c r="S23" i="8"/>
  <c r="AM78" i="12"/>
  <c r="S78" i="12"/>
  <c r="AK23" i="12"/>
  <c r="Q23" i="12"/>
  <c r="BF23" i="12"/>
  <c r="BF11" i="12"/>
  <c r="Q11" i="12"/>
  <c r="AK11" i="12"/>
  <c r="G30" i="10"/>
  <c r="S29" i="12"/>
  <c r="AM29" i="12"/>
  <c r="BU18" i="12"/>
  <c r="AO18" i="12"/>
  <c r="M61" i="10"/>
  <c r="BU73" i="12"/>
  <c r="Q74" i="9"/>
  <c r="V73" i="12"/>
  <c r="AO73" i="12"/>
  <c r="AP25" i="12"/>
  <c r="J66" i="10"/>
  <c r="K66" i="10"/>
  <c r="AS74" i="12"/>
  <c r="AU74" i="12"/>
  <c r="AW74" i="12"/>
  <c r="BP13" i="12"/>
  <c r="BL13" i="12"/>
  <c r="J36" i="10"/>
  <c r="K36" i="10"/>
  <c r="V69" i="10"/>
  <c r="AK67" i="12"/>
  <c r="Q67" i="12"/>
  <c r="BF67" i="12"/>
  <c r="AM53" i="12"/>
  <c r="S53" i="12"/>
  <c r="AW32" i="12"/>
  <c r="AU32" i="12"/>
  <c r="AW58" i="12"/>
  <c r="AU58" i="12"/>
  <c r="AP51" i="12"/>
  <c r="T11" i="8"/>
  <c r="S11" i="8"/>
  <c r="M55" i="10"/>
  <c r="N17" i="10"/>
  <c r="L17" i="10"/>
  <c r="AW63" i="12"/>
  <c r="AU63" i="12"/>
  <c r="J48" i="10"/>
  <c r="K48" i="10"/>
  <c r="J62" i="10"/>
  <c r="K62" i="10"/>
  <c r="O22" i="9"/>
  <c r="AP46" i="12"/>
  <c r="M48" i="10"/>
  <c r="M62" i="10"/>
  <c r="BP75" i="12"/>
  <c r="BL75" i="12"/>
  <c r="N19" i="10"/>
  <c r="L19" i="10"/>
  <c r="BP36" i="12"/>
  <c r="BL36" i="12"/>
  <c r="AK47" i="12"/>
  <c r="Q47" i="12"/>
  <c r="BF47" i="12"/>
  <c r="Q5" i="9"/>
  <c r="P5" i="9"/>
  <c r="BP54" i="12"/>
  <c r="BL54" i="12"/>
  <c r="T15" i="8"/>
  <c r="S15" i="8"/>
  <c r="BT20" i="12"/>
  <c r="AN20" i="12"/>
  <c r="T20" i="12"/>
  <c r="M53" i="10"/>
  <c r="M39" i="10"/>
  <c r="BF60" i="12"/>
  <c r="Q60" i="12"/>
  <c r="AK60" i="12"/>
  <c r="O20" i="9"/>
  <c r="T15" i="12"/>
  <c r="AN15" i="12"/>
  <c r="BT15" i="12"/>
  <c r="R17" i="9"/>
  <c r="S17" i="9"/>
  <c r="W16" i="12"/>
  <c r="AV45" i="12"/>
  <c r="AS45" i="12"/>
  <c r="AT45" i="12"/>
  <c r="AV58" i="12"/>
  <c r="AS58" i="12"/>
  <c r="AT58" i="12"/>
  <c r="N14" i="9"/>
  <c r="K14" i="12"/>
  <c r="T14" i="12"/>
  <c r="AN14" i="12"/>
  <c r="BT14" i="12"/>
  <c r="AP6" i="12"/>
  <c r="M66" i="10"/>
  <c r="M59" i="10"/>
  <c r="AK77" i="12"/>
  <c r="Q77" i="12"/>
  <c r="BF77" i="12"/>
  <c r="M13" i="10"/>
  <c r="BB5" i="12"/>
  <c r="BB1" i="12"/>
  <c r="BB2" i="12"/>
  <c r="D19" i="12"/>
  <c r="M45" i="10"/>
  <c r="G66" i="10"/>
  <c r="S65" i="12"/>
  <c r="AM65" i="12"/>
  <c r="AP42" i="12"/>
  <c r="AP8" i="12"/>
  <c r="BU31" i="12"/>
  <c r="AO31" i="12"/>
  <c r="G36" i="10"/>
  <c r="S35" i="12"/>
  <c r="AM35" i="12"/>
  <c r="B32" i="9"/>
  <c r="B22" i="9"/>
  <c r="C40" i="12"/>
  <c r="AP16" i="12"/>
  <c r="K71" i="10"/>
  <c r="G71" i="10"/>
  <c r="J71" i="10"/>
  <c r="V54" i="10"/>
  <c r="T19" i="12"/>
  <c r="AN19" i="12"/>
  <c r="BT19" i="12"/>
  <c r="O5" i="9"/>
  <c r="J54" i="10"/>
  <c r="G54" i="10"/>
  <c r="K54" i="10"/>
  <c r="K43" i="10"/>
  <c r="J43" i="10"/>
  <c r="AW43" i="12"/>
  <c r="AU43" i="12"/>
  <c r="AW46" i="12"/>
  <c r="AU46" i="12"/>
  <c r="AW47" i="12"/>
  <c r="AU47" i="12"/>
  <c r="AW69" i="12"/>
  <c r="AU69" i="12"/>
  <c r="V48" i="10"/>
  <c r="M75" i="10"/>
  <c r="V36" i="10"/>
  <c r="BF15" i="12"/>
  <c r="Q15" i="12"/>
  <c r="AK15" i="12"/>
  <c r="O19" i="9"/>
  <c r="AW28" i="12"/>
  <c r="AU28" i="12"/>
  <c r="K69" i="10"/>
  <c r="G69" i="10"/>
  <c r="J69" i="10"/>
  <c r="AM67" i="12"/>
  <c r="S67" i="12"/>
  <c r="BP8" i="12"/>
  <c r="BL8" i="12"/>
  <c r="AW33" i="12"/>
  <c r="AU33" i="12"/>
  <c r="BP51" i="12"/>
  <c r="BL51" i="12"/>
  <c r="W12" i="12"/>
  <c r="S13" i="9"/>
  <c r="R13" i="9"/>
  <c r="N9" i="10"/>
  <c r="L9" i="10"/>
  <c r="I60" i="9"/>
  <c r="L60" i="9"/>
  <c r="P60" i="9"/>
  <c r="Q60" i="9"/>
  <c r="V59" i="12"/>
  <c r="AO59" i="12"/>
  <c r="BU59" i="12"/>
  <c r="BU21" i="12"/>
  <c r="AO21" i="12"/>
  <c r="N12" i="10"/>
  <c r="L12" i="10"/>
  <c r="M41" i="10"/>
  <c r="V71" i="10"/>
  <c r="R15" i="10"/>
  <c r="T15" i="10"/>
  <c r="S15" i="10"/>
  <c r="Q15" i="10"/>
  <c r="U15" i="10"/>
  <c r="AP35" i="12"/>
  <c r="T9" i="12"/>
  <c r="AN9" i="12"/>
  <c r="BT9" i="12"/>
  <c r="M72" i="10"/>
  <c r="BP19" i="12"/>
  <c r="BL19" i="12"/>
  <c r="M15" i="10"/>
  <c r="AT8" i="12"/>
  <c r="AV8" i="12"/>
  <c r="BG19" i="12"/>
  <c r="BA19" i="12"/>
  <c r="K19" i="12"/>
  <c r="BC19" i="12"/>
  <c r="BP39" i="12"/>
  <c r="BL39" i="12"/>
  <c r="M14" i="10"/>
  <c r="AT10" i="12"/>
  <c r="AV10" i="12"/>
  <c r="BD51" i="12"/>
  <c r="BA52" i="12"/>
  <c r="L52" i="9"/>
  <c r="P52" i="9"/>
  <c r="AX51" i="12"/>
  <c r="BB51" i="12"/>
  <c r="BU43" i="12"/>
  <c r="AO43" i="12"/>
  <c r="BP45" i="12"/>
  <c r="BL45" i="12"/>
  <c r="AW76" i="12"/>
  <c r="AU76" i="12"/>
  <c r="V68" i="10"/>
  <c r="M77" i="10"/>
  <c r="BU64" i="12"/>
  <c r="Q65" i="9"/>
  <c r="V64" i="12"/>
  <c r="AO64" i="12"/>
  <c r="AW38" i="12"/>
  <c r="AU38" i="12"/>
  <c r="BP24" i="12"/>
  <c r="BL24" i="12"/>
  <c r="J79" i="10"/>
  <c r="G79" i="10"/>
  <c r="K79" i="10"/>
  <c r="BA71" i="12"/>
  <c r="BB70" i="12"/>
  <c r="AX70" i="12"/>
  <c r="BD70" i="12"/>
  <c r="AV65" i="12"/>
  <c r="AT65" i="12"/>
  <c r="R14" i="10"/>
  <c r="T14" i="10"/>
  <c r="S14" i="10"/>
  <c r="Q14" i="10"/>
  <c r="U14" i="10"/>
  <c r="BI60" i="12"/>
  <c r="BE61" i="12"/>
  <c r="BH61" i="12"/>
  <c r="BK60" i="12"/>
  <c r="AR60" i="12"/>
  <c r="X60" i="12"/>
  <c r="BJ60" i="12"/>
  <c r="BP9" i="12"/>
  <c r="BL9" i="12"/>
  <c r="AV55" i="12"/>
  <c r="AS55" i="12"/>
  <c r="AT55" i="12"/>
  <c r="BP64" i="12"/>
  <c r="BL64" i="12"/>
  <c r="M17" i="10"/>
  <c r="AM30" i="12"/>
  <c r="S30" i="12"/>
  <c r="AS65" i="12"/>
  <c r="AU65" i="12"/>
  <c r="AW65" i="12"/>
  <c r="BG9" i="12"/>
  <c r="BC9" i="12"/>
  <c r="K9" i="12"/>
  <c r="BA9" i="12"/>
  <c r="BP47" i="12"/>
  <c r="BL47" i="12"/>
  <c r="BD64" i="12"/>
  <c r="BA65" i="12"/>
  <c r="L65" i="9"/>
  <c r="P65" i="9"/>
  <c r="AX64" i="12"/>
  <c r="BB64" i="12"/>
  <c r="BD35" i="12"/>
  <c r="BA36" i="12"/>
  <c r="AX35" i="12"/>
  <c r="BB35" i="12"/>
  <c r="M54" i="10"/>
  <c r="M6" i="10"/>
  <c r="AM46" i="12"/>
  <c r="S46" i="12"/>
  <c r="M58" i="10"/>
  <c r="BC11" i="12"/>
  <c r="BG11" i="12"/>
  <c r="BA11" i="12"/>
  <c r="V53" i="10"/>
  <c r="AP23" i="12"/>
  <c r="V27" i="10"/>
  <c r="AS8" i="12"/>
  <c r="AU8" i="12"/>
  <c r="AW8" i="12"/>
  <c r="V25" i="10"/>
  <c r="M9" i="10"/>
  <c r="J59" i="10"/>
  <c r="K59" i="10"/>
  <c r="T22" i="8"/>
  <c r="S22" i="8"/>
  <c r="M51" i="10"/>
  <c r="BF75" i="12"/>
  <c r="I75" i="9"/>
  <c r="Q75" i="12"/>
  <c r="AK75" i="12"/>
  <c r="M70" i="10"/>
  <c r="V28" i="10"/>
  <c r="W22" i="12"/>
  <c r="S23" i="9"/>
  <c r="R23" i="9"/>
  <c r="AM73" i="12"/>
  <c r="S73" i="12"/>
  <c r="AP49" i="12"/>
  <c r="BJ2" i="12"/>
  <c r="BJ1" i="12"/>
  <c r="BJ5" i="12"/>
  <c r="T9" i="8"/>
  <c r="S9" i="8"/>
  <c r="T17" i="8"/>
  <c r="S17" i="8"/>
  <c r="AP17" i="12"/>
  <c r="BU35" i="12"/>
  <c r="I36" i="9"/>
  <c r="L36" i="9"/>
  <c r="P36" i="9"/>
  <c r="Q36" i="9"/>
  <c r="V35" i="12"/>
  <c r="AO35" i="12"/>
  <c r="AP43" i="12"/>
  <c r="AM25" i="12"/>
  <c r="S25" i="12"/>
  <c r="AP58" i="12"/>
  <c r="AT14" i="12"/>
  <c r="AS14" i="12"/>
  <c r="AV14" i="12"/>
  <c r="K80" i="10"/>
  <c r="J31" i="10"/>
  <c r="G31" i="10"/>
  <c r="K31" i="10"/>
  <c r="BA12" i="12"/>
  <c r="BC12" i="12"/>
  <c r="K12" i="12"/>
  <c r="BG12" i="12"/>
  <c r="U17" i="10"/>
  <c r="S17" i="10"/>
  <c r="T17" i="10"/>
  <c r="Q17" i="10"/>
  <c r="R17" i="10"/>
  <c r="M61" i="8"/>
  <c r="Q61" i="8"/>
  <c r="U61" i="8"/>
  <c r="V61" i="8"/>
  <c r="I61" i="9"/>
  <c r="L61" i="9"/>
  <c r="P61" i="9"/>
  <c r="Q61" i="9"/>
  <c r="V60" i="12"/>
  <c r="AO60" i="12"/>
  <c r="BU60" i="12"/>
  <c r="N18" i="10"/>
  <c r="L18" i="10"/>
  <c r="Q39" i="9"/>
  <c r="V38" i="12"/>
  <c r="AO38" i="12"/>
  <c r="BU38" i="12"/>
  <c r="M21" i="10"/>
  <c r="AV70" i="12"/>
  <c r="AS70" i="12"/>
  <c r="AT70" i="12"/>
  <c r="BP73" i="12"/>
  <c r="BL73" i="12"/>
  <c r="BD47" i="12"/>
  <c r="BB47" i="12"/>
  <c r="AX47" i="12"/>
  <c r="BA48" i="12"/>
  <c r="BA42" i="12"/>
  <c r="BD41" i="12"/>
  <c r="AX41" i="12"/>
  <c r="BB41" i="12"/>
  <c r="M71" i="8"/>
  <c r="Q71" i="8"/>
  <c r="U71" i="8"/>
  <c r="V71" i="8"/>
  <c r="I71" i="9"/>
  <c r="L71" i="9"/>
  <c r="P71" i="9"/>
  <c r="Q71" i="9"/>
  <c r="V70" i="12"/>
  <c r="AO70" i="12"/>
  <c r="BU70" i="12"/>
  <c r="BD40" i="12"/>
  <c r="BB40" i="12"/>
  <c r="AX40" i="12"/>
  <c r="BA41" i="12"/>
  <c r="K67" i="10"/>
  <c r="G67" i="10"/>
  <c r="J67" i="10"/>
  <c r="BB73" i="12"/>
  <c r="BD73" i="12"/>
  <c r="I74" i="9"/>
  <c r="L74" i="9"/>
  <c r="P74" i="9"/>
  <c r="AX73" i="12"/>
  <c r="BA74" i="12"/>
  <c r="BD56" i="12"/>
  <c r="BB56" i="12"/>
  <c r="AX56" i="12"/>
  <c r="BA57" i="12"/>
  <c r="BA37" i="12"/>
  <c r="BD36" i="12"/>
  <c r="AX36" i="12"/>
  <c r="BB36" i="12"/>
  <c r="AM49" i="12"/>
  <c r="S49" i="12"/>
  <c r="M49" i="10"/>
  <c r="AP54" i="12"/>
  <c r="K47" i="10"/>
  <c r="G47" i="10"/>
  <c r="J47" i="10"/>
  <c r="V60" i="10"/>
  <c r="M69" i="10"/>
  <c r="V66" i="10"/>
  <c r="M29" i="10"/>
  <c r="AM37" i="12"/>
  <c r="S37" i="12"/>
  <c r="AW51" i="12"/>
  <c r="AU51" i="12"/>
  <c r="N20" i="10"/>
  <c r="L20" i="10"/>
  <c r="G59" i="10"/>
  <c r="S58" i="12"/>
  <c r="AM58" i="12"/>
  <c r="AM40" i="12"/>
  <c r="S40" i="12"/>
  <c r="AK28" i="12"/>
  <c r="Q28" i="12"/>
  <c r="BF28" i="12"/>
  <c r="AP27" i="12"/>
  <c r="BF43" i="12"/>
  <c r="Q43" i="12"/>
  <c r="AK43" i="12"/>
  <c r="M23" i="10"/>
  <c r="BB45" i="12"/>
  <c r="BD45" i="12"/>
  <c r="AX45" i="12"/>
  <c r="BA46" i="12"/>
  <c r="K21" i="10"/>
  <c r="G21" i="10"/>
  <c r="J21" i="10"/>
  <c r="BP11" i="12"/>
  <c r="BL11" i="12"/>
  <c r="BF26" i="12"/>
  <c r="Q26" i="12"/>
  <c r="AK26" i="12"/>
  <c r="AW49" i="12"/>
  <c r="AU49" i="12"/>
  <c r="BF6" i="12"/>
  <c r="Q6" i="12"/>
  <c r="AK6" i="12"/>
  <c r="T12" i="8"/>
  <c r="S12" i="8"/>
  <c r="AP9" i="12"/>
  <c r="AW75" i="12"/>
  <c r="AU75" i="12"/>
  <c r="W11" i="12"/>
  <c r="S12" i="9"/>
  <c r="R12" i="9"/>
  <c r="D21" i="12"/>
  <c r="AX5" i="12"/>
  <c r="BD5" i="12"/>
  <c r="BD1" i="12"/>
  <c r="BD2" i="12"/>
  <c r="BP12" i="12"/>
  <c r="BL12" i="12"/>
  <c r="AM26" i="12"/>
  <c r="S26" i="12"/>
  <c r="AM8" i="12"/>
  <c r="S8" i="12"/>
  <c r="AM13" i="12"/>
  <c r="S13" i="12"/>
  <c r="AV32" i="12"/>
  <c r="AS32" i="12"/>
  <c r="AT32" i="12"/>
  <c r="BC15" i="12"/>
  <c r="BG15" i="12"/>
  <c r="K15" i="12"/>
  <c r="BA15" i="12"/>
  <c r="BA31" i="12"/>
  <c r="BB30" i="12"/>
  <c r="AX30" i="12"/>
  <c r="BD30" i="12"/>
  <c r="AT72" i="12"/>
  <c r="AV72" i="12"/>
  <c r="J50" i="10"/>
  <c r="G50" i="10"/>
  <c r="K50" i="10"/>
  <c r="BF19" i="12"/>
  <c r="Q19" i="12"/>
  <c r="AK19" i="12"/>
  <c r="BP52" i="12"/>
  <c r="BL52" i="12"/>
  <c r="U36" i="8"/>
  <c r="V36" i="8"/>
  <c r="M36" i="8"/>
  <c r="Q36" i="8"/>
  <c r="M36" i="10"/>
  <c r="AP52" i="12"/>
  <c r="BB54" i="12"/>
  <c r="BD54" i="12"/>
  <c r="I55" i="9"/>
  <c r="L55" i="9"/>
  <c r="P55" i="9"/>
  <c r="AX54" i="12"/>
  <c r="BA55" i="12"/>
  <c r="K60" i="10"/>
  <c r="V60" i="8"/>
  <c r="M60" i="8"/>
  <c r="Q60" i="8"/>
  <c r="U60" i="8"/>
  <c r="G60" i="10"/>
  <c r="J60" i="10"/>
  <c r="AT34" i="12"/>
  <c r="AS34" i="12"/>
  <c r="AV34" i="12"/>
  <c r="V47" i="10"/>
  <c r="M78" i="10"/>
  <c r="BP53" i="12"/>
  <c r="BL53" i="12"/>
  <c r="K49" i="10"/>
  <c r="G49" i="10"/>
  <c r="J49" i="10"/>
  <c r="G6" i="10"/>
  <c r="J6" i="10"/>
  <c r="BP67" i="12"/>
  <c r="BL67" i="12"/>
  <c r="J75" i="10"/>
  <c r="K75" i="10"/>
  <c r="AV63" i="12"/>
  <c r="AS63" i="12"/>
  <c r="AT63" i="12"/>
  <c r="BB31" i="12"/>
  <c r="BD31" i="12"/>
  <c r="AX31" i="12"/>
  <c r="BA32" i="12"/>
  <c r="K15" i="10"/>
  <c r="J15" i="10"/>
  <c r="T18" i="8"/>
  <c r="S18" i="8"/>
  <c r="AV43" i="12"/>
  <c r="AS43" i="12"/>
  <c r="AT43" i="12"/>
  <c r="V72" i="10"/>
  <c r="T6" i="8"/>
  <c r="S6" i="8"/>
  <c r="BU75" i="12"/>
  <c r="L76" i="9"/>
  <c r="P76" i="9"/>
  <c r="Q76" i="9"/>
  <c r="V75" i="12"/>
  <c r="AO75" i="12"/>
  <c r="AK57" i="12"/>
  <c r="Q57" i="12"/>
  <c r="BF57" i="12"/>
  <c r="AM71" i="12"/>
  <c r="S71" i="12"/>
  <c r="BU19" i="12"/>
  <c r="AO19" i="12"/>
  <c r="AW22" i="12"/>
  <c r="AU22" i="12"/>
  <c r="T16" i="12"/>
  <c r="AN16" i="12"/>
  <c r="BT16" i="12"/>
  <c r="M37" i="10"/>
  <c r="AW24" i="12"/>
  <c r="AU24" i="12"/>
  <c r="BU61" i="12"/>
  <c r="AO61" i="12"/>
  <c r="W14" i="12"/>
  <c r="S15" i="9"/>
  <c r="R15" i="9"/>
  <c r="BP58" i="12"/>
  <c r="BL58" i="12"/>
  <c r="BU44" i="12"/>
  <c r="Q45" i="9"/>
  <c r="V44" i="12"/>
  <c r="AO44" i="12"/>
  <c r="O17" i="9"/>
  <c r="Q38" i="9"/>
  <c r="V37" i="12"/>
  <c r="AO37" i="12"/>
  <c r="BU37" i="12"/>
  <c r="B40" i="12"/>
  <c r="B25" i="8"/>
  <c r="B35" i="8"/>
  <c r="N15" i="10"/>
  <c r="L15" i="10"/>
  <c r="AP20" i="12"/>
  <c r="N13" i="10"/>
  <c r="L13" i="10"/>
  <c r="AM15" i="12"/>
  <c r="S15" i="12"/>
  <c r="BP74" i="12"/>
  <c r="BL74" i="12"/>
  <c r="AV15" i="12"/>
  <c r="AT15" i="12"/>
  <c r="J72" i="10"/>
  <c r="G72" i="10"/>
  <c r="K72" i="10"/>
  <c r="AT77" i="12"/>
  <c r="AS77" i="12"/>
  <c r="AV77" i="12"/>
  <c r="BJ52" i="12"/>
  <c r="AR52" i="12"/>
  <c r="BK52" i="12"/>
  <c r="BE53" i="12"/>
  <c r="BI52" i="12"/>
  <c r="Q53" i="9"/>
  <c r="V52" i="12"/>
  <c r="X52" i="12"/>
  <c r="BH53" i="12"/>
  <c r="AT22" i="12"/>
  <c r="AS22" i="12"/>
  <c r="AV22" i="12"/>
  <c r="AV68" i="12"/>
  <c r="AS68" i="12"/>
  <c r="AT68" i="12"/>
  <c r="N14" i="10"/>
  <c r="L14" i="10"/>
  <c r="G75" i="10"/>
  <c r="S74" i="12"/>
  <c r="AM74" i="12"/>
  <c r="N19" i="9"/>
  <c r="R19" i="9"/>
  <c r="S19" i="9"/>
  <c r="W18" i="12"/>
  <c r="J74" i="10"/>
  <c r="G74" i="10"/>
  <c r="K74" i="10"/>
  <c r="V21" i="10"/>
  <c r="K56" i="10"/>
  <c r="J56" i="10"/>
  <c r="R8" i="9"/>
  <c r="S8" i="9"/>
  <c r="W7" i="12"/>
  <c r="AV28" i="12"/>
  <c r="AS28" i="12"/>
  <c r="AT28" i="12"/>
  <c r="AV76" i="12"/>
  <c r="AS76" i="12"/>
  <c r="AT76" i="12"/>
  <c r="BU40" i="12"/>
  <c r="AO40" i="12"/>
  <c r="R16" i="9"/>
  <c r="S16" i="9"/>
  <c r="W15" i="12"/>
  <c r="R24" i="9"/>
  <c r="S24" i="9"/>
  <c r="W23" i="12"/>
  <c r="AP7" i="12"/>
  <c r="C38" i="12"/>
  <c r="M68" i="10"/>
  <c r="K52" i="10"/>
  <c r="J52" i="10"/>
  <c r="BP7" i="12"/>
  <c r="BL7" i="12"/>
  <c r="AP65" i="12"/>
  <c r="V43" i="10"/>
  <c r="G43" i="10"/>
  <c r="S42" i="12"/>
  <c r="AM42" i="12"/>
  <c r="AM27" i="12"/>
  <c r="S27" i="12"/>
  <c r="S18" i="10"/>
  <c r="U18" i="10"/>
  <c r="R18" i="10"/>
  <c r="Q18" i="10"/>
  <c r="T18" i="10"/>
  <c r="BT8" i="12"/>
  <c r="AN8" i="12"/>
  <c r="T8" i="12"/>
  <c r="AM10" i="12"/>
  <c r="S10" i="12"/>
  <c r="BK2" i="12"/>
  <c r="BK1" i="12"/>
  <c r="BK5" i="12"/>
  <c r="BT23" i="12"/>
  <c r="AN23" i="12"/>
  <c r="T23" i="12"/>
  <c r="AW23" i="12"/>
  <c r="AU23" i="12"/>
  <c r="J70" i="10"/>
  <c r="K70" i="10"/>
  <c r="V35" i="10"/>
  <c r="AT21" i="12"/>
  <c r="AV21" i="12"/>
  <c r="BB25" i="12"/>
  <c r="BD25" i="12"/>
  <c r="I26" i="9"/>
  <c r="L26" i="9"/>
  <c r="P26" i="9"/>
  <c r="AX25" i="12"/>
  <c r="BA26" i="12"/>
  <c r="M66" i="8"/>
  <c r="Q66" i="8"/>
  <c r="U66" i="8"/>
  <c r="V66" i="8"/>
  <c r="I66" i="9"/>
  <c r="L66" i="9"/>
  <c r="P66" i="9"/>
  <c r="Q66" i="9"/>
  <c r="V65" i="12"/>
  <c r="AO65" i="12"/>
  <c r="BU65" i="12"/>
  <c r="AP76" i="12"/>
  <c r="BU28" i="12"/>
  <c r="AO28" i="12"/>
  <c r="O16" i="9"/>
  <c r="O24" i="9"/>
  <c r="AK54" i="12"/>
  <c r="M54" i="8"/>
  <c r="Q54" i="8"/>
  <c r="U54" i="8"/>
  <c r="V54" i="8"/>
  <c r="I54" i="9"/>
  <c r="Q54" i="12"/>
  <c r="BF54" i="12"/>
  <c r="AM24" i="12"/>
  <c r="S24" i="12"/>
  <c r="BP71" i="12"/>
  <c r="BL71" i="12"/>
  <c r="G15" i="10"/>
  <c r="S14" i="12"/>
  <c r="AM14" i="12"/>
  <c r="M76" i="10"/>
  <c r="AV16" i="12"/>
  <c r="AT16" i="12"/>
  <c r="B27" i="12"/>
  <c r="N23" i="10"/>
  <c r="L23" i="10"/>
  <c r="G48" i="10"/>
  <c r="S47" i="12"/>
  <c r="AM47" i="12"/>
  <c r="K19" i="10"/>
  <c r="J19" i="10"/>
  <c r="AM31" i="12"/>
  <c r="S31" i="12"/>
  <c r="AT38" i="12"/>
  <c r="AS38" i="12"/>
  <c r="AV38" i="12"/>
  <c r="N15" i="9"/>
  <c r="O15" i="9"/>
  <c r="M46" i="10"/>
  <c r="BF49" i="12"/>
  <c r="Q49" i="12"/>
  <c r="AK49" i="12"/>
  <c r="AP73" i="12"/>
  <c r="AW79" i="12"/>
  <c r="AU79" i="12"/>
  <c r="AW48" i="12"/>
  <c r="AU48" i="12"/>
  <c r="T13" i="8"/>
  <c r="S13" i="8"/>
  <c r="R5" i="9"/>
  <c r="S5" i="9"/>
  <c r="V38" i="10"/>
  <c r="V70" i="10"/>
  <c r="K38" i="10"/>
  <c r="G38" i="10"/>
  <c r="J38" i="10"/>
  <c r="V26" i="10"/>
  <c r="V75" i="8"/>
  <c r="M75" i="8"/>
  <c r="Q75" i="8"/>
  <c r="U75" i="8"/>
  <c r="V75" i="10"/>
  <c r="AV47" i="12"/>
  <c r="AS47" i="12"/>
  <c r="AT47" i="12"/>
  <c r="J28" i="10"/>
  <c r="G28" i="10"/>
  <c r="K28" i="10"/>
  <c r="AV69" i="12"/>
  <c r="AS69" i="12"/>
  <c r="AT69" i="12"/>
  <c r="BB13" i="12"/>
  <c r="AX13" i="12"/>
  <c r="BD13" i="12"/>
  <c r="AS10" i="12"/>
  <c r="AU10" i="12"/>
  <c r="AW10" i="12"/>
  <c r="AT46" i="12"/>
  <c r="AS46" i="12"/>
  <c r="AV46" i="12"/>
  <c r="J41" i="10"/>
  <c r="G41" i="10"/>
  <c r="K41" i="10"/>
  <c r="BF20" i="12"/>
  <c r="Q20" i="12"/>
  <c r="AK20" i="12"/>
  <c r="T24" i="10"/>
  <c r="S24" i="10"/>
  <c r="R24" i="10"/>
  <c r="Q24" i="10"/>
  <c r="U24" i="10"/>
  <c r="S19" i="10"/>
  <c r="R19" i="10"/>
  <c r="U19" i="10"/>
  <c r="Q19" i="10"/>
  <c r="T19" i="10"/>
  <c r="BB79" i="12"/>
  <c r="AK79" i="12"/>
  <c r="Q79" i="12"/>
  <c r="BF79" i="12"/>
  <c r="BA53" i="12"/>
  <c r="BD52" i="12"/>
  <c r="L53" i="9"/>
  <c r="P53" i="9"/>
  <c r="AX52" i="12"/>
  <c r="BB52" i="12"/>
  <c r="BE57" i="12"/>
  <c r="BI56" i="12"/>
  <c r="BK56" i="12"/>
  <c r="BH57" i="12"/>
  <c r="AR56" i="12"/>
  <c r="X56" i="12"/>
  <c r="BJ56" i="12"/>
  <c r="R6" i="9"/>
  <c r="S6" i="9"/>
  <c r="W5" i="12"/>
  <c r="B19" i="12"/>
  <c r="G56" i="10"/>
  <c r="S55" i="12"/>
  <c r="AM55" i="12"/>
  <c r="BB20" i="12"/>
  <c r="AX20" i="12"/>
  <c r="BD20" i="12"/>
  <c r="K77" i="10"/>
  <c r="G77" i="10"/>
  <c r="J77" i="10"/>
  <c r="Q43" i="9"/>
  <c r="V42" i="12"/>
  <c r="AO42" i="12"/>
  <c r="BU42" i="12"/>
  <c r="BF50" i="12"/>
  <c r="Q50" i="12"/>
  <c r="AK50" i="12"/>
  <c r="G70" i="10"/>
  <c r="S69" i="12"/>
  <c r="AM69" i="12"/>
  <c r="K35" i="10"/>
  <c r="G35" i="10"/>
  <c r="J35" i="10"/>
  <c r="AS21" i="12"/>
  <c r="AU21" i="12"/>
  <c r="AW21" i="12"/>
  <c r="L48" i="9"/>
  <c r="P48" i="9"/>
  <c r="Q48" i="9"/>
  <c r="V47" i="12"/>
  <c r="AO47" i="12"/>
  <c r="BU47" i="12"/>
  <c r="BC22" i="12"/>
  <c r="BG22" i="12"/>
  <c r="BA22" i="12"/>
  <c r="V19" i="10"/>
  <c r="K11" i="12"/>
  <c r="T11" i="12"/>
  <c r="AN11" i="12"/>
  <c r="BT11" i="12"/>
  <c r="AV51" i="12"/>
  <c r="AS51" i="12"/>
  <c r="AT51" i="12"/>
  <c r="J26" i="10"/>
  <c r="V26" i="8"/>
  <c r="M26" i="8"/>
  <c r="Q26" i="8"/>
  <c r="U26" i="8"/>
  <c r="G26" i="10"/>
  <c r="K26" i="10"/>
  <c r="BU76" i="12"/>
  <c r="I77" i="9"/>
  <c r="L77" i="9"/>
  <c r="P77" i="9"/>
  <c r="Q77" i="9"/>
  <c r="V76" i="12"/>
  <c r="AO76" i="12"/>
  <c r="G19" i="10"/>
  <c r="S18" i="12"/>
  <c r="AM18" i="12"/>
  <c r="V50" i="10"/>
  <c r="AW56" i="12"/>
  <c r="AU56" i="12"/>
  <c r="J25" i="10"/>
  <c r="AM57" i="12"/>
  <c r="S57" i="12"/>
  <c r="BP29" i="12"/>
  <c r="BL29" i="12"/>
  <c r="AK12" i="12"/>
  <c r="Q12" i="12"/>
  <c r="BF12" i="12"/>
  <c r="BU7" i="12"/>
  <c r="AO7" i="12"/>
  <c r="AW60" i="12"/>
  <c r="AU60" i="12"/>
  <c r="AP47" i="12"/>
  <c r="AW20" i="12"/>
  <c r="AU20" i="12"/>
  <c r="G25" i="10"/>
  <c r="K25" i="10"/>
  <c r="B13" i="8"/>
  <c r="BU2" i="12"/>
  <c r="BU1" i="12"/>
  <c r="BU5" i="12"/>
  <c r="AO5" i="12"/>
  <c r="BP21" i="12"/>
  <c r="BL21" i="12"/>
  <c r="O6" i="9"/>
  <c r="AT57" i="12"/>
  <c r="AS57" i="12"/>
  <c r="AV57" i="12"/>
  <c r="AT49" i="12"/>
  <c r="AS49" i="12"/>
  <c r="AV49" i="12"/>
  <c r="AS15" i="12"/>
  <c r="AU15" i="12"/>
  <c r="AW15" i="12"/>
  <c r="N22" i="9"/>
  <c r="K22" i="12"/>
  <c r="T22" i="12"/>
  <c r="AN22" i="12"/>
  <c r="BT22" i="12"/>
  <c r="M57" i="10"/>
  <c r="AP30" i="12"/>
  <c r="BA10" i="12"/>
  <c r="BC10" i="12"/>
  <c r="K10" i="12"/>
  <c r="BG10" i="12"/>
  <c r="G52" i="10"/>
  <c r="S51" i="12"/>
  <c r="AM51" i="12"/>
  <c r="O23" i="9"/>
  <c r="BC16" i="12"/>
  <c r="BG16" i="12"/>
  <c r="N16" i="9"/>
  <c r="K16" i="12"/>
  <c r="BA16" i="12"/>
  <c r="BC6" i="12"/>
  <c r="BA6" i="12"/>
  <c r="N6" i="9"/>
  <c r="K6" i="12"/>
  <c r="BG6" i="12"/>
  <c r="AV75" i="12"/>
  <c r="AS75" i="12"/>
  <c r="AT75" i="12"/>
  <c r="K68" i="10"/>
  <c r="G68" i="10"/>
  <c r="J68" i="10"/>
  <c r="AS16" i="12"/>
  <c r="AU16" i="12"/>
  <c r="AW16" i="12"/>
  <c r="BU49" i="12"/>
  <c r="AO49" i="12"/>
  <c r="N12" i="9"/>
  <c r="O12" i="9"/>
  <c r="AV33" i="12"/>
  <c r="AS33" i="12"/>
  <c r="AT33" i="12"/>
  <c r="V5" i="10"/>
  <c r="G5" i="10"/>
  <c r="AS72" i="12"/>
  <c r="AU72" i="12"/>
  <c r="AW72" i="12"/>
  <c r="J27" i="10"/>
  <c r="G27" i="10"/>
  <c r="K27" i="10"/>
  <c r="T13" i="12"/>
  <c r="AN13" i="12"/>
  <c r="BT13" i="12"/>
  <c r="V17" i="10"/>
  <c r="BU78" i="12"/>
  <c r="M79" i="8"/>
  <c r="Q79" i="8"/>
  <c r="U79" i="8"/>
  <c r="V79" i="8"/>
  <c r="I79" i="9"/>
  <c r="L79" i="9"/>
  <c r="P79" i="9"/>
  <c r="Q79" i="9"/>
  <c r="V78" i="12"/>
  <c r="AO78" i="12"/>
  <c r="BB12" i="12"/>
  <c r="AX12" i="12"/>
  <c r="BD12" i="12"/>
  <c r="BB32" i="12"/>
  <c r="BA33" i="12"/>
  <c r="AX32" i="12"/>
  <c r="BD32" i="12"/>
  <c r="AP50" i="12"/>
  <c r="AP48" i="12"/>
  <c r="AT19" i="12"/>
  <c r="AV19" i="12"/>
  <c r="V57" i="10"/>
  <c r="R9" i="9"/>
  <c r="S9" i="9"/>
  <c r="W8" i="12"/>
  <c r="AW64" i="12"/>
  <c r="AU64" i="12"/>
  <c r="BT17" i="12"/>
  <c r="AN17" i="12"/>
  <c r="T17" i="12"/>
  <c r="BU58" i="12"/>
  <c r="Q59" i="9"/>
  <c r="V58" i="12"/>
  <c r="AO58" i="12"/>
  <c r="BF29" i="12"/>
  <c r="Q29" i="12"/>
  <c r="AK29" i="12"/>
  <c r="BP60" i="12"/>
  <c r="BL60" i="12"/>
  <c r="AW54" i="12"/>
  <c r="AU54" i="12"/>
  <c r="M70" i="8"/>
  <c r="Q70" i="8"/>
  <c r="U70" i="8"/>
  <c r="V70" i="8"/>
  <c r="I70" i="9"/>
  <c r="L70" i="9"/>
  <c r="P70" i="9"/>
  <c r="Q70" i="9"/>
  <c r="V69" i="12"/>
  <c r="AO69" i="12"/>
  <c r="BU69" i="12"/>
  <c r="M16" i="10"/>
  <c r="AP57" i="12"/>
  <c r="AK8" i="12"/>
  <c r="Q8" i="12"/>
  <c r="BF8" i="12"/>
  <c r="AS19" i="12"/>
  <c r="AU19" i="12"/>
  <c r="AW19" i="12"/>
  <c r="AP72" i="12"/>
  <c r="AW37" i="12"/>
  <c r="AU37" i="12"/>
  <c r="BF44" i="12"/>
  <c r="Q44" i="12"/>
  <c r="AK44" i="12"/>
  <c r="AW39" i="12"/>
  <c r="AU39" i="12"/>
  <c r="T19" i="8"/>
  <c r="S19" i="8"/>
  <c r="D18" i="12"/>
  <c r="BA2" i="12"/>
  <c r="BA1" i="12"/>
  <c r="BA5" i="12"/>
  <c r="AM43" i="12"/>
  <c r="S43" i="12"/>
  <c r="BP77" i="12"/>
  <c r="BL77" i="12"/>
  <c r="T16" i="8"/>
  <c r="S16" i="8"/>
  <c r="M63" i="10"/>
  <c r="AW50" i="12"/>
  <c r="AU50" i="12"/>
  <c r="AM50" i="12"/>
  <c r="S50" i="12"/>
  <c r="BU6" i="12"/>
  <c r="AO6" i="12"/>
  <c r="B29" i="12"/>
  <c r="AW5" i="12"/>
  <c r="AP63" i="12"/>
  <c r="BU8" i="12"/>
  <c r="AO8" i="12"/>
  <c r="V37" i="10"/>
  <c r="AV64" i="12"/>
  <c r="AS64" i="12"/>
  <c r="AT64" i="12"/>
  <c r="BP30" i="12"/>
  <c r="BL30" i="12"/>
  <c r="G9" i="10"/>
  <c r="J9" i="10"/>
  <c r="AM32" i="12"/>
  <c r="S32" i="12"/>
  <c r="M35" i="10"/>
  <c r="BW14" i="12"/>
  <c r="BW7" i="12"/>
  <c r="BP2" i="12"/>
  <c r="AM19" i="12"/>
  <c r="S19" i="12"/>
  <c r="BA28" i="12"/>
  <c r="BD27" i="12"/>
  <c r="AX27" i="12"/>
  <c r="BB27" i="12"/>
  <c r="AP19" i="12"/>
  <c r="BU34" i="12"/>
  <c r="AO34" i="12"/>
  <c r="AP79" i="12"/>
  <c r="M56" i="10"/>
  <c r="V33" i="10"/>
  <c r="O18" i="9"/>
  <c r="AW73" i="12"/>
  <c r="AU73" i="12"/>
  <c r="AW62" i="12"/>
  <c r="AU62" i="12"/>
  <c r="AM44" i="12"/>
  <c r="S44" i="12"/>
  <c r="AP18" i="12"/>
  <c r="V56" i="10"/>
  <c r="AP68" i="12"/>
  <c r="W9" i="12"/>
  <c r="S10" i="9"/>
  <c r="R10" i="9"/>
  <c r="AU1" i="12"/>
  <c r="AU2" i="12"/>
  <c r="D17" i="12"/>
  <c r="B15" i="8"/>
  <c r="AT18" i="12"/>
  <c r="AS18" i="12"/>
  <c r="AV18" i="12"/>
  <c r="AP21" i="12"/>
  <c r="G62" i="10"/>
  <c r="S61" i="12"/>
  <c r="AM61" i="12"/>
  <c r="V52" i="10"/>
  <c r="BP16" i="12"/>
  <c r="BL16" i="12"/>
  <c r="AV59" i="12"/>
  <c r="AT59" i="12"/>
  <c r="I57" i="9"/>
  <c r="L57" i="9"/>
  <c r="P57" i="9"/>
  <c r="Q57" i="9"/>
  <c r="V56" i="12"/>
  <c r="AO56" i="12"/>
  <c r="BU56" i="12"/>
  <c r="T21" i="8"/>
  <c r="S21" i="8"/>
  <c r="BD9" i="12"/>
  <c r="I10" i="9"/>
  <c r="L10" i="9"/>
  <c r="P10" i="9"/>
  <c r="AX9" i="12"/>
  <c r="BB9" i="12"/>
  <c r="J11" i="10"/>
  <c r="G11" i="10"/>
  <c r="K11" i="10"/>
  <c r="BB29" i="12"/>
  <c r="BD29" i="12"/>
  <c r="AX29" i="12"/>
  <c r="BA30" i="12"/>
  <c r="BD7" i="12"/>
  <c r="AX7" i="12"/>
  <c r="BB7" i="12"/>
  <c r="BU26" i="12"/>
  <c r="AO26" i="12"/>
  <c r="AM33" i="12"/>
  <c r="S33" i="12"/>
  <c r="AP61" i="12"/>
  <c r="BP6" i="12"/>
  <c r="BL6" i="12"/>
  <c r="M28" i="10"/>
  <c r="M65" i="10"/>
  <c r="BP33" i="12"/>
  <c r="BL33" i="12"/>
  <c r="BP63" i="12"/>
  <c r="BL63" i="12"/>
  <c r="M73" i="8"/>
  <c r="Q73" i="8"/>
  <c r="U73" i="8"/>
  <c r="V73" i="8"/>
  <c r="I73" i="9"/>
  <c r="L73" i="9"/>
  <c r="P73" i="9"/>
  <c r="Q73" i="9"/>
  <c r="V72" i="12"/>
  <c r="AO72" i="12"/>
  <c r="BU72" i="12"/>
  <c r="BC20" i="12"/>
  <c r="BG20" i="12"/>
  <c r="N20" i="9"/>
  <c r="K20" i="12"/>
  <c r="BA20" i="12"/>
  <c r="BP18" i="12"/>
  <c r="BL18" i="12"/>
  <c r="M42" i="10"/>
  <c r="V77" i="8"/>
  <c r="M77" i="8"/>
  <c r="Q77" i="8"/>
  <c r="U77" i="8"/>
  <c r="V77" i="10"/>
  <c r="V74" i="10"/>
  <c r="AP24" i="12"/>
  <c r="O13" i="9"/>
  <c r="AV56" i="12"/>
  <c r="AS56" i="12"/>
  <c r="AT56" i="12"/>
  <c r="BA8" i="12"/>
  <c r="BC8" i="12"/>
  <c r="K8" i="12"/>
  <c r="BG8" i="12"/>
  <c r="V55" i="10"/>
  <c r="BD21" i="12"/>
  <c r="AX21" i="12"/>
  <c r="BB21" i="12"/>
  <c r="BB17" i="12"/>
  <c r="AX17" i="12"/>
  <c r="BD17" i="12"/>
  <c r="AT27" i="12"/>
  <c r="AV27" i="12"/>
  <c r="V11" i="10"/>
  <c r="V58" i="10"/>
  <c r="BP35" i="12"/>
  <c r="BL35" i="12"/>
  <c r="BA69" i="12"/>
  <c r="BD68" i="12"/>
  <c r="AX68" i="12"/>
  <c r="BB68" i="12"/>
  <c r="BI5" i="12"/>
  <c r="BI1" i="12"/>
  <c r="BI2" i="12"/>
  <c r="M43" i="10"/>
  <c r="U74" i="8"/>
  <c r="V74" i="8"/>
  <c r="M74" i="8"/>
  <c r="Q74" i="8"/>
  <c r="M74" i="10"/>
  <c r="AS27" i="12"/>
  <c r="AU27" i="12"/>
  <c r="AW27" i="12"/>
  <c r="J34" i="10"/>
  <c r="G34" i="10"/>
  <c r="K34" i="10"/>
  <c r="AP75" i="12"/>
  <c r="AV52" i="12"/>
  <c r="AT52" i="12"/>
  <c r="BP56" i="12"/>
  <c r="BL56" i="12"/>
  <c r="AM16" i="12"/>
  <c r="S16" i="12"/>
  <c r="AW36" i="12"/>
  <c r="AU36" i="12"/>
  <c r="AP5" i="12"/>
  <c r="K16" i="10"/>
  <c r="G16" i="10"/>
  <c r="J16" i="10"/>
  <c r="AP74" i="12"/>
  <c r="BP70" i="12"/>
  <c r="BL70" i="12"/>
  <c r="AT17" i="12"/>
  <c r="AV17" i="12"/>
  <c r="BP42" i="12"/>
  <c r="BL42" i="12"/>
  <c r="AW66" i="12"/>
  <c r="AU66" i="12"/>
  <c r="J37" i="10"/>
  <c r="K37" i="10"/>
  <c r="N7" i="10"/>
  <c r="L7" i="10"/>
  <c r="N10" i="10"/>
  <c r="L10" i="10"/>
  <c r="J55" i="10"/>
  <c r="V55" i="8"/>
  <c r="M55" i="8"/>
  <c r="Q55" i="8"/>
  <c r="U55" i="8"/>
  <c r="G55" i="10"/>
  <c r="K55" i="10"/>
  <c r="N10" i="9"/>
  <c r="O10" i="9"/>
  <c r="AV24" i="12"/>
  <c r="AS24" i="12"/>
  <c r="AT24" i="12"/>
  <c r="M50" i="10"/>
  <c r="AK41" i="12"/>
  <c r="Q41" i="12"/>
  <c r="BF41" i="12"/>
  <c r="BP10" i="12"/>
  <c r="BL10" i="12"/>
  <c r="K32" i="10"/>
  <c r="G32" i="10"/>
  <c r="J32" i="10"/>
  <c r="BF42" i="12"/>
  <c r="Q42" i="12"/>
  <c r="AK42" i="12"/>
  <c r="M72" i="8"/>
  <c r="Q72" i="8"/>
  <c r="U72" i="8"/>
  <c r="V72" i="8"/>
  <c r="I72" i="9"/>
  <c r="L72" i="9"/>
  <c r="P72" i="9"/>
  <c r="Q72" i="9"/>
  <c r="V71" i="12"/>
  <c r="AO71" i="12"/>
  <c r="BU71" i="12"/>
  <c r="N8" i="9"/>
  <c r="O8" i="9"/>
  <c r="J17" i="10"/>
  <c r="G17" i="10"/>
  <c r="K17" i="10"/>
  <c r="BB26" i="12"/>
  <c r="BA27" i="12"/>
  <c r="AX26" i="12"/>
  <c r="BD26" i="12"/>
  <c r="AS59" i="12"/>
  <c r="AU59" i="12"/>
  <c r="AW59" i="12"/>
  <c r="BH25" i="12"/>
  <c r="AR24" i="12"/>
  <c r="BJ24" i="12"/>
  <c r="BK24" i="12"/>
  <c r="BE25" i="12"/>
  <c r="M25" i="8"/>
  <c r="Q25" i="8"/>
  <c r="U25" i="8"/>
  <c r="V25" i="8"/>
  <c r="I25" i="9"/>
  <c r="L25" i="9"/>
  <c r="P25" i="9"/>
  <c r="Q25" i="9"/>
  <c r="V24" i="12"/>
  <c r="X24" i="12"/>
  <c r="BI24" i="12"/>
  <c r="AK40" i="12"/>
  <c r="Q40" i="12"/>
  <c r="BF40" i="12"/>
  <c r="K58" i="10"/>
  <c r="V58" i="8"/>
  <c r="M58" i="8"/>
  <c r="Q58" i="8"/>
  <c r="U58" i="8"/>
  <c r="G58" i="10"/>
  <c r="J58" i="10"/>
  <c r="BB38" i="12"/>
  <c r="BA39" i="12"/>
  <c r="M39" i="8"/>
  <c r="Q39" i="8"/>
  <c r="U39" i="8"/>
  <c r="V39" i="8"/>
  <c r="I39" i="9"/>
  <c r="L39" i="9"/>
  <c r="P39" i="9"/>
  <c r="AX38" i="12"/>
  <c r="BD38" i="12"/>
  <c r="AK18" i="12"/>
  <c r="Q18" i="12"/>
  <c r="BF18" i="12"/>
  <c r="BP48" i="12"/>
  <c r="BL48" i="12"/>
  <c r="T13" i="10"/>
  <c r="R13" i="10"/>
  <c r="S13" i="10"/>
  <c r="Q13" i="10"/>
  <c r="U13" i="10"/>
  <c r="BP72" i="12"/>
  <c r="BL72" i="12"/>
  <c r="AV37" i="12"/>
  <c r="AS37" i="12"/>
  <c r="AT37" i="12"/>
  <c r="BP65" i="12"/>
  <c r="BL65" i="12"/>
  <c r="AV13" i="12"/>
  <c r="AT13" i="12"/>
  <c r="M44" i="10"/>
  <c r="I51" i="9"/>
  <c r="L51" i="9"/>
  <c r="P51" i="9"/>
  <c r="Q51" i="9"/>
  <c r="V50" i="12"/>
  <c r="AO50" i="12"/>
  <c r="BU50" i="12"/>
  <c r="AM56" i="12"/>
  <c r="S56" i="12"/>
  <c r="V15" i="10"/>
  <c r="AO29" i="12"/>
  <c r="BU29" i="12"/>
  <c r="V13" i="10"/>
  <c r="AS52" i="12"/>
  <c r="AU52" i="12"/>
  <c r="AW52" i="12"/>
  <c r="AV23" i="12"/>
  <c r="AS23" i="12"/>
  <c r="AT23" i="12"/>
  <c r="AP28" i="12"/>
  <c r="AT79" i="12"/>
  <c r="AH79" i="12"/>
  <c r="AQ79" i="12"/>
  <c r="AS79" i="12"/>
  <c r="AV79" i="12"/>
  <c r="BU77" i="12"/>
  <c r="Q78" i="9"/>
  <c r="V77" i="12"/>
  <c r="AO77" i="12"/>
  <c r="BD46" i="12"/>
  <c r="BB46" i="12"/>
  <c r="AX46" i="12"/>
  <c r="BA47" i="12"/>
  <c r="AW42" i="12"/>
  <c r="AU42" i="12"/>
  <c r="M33" i="10"/>
  <c r="AV54" i="12"/>
  <c r="AS54" i="12"/>
  <c r="AT54" i="12"/>
  <c r="BD14" i="12"/>
  <c r="AX14" i="12"/>
  <c r="BB14" i="12"/>
  <c r="W17" i="12"/>
  <c r="R18" i="9"/>
  <c r="S18" i="9"/>
  <c r="AO16" i="12"/>
  <c r="BU16" i="12"/>
  <c r="AM12" i="12"/>
  <c r="S12" i="12"/>
  <c r="AP78" i="12"/>
  <c r="AP40" i="12"/>
  <c r="BU33" i="12"/>
  <c r="AO33" i="12"/>
  <c r="V32" i="10"/>
  <c r="C36" i="12"/>
  <c r="B18" i="9"/>
  <c r="AP53" i="12"/>
  <c r="V9" i="10"/>
  <c r="AW41" i="12"/>
  <c r="AU41" i="12"/>
  <c r="J10" i="10"/>
  <c r="AV62" i="12"/>
  <c r="AS62" i="12"/>
  <c r="AT62" i="12"/>
  <c r="AP22" i="12"/>
  <c r="AP11" i="12"/>
  <c r="AT48" i="12"/>
  <c r="AS48" i="12"/>
  <c r="AV48" i="12"/>
  <c r="AV73" i="12"/>
  <c r="AS73" i="12"/>
  <c r="AT73" i="12"/>
  <c r="M40" i="10"/>
  <c r="AT25" i="12"/>
  <c r="AV25" i="12"/>
  <c r="AT66" i="12"/>
  <c r="AS66" i="12"/>
  <c r="AV66" i="12"/>
  <c r="AK64" i="12"/>
  <c r="Q64" i="12"/>
  <c r="BF64" i="12"/>
  <c r="AR5" i="12"/>
  <c r="BE6" i="12"/>
  <c r="BA43" i="12"/>
  <c r="BB42" i="12"/>
  <c r="M43" i="8"/>
  <c r="Q43" i="8"/>
  <c r="U43" i="8"/>
  <c r="V43" i="8"/>
  <c r="I43" i="9"/>
  <c r="L43" i="9"/>
  <c r="P43" i="9"/>
  <c r="AX42" i="12"/>
  <c r="BD42" i="12"/>
  <c r="N9" i="9"/>
  <c r="O9" i="9"/>
  <c r="BC23" i="12"/>
  <c r="BG23" i="12"/>
  <c r="N23" i="9"/>
  <c r="K23" i="12"/>
  <c r="BA23" i="12"/>
  <c r="BU13" i="12"/>
  <c r="AO13" i="12"/>
  <c r="AK13" i="12"/>
  <c r="Q13" i="12"/>
  <c r="BF13" i="12"/>
  <c r="BF16" i="12"/>
  <c r="Q16" i="12"/>
  <c r="AK16" i="12"/>
  <c r="BA63" i="12"/>
  <c r="BD62" i="12"/>
  <c r="AX62" i="12"/>
  <c r="BB62" i="12"/>
  <c r="M64" i="8"/>
  <c r="Q64" i="8"/>
  <c r="U64" i="8"/>
  <c r="V64" i="8"/>
  <c r="I64" i="9"/>
  <c r="L64" i="9"/>
  <c r="P64" i="9"/>
  <c r="Q64" i="9"/>
  <c r="V63" i="12"/>
  <c r="AO63" i="12"/>
  <c r="BU63" i="12"/>
  <c r="BP27" i="12"/>
  <c r="BL27" i="12"/>
  <c r="AK38" i="12"/>
  <c r="Q38" i="12"/>
  <c r="BF38" i="12"/>
  <c r="BA13" i="12"/>
  <c r="BC13" i="12"/>
  <c r="N13" i="9"/>
  <c r="K13" i="12"/>
  <c r="BG13" i="12"/>
  <c r="V62" i="10"/>
  <c r="B19" i="9"/>
  <c r="C37" i="12"/>
  <c r="J44" i="10"/>
  <c r="G44" i="10"/>
  <c r="K44" i="10"/>
  <c r="BH6" i="12"/>
  <c r="BH1" i="12"/>
  <c r="BH2" i="12"/>
  <c r="T8" i="8"/>
  <c r="S8" i="8"/>
  <c r="BC17" i="12"/>
  <c r="BG17" i="12"/>
  <c r="N17" i="9"/>
  <c r="K17" i="12"/>
  <c r="BA17" i="12"/>
  <c r="J20" i="10"/>
  <c r="G20" i="10"/>
  <c r="K20" i="10"/>
  <c r="AV41" i="12"/>
  <c r="AS41" i="12"/>
  <c r="AT41" i="12"/>
  <c r="M18" i="10"/>
  <c r="BA68" i="12"/>
  <c r="BD67" i="12"/>
  <c r="AX67" i="12"/>
  <c r="BB67" i="12"/>
  <c r="BU30" i="12"/>
  <c r="AO30" i="12"/>
  <c r="BD16" i="12"/>
  <c r="AX16" i="12"/>
  <c r="BB16" i="12"/>
  <c r="M42" i="8"/>
  <c r="Q42" i="8"/>
  <c r="U42" i="8"/>
  <c r="V42" i="8"/>
  <c r="I42" i="9"/>
  <c r="L42" i="9"/>
  <c r="P42" i="9"/>
  <c r="Q42" i="9"/>
  <c r="V41" i="12"/>
  <c r="AO41" i="12"/>
  <c r="BU41" i="12"/>
  <c r="BB58" i="12"/>
  <c r="BD58" i="12"/>
  <c r="M59" i="8"/>
  <c r="Q59" i="8"/>
  <c r="U59" i="8"/>
  <c r="V59" i="8"/>
  <c r="I59" i="9"/>
  <c r="L59" i="9"/>
  <c r="P59" i="9"/>
  <c r="AX58" i="12"/>
  <c r="BA59" i="12"/>
  <c r="AW7" i="12"/>
  <c r="AU7" i="12"/>
  <c r="K33" i="10"/>
  <c r="G33" i="10"/>
  <c r="J33" i="10"/>
  <c r="V45" i="10"/>
  <c r="AS25" i="12"/>
  <c r="AU25" i="12"/>
  <c r="AW25" i="12"/>
  <c r="V16" i="10"/>
  <c r="AM77" i="12"/>
  <c r="S77" i="12"/>
  <c r="B25" i="9"/>
  <c r="BA56" i="12"/>
  <c r="BD55" i="12"/>
  <c r="AX55" i="12"/>
  <c r="BB55" i="12"/>
  <c r="BH14" i="12"/>
  <c r="BK13" i="12"/>
  <c r="BE14" i="12"/>
  <c r="BI13" i="12"/>
  <c r="BJ13" i="12"/>
  <c r="L14" i="9"/>
  <c r="P14" i="9"/>
  <c r="Q14" i="9"/>
  <c r="V13" i="12"/>
  <c r="X13" i="12"/>
  <c r="AR13" i="12"/>
  <c r="L68" i="9"/>
  <c r="P68" i="9"/>
  <c r="Q68" i="9"/>
  <c r="V67" i="12"/>
  <c r="AO67" i="12"/>
  <c r="BU67" i="12"/>
  <c r="AK68" i="12"/>
  <c r="M68" i="8"/>
  <c r="Q68" i="8"/>
  <c r="U68" i="8"/>
  <c r="V68" i="8"/>
  <c r="I68" i="9"/>
  <c r="Q68" i="12"/>
  <c r="BF68" i="12"/>
  <c r="M30" i="10"/>
  <c r="AT53" i="12"/>
  <c r="AV53" i="12"/>
  <c r="AV20" i="12"/>
  <c r="AS20" i="12"/>
  <c r="AT20" i="12"/>
  <c r="BU10" i="12"/>
  <c r="AO10" i="12"/>
  <c r="G10" i="10"/>
  <c r="S9" i="12"/>
  <c r="AM9" i="12"/>
  <c r="BB39" i="12"/>
  <c r="BD39" i="12"/>
  <c r="AX39" i="12"/>
  <c r="BA40" i="12"/>
  <c r="R20" i="10"/>
  <c r="T20" i="10"/>
  <c r="S20" i="10"/>
  <c r="Q20" i="10"/>
  <c r="U20" i="10"/>
  <c r="AP56" i="12"/>
  <c r="BP78" i="12"/>
  <c r="BL78" i="12"/>
  <c r="AP64" i="12"/>
  <c r="AW26" i="12"/>
  <c r="AU26" i="12"/>
  <c r="BU45" i="12"/>
  <c r="AO45" i="12"/>
  <c r="AT44" i="12"/>
  <c r="AV44" i="12"/>
  <c r="K57" i="10"/>
  <c r="V57" i="8"/>
  <c r="M57" i="8"/>
  <c r="Q57" i="8"/>
  <c r="U57" i="8"/>
  <c r="G57" i="10"/>
  <c r="J57" i="10"/>
  <c r="BD22" i="12"/>
  <c r="AX22" i="12"/>
  <c r="BB22" i="12"/>
  <c r="M7" i="10"/>
  <c r="M32" i="10"/>
  <c r="S6" i="10"/>
  <c r="R6" i="10"/>
  <c r="U6" i="10"/>
  <c r="Q6" i="10"/>
  <c r="T6" i="10"/>
  <c r="AP32" i="12"/>
  <c r="AV39" i="12"/>
  <c r="AS39" i="12"/>
  <c r="AT39" i="12"/>
  <c r="BP28" i="12"/>
  <c r="BL28" i="12"/>
  <c r="V41" i="10"/>
  <c r="BE49" i="12"/>
  <c r="BI48" i="12"/>
  <c r="BK48" i="12"/>
  <c r="BJ48" i="12"/>
  <c r="AR48" i="12"/>
  <c r="X48" i="12"/>
  <c r="BH49" i="12"/>
  <c r="BP55" i="12"/>
  <c r="BL55" i="12"/>
  <c r="K13" i="10"/>
  <c r="G13" i="10"/>
  <c r="J13" i="10"/>
  <c r="M10" i="10"/>
  <c r="M49" i="8"/>
  <c r="Q49" i="8"/>
  <c r="U49" i="8"/>
  <c r="V49" i="8"/>
  <c r="I49" i="9"/>
  <c r="L49" i="9"/>
  <c r="P49" i="9"/>
  <c r="Q49" i="9"/>
  <c r="V48" i="12"/>
  <c r="AO48" i="12"/>
  <c r="BU48" i="12"/>
  <c r="BF65" i="12"/>
  <c r="M65" i="8"/>
  <c r="Q65" i="8"/>
  <c r="U65" i="8"/>
  <c r="V65" i="8"/>
  <c r="I65" i="9"/>
  <c r="Q65" i="12"/>
  <c r="AK65" i="12"/>
  <c r="V44" i="10"/>
  <c r="AS13" i="12"/>
  <c r="AU13" i="12"/>
  <c r="AW13" i="12"/>
  <c r="AV36" i="12"/>
  <c r="AS36" i="12"/>
  <c r="AT36" i="12"/>
  <c r="AT60" i="12"/>
  <c r="AS60" i="12"/>
  <c r="AV60" i="12"/>
  <c r="M19" i="10"/>
  <c r="AV31" i="12"/>
  <c r="AT31" i="12"/>
  <c r="BJ16" i="12"/>
  <c r="AR16" i="12"/>
  <c r="BI16" i="12"/>
  <c r="BK16" i="12"/>
  <c r="BE17" i="12"/>
  <c r="M17" i="8"/>
  <c r="Q17" i="8"/>
  <c r="U17" i="8"/>
  <c r="V17" i="8"/>
  <c r="I17" i="9"/>
  <c r="L17" i="9"/>
  <c r="P17" i="9"/>
  <c r="Q17" i="9"/>
  <c r="V16" i="12"/>
  <c r="X16" i="12"/>
  <c r="BH17" i="12"/>
  <c r="BE19" i="12"/>
  <c r="BJ18" i="12"/>
  <c r="BI18" i="12"/>
  <c r="AR18" i="12"/>
  <c r="BK18" i="12"/>
  <c r="Q19" i="9"/>
  <c r="V18" i="12"/>
  <c r="X18" i="12"/>
  <c r="BH19" i="12"/>
  <c r="BK43" i="12"/>
  <c r="AR43" i="12"/>
  <c r="BJ43" i="12"/>
  <c r="BH44" i="12"/>
  <c r="BE44" i="12"/>
  <c r="M44" i="8"/>
  <c r="Q44" i="8"/>
  <c r="U44" i="8"/>
  <c r="V44" i="8"/>
  <c r="I44" i="9"/>
  <c r="L44" i="9"/>
  <c r="P44" i="9"/>
  <c r="Q44" i="9"/>
  <c r="V43" i="12"/>
  <c r="X43" i="12"/>
  <c r="BI43" i="12"/>
  <c r="BA45" i="12"/>
  <c r="BD44" i="12"/>
  <c r="L45" i="9"/>
  <c r="P45" i="9"/>
  <c r="AX44" i="12"/>
  <c r="BB44" i="12"/>
  <c r="BP57" i="12"/>
  <c r="BL57" i="12"/>
  <c r="AK21" i="12"/>
  <c r="Q21" i="12"/>
  <c r="BF21" i="12"/>
  <c r="R21" i="9"/>
  <c r="S21" i="9"/>
  <c r="W20" i="12"/>
  <c r="BH12" i="12"/>
  <c r="BI11" i="12"/>
  <c r="BE12" i="12"/>
  <c r="BK11" i="12"/>
  <c r="BJ11" i="12"/>
  <c r="Q12" i="9"/>
  <c r="V11" i="12"/>
  <c r="X11" i="12"/>
  <c r="AR11" i="12"/>
  <c r="AR10" i="12"/>
  <c r="BK10" i="12"/>
  <c r="BH11" i="12"/>
  <c r="BE11" i="12"/>
  <c r="BI10" i="12"/>
  <c r="I11" i="9"/>
  <c r="L11" i="9"/>
  <c r="P11" i="9"/>
  <c r="Q11" i="9"/>
  <c r="V10" i="12"/>
  <c r="X10" i="12"/>
  <c r="BJ10" i="12"/>
  <c r="AP33" i="12"/>
  <c r="AK48" i="12"/>
  <c r="M48" i="8"/>
  <c r="Q48" i="8"/>
  <c r="U48" i="8"/>
  <c r="V48" i="8"/>
  <c r="I48" i="9"/>
  <c r="Q48" i="12"/>
  <c r="BF48" i="12"/>
  <c r="AS53" i="12"/>
  <c r="AU53" i="12"/>
  <c r="AW53" i="12"/>
  <c r="V51" i="10"/>
  <c r="BG21" i="12"/>
  <c r="BA21" i="12"/>
  <c r="BC21" i="12"/>
  <c r="K51" i="10"/>
  <c r="V51" i="8"/>
  <c r="M51" i="8"/>
  <c r="Q51" i="8"/>
  <c r="U51" i="8"/>
  <c r="G51" i="10"/>
  <c r="J51" i="10"/>
  <c r="AK33" i="12"/>
  <c r="Q33" i="12"/>
  <c r="BF33" i="12"/>
  <c r="V20" i="10"/>
  <c r="BF14" i="12"/>
  <c r="I14" i="9"/>
  <c r="Q14" i="12"/>
  <c r="AK14" i="12"/>
  <c r="AV9" i="12"/>
  <c r="AT9" i="12"/>
  <c r="AP29" i="12"/>
  <c r="BP40" i="12"/>
  <c r="BL40" i="12"/>
  <c r="AP26" i="12"/>
  <c r="AP59" i="12"/>
  <c r="AM17" i="12"/>
  <c r="S17" i="12"/>
  <c r="O21" i="9"/>
  <c r="V7" i="10"/>
  <c r="AM45" i="12"/>
  <c r="S45" i="12"/>
  <c r="BC5" i="12"/>
  <c r="BC1" i="12"/>
  <c r="BC2" i="12"/>
  <c r="D20" i="12"/>
  <c r="AV78" i="12"/>
  <c r="AT78" i="12"/>
  <c r="BT24" i="12"/>
  <c r="AN24" i="12"/>
  <c r="T24" i="12"/>
  <c r="M24" i="10"/>
  <c r="M5" i="10"/>
  <c r="AP34" i="12"/>
  <c r="K45" i="10"/>
  <c r="G45" i="10"/>
  <c r="J45" i="10"/>
  <c r="BD11" i="12"/>
  <c r="I12" i="9"/>
  <c r="L12" i="9"/>
  <c r="P12" i="9"/>
  <c r="AX11" i="12"/>
  <c r="BB11" i="12"/>
  <c r="AP62" i="12"/>
  <c r="AS44" i="12"/>
  <c r="AU44" i="12"/>
  <c r="AW44" i="12"/>
  <c r="AK52" i="12"/>
  <c r="M52" i="8"/>
  <c r="Q52" i="8"/>
  <c r="U52" i="8"/>
  <c r="V52" i="8"/>
  <c r="I52" i="9"/>
  <c r="Q52" i="12"/>
  <c r="BF52" i="12"/>
  <c r="V6" i="10"/>
  <c r="AP44" i="12"/>
  <c r="N21" i="9"/>
  <c r="K21" i="12"/>
  <c r="T21" i="12"/>
  <c r="AN21" i="12"/>
  <c r="BT21" i="12"/>
  <c r="M38" i="10"/>
  <c r="R11" i="9"/>
  <c r="S11" i="9"/>
  <c r="W10" i="12"/>
  <c r="J14" i="10"/>
  <c r="G14" i="10"/>
  <c r="K14" i="10"/>
  <c r="BG24" i="12"/>
  <c r="BC24" i="12"/>
  <c r="N24" i="9"/>
  <c r="K24" i="12"/>
  <c r="BA24" i="12"/>
  <c r="AT61" i="12"/>
  <c r="AV61" i="12"/>
  <c r="S14" i="8"/>
  <c r="T14" i="8"/>
  <c r="BP14" i="12"/>
  <c r="BL14" i="12"/>
  <c r="AP77" i="12"/>
  <c r="L6" i="10"/>
  <c r="N6" i="10"/>
  <c r="AO17" i="12"/>
  <c r="BU17" i="12"/>
  <c r="M67" i="8"/>
  <c r="Q67" i="8"/>
  <c r="U67" i="8"/>
  <c r="V67" i="8"/>
  <c r="I67" i="9"/>
  <c r="L67" i="9"/>
  <c r="P67" i="9"/>
  <c r="Q67" i="9"/>
  <c r="V66" i="12"/>
  <c r="AO66" i="12"/>
  <c r="BU66" i="12"/>
  <c r="V14" i="8"/>
  <c r="M14" i="8"/>
  <c r="Q14" i="8"/>
  <c r="U14" i="8"/>
  <c r="V14" i="10"/>
  <c r="S16" i="10"/>
  <c r="T16" i="10"/>
  <c r="U16" i="10"/>
  <c r="Q16" i="10"/>
  <c r="R16" i="10"/>
  <c r="B27" i="9"/>
  <c r="B30" i="9"/>
  <c r="B20" i="9"/>
  <c r="N5" i="9"/>
  <c r="K5" i="12"/>
  <c r="T5" i="12"/>
  <c r="AN5" i="12"/>
  <c r="BT5" i="12"/>
  <c r="BT1" i="12"/>
  <c r="BT2" i="12"/>
  <c r="BW12" i="12"/>
  <c r="BW13" i="12"/>
  <c r="AS61" i="12"/>
  <c r="AU61" i="12"/>
  <c r="AW61" i="12"/>
  <c r="BP46" i="12"/>
  <c r="BL46" i="12"/>
  <c r="V18" i="10"/>
  <c r="BF22" i="12"/>
  <c r="Q22" i="12"/>
  <c r="AK22" i="12"/>
  <c r="AT42" i="12"/>
  <c r="AS42" i="12"/>
  <c r="AV42" i="12"/>
  <c r="AO22" i="12"/>
  <c r="BU22" i="12"/>
  <c r="M69" i="8"/>
  <c r="Q69" i="8"/>
  <c r="U69" i="8"/>
  <c r="V69" i="8"/>
  <c r="I69" i="9"/>
  <c r="L69" i="9"/>
  <c r="P69" i="9"/>
  <c r="Q69" i="9"/>
  <c r="V68" i="12"/>
  <c r="AO68" i="12"/>
  <c r="BU68" i="12"/>
  <c r="BF62" i="12"/>
  <c r="Q62" i="12"/>
  <c r="AK62" i="12"/>
  <c r="AP39" i="12"/>
  <c r="V12" i="10"/>
  <c r="AK7" i="12"/>
  <c r="Q7" i="12"/>
  <c r="BF7" i="12"/>
  <c r="AO27" i="12"/>
  <c r="BU27" i="12"/>
  <c r="BP69" i="12"/>
  <c r="BL69" i="12"/>
  <c r="V8" i="10"/>
  <c r="AK27" i="12"/>
  <c r="Q27" i="12"/>
  <c r="BF27" i="12"/>
  <c r="M22" i="10"/>
  <c r="AO62" i="12"/>
  <c r="BU62" i="12"/>
  <c r="BA18" i="12"/>
  <c r="BG18" i="12"/>
  <c r="BC18" i="12"/>
  <c r="AK34" i="12"/>
  <c r="Q34" i="12"/>
  <c r="BF34" i="12"/>
  <c r="V23" i="10"/>
  <c r="V46" i="10"/>
  <c r="BB15" i="12"/>
  <c r="AX15" i="12"/>
  <c r="BD15" i="12"/>
  <c r="BB23" i="12"/>
  <c r="AX23" i="12"/>
  <c r="BD23" i="12"/>
  <c r="AK30" i="12"/>
  <c r="Q30" i="12"/>
  <c r="BF30" i="12"/>
  <c r="G37" i="10"/>
  <c r="S36" i="12"/>
  <c r="AM36" i="12"/>
  <c r="BP17" i="12"/>
  <c r="BL17" i="12"/>
  <c r="BD6" i="12"/>
  <c r="AX6" i="12"/>
  <c r="BB6" i="12"/>
  <c r="AO23" i="12"/>
  <c r="BU23" i="12"/>
  <c r="AO46" i="12"/>
  <c r="BU46" i="12"/>
  <c r="AW40" i="12"/>
  <c r="AU40" i="12"/>
  <c r="B31" i="8"/>
  <c r="B32" i="8"/>
  <c r="S10" i="8"/>
  <c r="T10" i="8"/>
  <c r="AH72" i="12"/>
  <c r="AQ72" i="12"/>
  <c r="AH73" i="12"/>
  <c r="AQ73" i="12"/>
  <c r="AH74" i="12"/>
  <c r="AQ74" i="12"/>
  <c r="AH75" i="12"/>
  <c r="AQ75" i="12"/>
  <c r="AH76" i="12"/>
  <c r="AQ76" i="12"/>
  <c r="AH77" i="12"/>
  <c r="AQ77" i="12"/>
  <c r="AH78" i="12"/>
  <c r="AQ78" i="12"/>
  <c r="AS78" i="12"/>
  <c r="AU78" i="12"/>
  <c r="AW78" i="12"/>
  <c r="AS31" i="12"/>
  <c r="AU31" i="12"/>
  <c r="AW31" i="12"/>
  <c r="U11" i="8"/>
  <c r="V11" i="8"/>
  <c r="M11" i="8"/>
  <c r="Q11" i="8"/>
  <c r="M11" i="10"/>
  <c r="AR61" i="12"/>
  <c r="BE62" i="12"/>
  <c r="BK61" i="12"/>
  <c r="BJ61" i="12"/>
  <c r="BI61" i="12"/>
  <c r="M62" i="8"/>
  <c r="Q62" i="8"/>
  <c r="U62" i="8"/>
  <c r="V62" i="8"/>
  <c r="I62" i="9"/>
  <c r="L62" i="9"/>
  <c r="P62" i="9"/>
  <c r="Q62" i="9"/>
  <c r="V61" i="12"/>
  <c r="X61" i="12"/>
  <c r="BH62" i="12"/>
  <c r="BE46" i="12"/>
  <c r="BH46" i="12"/>
  <c r="BK45" i="12"/>
  <c r="BI45" i="12"/>
  <c r="AR45" i="12"/>
  <c r="I46" i="9"/>
  <c r="L46" i="9"/>
  <c r="P46" i="9"/>
  <c r="Q46" i="9"/>
  <c r="V45" i="12"/>
  <c r="X45" i="12"/>
  <c r="BJ45" i="12"/>
  <c r="BE27" i="12"/>
  <c r="BK26" i="12"/>
  <c r="AR26" i="12"/>
  <c r="BJ26" i="12"/>
  <c r="BI26" i="12"/>
  <c r="M27" i="8"/>
  <c r="Q27" i="8"/>
  <c r="U27" i="8"/>
  <c r="V27" i="8"/>
  <c r="I27" i="9"/>
  <c r="L27" i="9"/>
  <c r="P27" i="9"/>
  <c r="Q27" i="9"/>
  <c r="V26" i="12"/>
  <c r="X26" i="12"/>
  <c r="BH27" i="12"/>
  <c r="BI6" i="12"/>
  <c r="BJ6" i="12"/>
  <c r="BH7" i="12"/>
  <c r="AR6" i="12"/>
  <c r="BE7" i="12"/>
  <c r="I7" i="9"/>
  <c r="L7" i="9"/>
  <c r="P7" i="9"/>
  <c r="Q7" i="9"/>
  <c r="V6" i="12"/>
  <c r="X6" i="12"/>
  <c r="BK6" i="12"/>
  <c r="BF76" i="12"/>
  <c r="M76" i="8"/>
  <c r="Q76" i="8"/>
  <c r="U76" i="8"/>
  <c r="V76" i="8"/>
  <c r="I76" i="9"/>
  <c r="Q76" i="12"/>
  <c r="AK76" i="12"/>
  <c r="AP31" i="12"/>
  <c r="V78" i="10"/>
  <c r="BA38" i="12"/>
  <c r="BD37" i="12"/>
  <c r="M38" i="8"/>
  <c r="Q38" i="8"/>
  <c r="U38" i="8"/>
  <c r="V38" i="8"/>
  <c r="I38" i="9"/>
  <c r="L38" i="9"/>
  <c r="P38" i="9"/>
  <c r="AX37" i="12"/>
  <c r="BB37" i="12"/>
  <c r="L8" i="10"/>
  <c r="N8" i="10"/>
  <c r="V24" i="10"/>
  <c r="AT71" i="12"/>
  <c r="AV71" i="12"/>
  <c r="BJ20" i="12"/>
  <c r="BI20" i="12"/>
  <c r="BE21" i="12"/>
  <c r="BH21" i="12"/>
  <c r="BK20" i="12"/>
  <c r="M21" i="8"/>
  <c r="Q21" i="8"/>
  <c r="U21" i="8"/>
  <c r="V21" i="8"/>
  <c r="I21" i="9"/>
  <c r="L21" i="9"/>
  <c r="P21" i="9"/>
  <c r="Q21" i="9"/>
  <c r="V20" i="12"/>
  <c r="X20" i="12"/>
  <c r="AR20" i="12"/>
  <c r="J7" i="10"/>
  <c r="J78" i="10"/>
  <c r="G78" i="10"/>
  <c r="K78" i="10"/>
  <c r="BI21" i="12"/>
  <c r="AR21" i="12"/>
  <c r="BH22" i="12"/>
  <c r="BE22" i="12"/>
  <c r="BK21" i="12"/>
  <c r="M22" i="8"/>
  <c r="Q22" i="8"/>
  <c r="U22" i="8"/>
  <c r="V22" i="8"/>
  <c r="I22" i="9"/>
  <c r="L22" i="9"/>
  <c r="P22" i="9"/>
  <c r="Q22" i="9"/>
  <c r="V21" i="12"/>
  <c r="X21" i="12"/>
  <c r="BJ21" i="12"/>
  <c r="BB77" i="12"/>
  <c r="BA78" i="12"/>
  <c r="M78" i="8"/>
  <c r="Q78" i="8"/>
  <c r="U78" i="8"/>
  <c r="V78" i="8"/>
  <c r="I78" i="9"/>
  <c r="L78" i="9"/>
  <c r="P78" i="9"/>
  <c r="AX77" i="12"/>
  <c r="BD77" i="12"/>
  <c r="AV50" i="12"/>
  <c r="AS50" i="12"/>
  <c r="AT50" i="12"/>
  <c r="U9" i="10"/>
  <c r="R9" i="10"/>
  <c r="S9" i="10"/>
  <c r="Q9" i="10"/>
  <c r="T9" i="10"/>
  <c r="BH30" i="12"/>
  <c r="BK29" i="12"/>
  <c r="AR29" i="12"/>
  <c r="BE30" i="12"/>
  <c r="BI29" i="12"/>
  <c r="M30" i="8"/>
  <c r="Q30" i="8"/>
  <c r="U30" i="8"/>
  <c r="V30" i="8"/>
  <c r="I30" i="9"/>
  <c r="L30" i="9"/>
  <c r="P30" i="9"/>
  <c r="Q30" i="9"/>
  <c r="V29" i="12"/>
  <c r="X29" i="12"/>
  <c r="BJ29" i="12"/>
  <c r="AP41" i="12"/>
  <c r="AW29" i="12"/>
  <c r="AU29" i="12"/>
  <c r="B18" i="12"/>
  <c r="B17" i="12"/>
  <c r="B14" i="8"/>
  <c r="BE56" i="12"/>
  <c r="BI55" i="12"/>
  <c r="BH56" i="12"/>
  <c r="BK55" i="12"/>
  <c r="BJ55" i="12"/>
  <c r="L56" i="9"/>
  <c r="P56" i="9"/>
  <c r="Q56" i="9"/>
  <c r="V55" i="12"/>
  <c r="X55" i="12"/>
  <c r="AR55" i="12"/>
  <c r="AS9" i="12"/>
  <c r="AU9" i="12"/>
  <c r="AW9" i="12"/>
  <c r="AV29" i="12"/>
  <c r="AS29" i="12"/>
  <c r="AT29" i="12"/>
  <c r="AS17" i="12"/>
  <c r="AU17" i="12"/>
  <c r="AW17" i="12"/>
  <c r="BL5" i="12"/>
  <c r="BP5" i="12"/>
  <c r="BP1" i="12"/>
  <c r="BW6" i="12"/>
  <c r="M6" i="8"/>
  <c r="Q6" i="8"/>
  <c r="U6" i="8"/>
  <c r="V6" i="8"/>
  <c r="I6" i="9"/>
  <c r="L6" i="9"/>
  <c r="P6" i="9"/>
  <c r="Q6" i="9"/>
  <c r="V5" i="12"/>
  <c r="X5" i="12"/>
  <c r="BE5" i="12"/>
  <c r="BE1" i="12"/>
  <c r="BE2" i="12"/>
  <c r="AV7" i="12"/>
  <c r="AS7" i="12"/>
  <c r="AT7" i="12"/>
  <c r="M8" i="10"/>
  <c r="AP37" i="12"/>
  <c r="AK35" i="12"/>
  <c r="Q35" i="12"/>
  <c r="BF35" i="12"/>
  <c r="AK45" i="12"/>
  <c r="M45" i="8"/>
  <c r="Q45" i="8"/>
  <c r="U45" i="8"/>
  <c r="V45" i="8"/>
  <c r="I45" i="9"/>
  <c r="Q45" i="12"/>
  <c r="BF45" i="12"/>
  <c r="BK17" i="12"/>
  <c r="BE18" i="12"/>
  <c r="AR17" i="12"/>
  <c r="BI17" i="12"/>
  <c r="BH18" i="12"/>
  <c r="I18" i="9"/>
  <c r="L18" i="9"/>
  <c r="P18" i="9"/>
  <c r="Q18" i="9"/>
  <c r="V17" i="12"/>
  <c r="X17" i="12"/>
  <c r="BJ17" i="12"/>
  <c r="AR34" i="12"/>
  <c r="BE35" i="12"/>
  <c r="BJ34" i="12"/>
  <c r="BH35" i="12"/>
  <c r="BI34" i="12"/>
  <c r="Q35" i="9"/>
  <c r="V34" i="12"/>
  <c r="X34" i="12"/>
  <c r="BK34" i="12"/>
  <c r="AV40" i="12"/>
  <c r="AS40" i="12"/>
  <c r="AT40" i="12"/>
  <c r="BB34" i="12"/>
  <c r="BD34" i="12"/>
  <c r="M35" i="8"/>
  <c r="Q35" i="8"/>
  <c r="U35" i="8"/>
  <c r="V35" i="8"/>
  <c r="I35" i="9"/>
  <c r="L35" i="9"/>
  <c r="P35" i="9"/>
  <c r="AX34" i="12"/>
  <c r="BA35" i="12"/>
  <c r="M40" i="8"/>
  <c r="Q40" i="8"/>
  <c r="U40" i="8"/>
  <c r="V40" i="8"/>
  <c r="I40" i="9"/>
  <c r="L40" i="9"/>
  <c r="P40" i="9"/>
  <c r="Q40" i="9"/>
  <c r="V39" i="12"/>
  <c r="AO39" i="12"/>
  <c r="BU39" i="12"/>
  <c r="AS5" i="12"/>
  <c r="AU5" i="12"/>
  <c r="B30" i="12"/>
  <c r="AT26" i="12"/>
  <c r="AS26" i="12"/>
  <c r="AV26" i="12"/>
  <c r="BL59" i="12"/>
  <c r="BP59" i="12"/>
  <c r="BF53" i="12"/>
  <c r="M53" i="8"/>
  <c r="Q53" i="8"/>
  <c r="U53" i="8"/>
  <c r="V53" i="8"/>
  <c r="I53" i="9"/>
  <c r="Q53" i="12"/>
  <c r="AK53" i="12"/>
  <c r="AR22" i="12"/>
  <c r="BK22" i="12"/>
  <c r="BE23" i="12"/>
  <c r="BH23" i="12"/>
  <c r="BI22" i="12"/>
  <c r="I23" i="9"/>
  <c r="L23" i="9"/>
  <c r="P23" i="9"/>
  <c r="Q23" i="9"/>
  <c r="V22" i="12"/>
  <c r="X22" i="12"/>
  <c r="BJ22" i="12"/>
  <c r="U8" i="10"/>
  <c r="R8" i="10"/>
  <c r="T8" i="10"/>
  <c r="Q8" i="10"/>
  <c r="S8" i="10"/>
  <c r="S12" i="10"/>
  <c r="T12" i="10"/>
  <c r="R12" i="10"/>
  <c r="V12" i="8"/>
  <c r="M12" i="8"/>
  <c r="Q12" i="8"/>
  <c r="U12" i="8"/>
  <c r="Q12" i="10"/>
  <c r="U12" i="10"/>
  <c r="BE24" i="12"/>
  <c r="BH24" i="12"/>
  <c r="BK23" i="12"/>
  <c r="BJ23" i="12"/>
  <c r="AR23" i="12"/>
  <c r="L24" i="9"/>
  <c r="P24" i="9"/>
  <c r="Q24" i="9"/>
  <c r="V23" i="12"/>
  <c r="X23" i="12"/>
  <c r="BI23" i="12"/>
  <c r="BB18" i="12"/>
  <c r="M19" i="8"/>
  <c r="Q19" i="8"/>
  <c r="U19" i="8"/>
  <c r="V19" i="8"/>
  <c r="I19" i="9"/>
  <c r="L19" i="9"/>
  <c r="P19" i="9"/>
  <c r="AX18" i="12"/>
  <c r="BD18" i="12"/>
  <c r="BE31" i="12"/>
  <c r="AR30" i="12"/>
  <c r="BI30" i="12"/>
  <c r="BK30" i="12"/>
  <c r="BH31" i="12"/>
  <c r="M31" i="8"/>
  <c r="Q31" i="8"/>
  <c r="U31" i="8"/>
  <c r="V31" i="8"/>
  <c r="I31" i="9"/>
  <c r="L31" i="9"/>
  <c r="P31" i="9"/>
  <c r="Q31" i="9"/>
  <c r="V30" i="12"/>
  <c r="X30" i="12"/>
  <c r="BJ30" i="12"/>
  <c r="BH32" i="12"/>
  <c r="BI31" i="12"/>
  <c r="AR31" i="12"/>
  <c r="BJ31" i="12"/>
  <c r="BE32" i="12"/>
  <c r="M32" i="8"/>
  <c r="Q32" i="8"/>
  <c r="U32" i="8"/>
  <c r="V32" i="8"/>
  <c r="I32" i="9"/>
  <c r="L32" i="9"/>
  <c r="P32" i="9"/>
  <c r="Q32" i="9"/>
  <c r="V31" i="12"/>
  <c r="X31" i="12"/>
  <c r="BK31" i="12"/>
  <c r="AR15" i="12"/>
  <c r="BJ15" i="12"/>
  <c r="BK15" i="12"/>
  <c r="BH16" i="12"/>
  <c r="BE16" i="12"/>
  <c r="M16" i="8"/>
  <c r="Q16" i="8"/>
  <c r="U16" i="8"/>
  <c r="V16" i="8"/>
  <c r="I16" i="9"/>
  <c r="L16" i="9"/>
  <c r="P16" i="9"/>
  <c r="Q16" i="9"/>
  <c r="V15" i="12"/>
  <c r="X15" i="12"/>
  <c r="BI15" i="12"/>
  <c r="BE13" i="12"/>
  <c r="BK12" i="12"/>
  <c r="BH13" i="12"/>
  <c r="AR12" i="12"/>
  <c r="BI12" i="12"/>
  <c r="M13" i="8"/>
  <c r="Q13" i="8"/>
  <c r="U13" i="8"/>
  <c r="V13" i="8"/>
  <c r="I13" i="9"/>
  <c r="L13" i="9"/>
  <c r="P13" i="9"/>
  <c r="Q13" i="9"/>
  <c r="V12" i="12"/>
  <c r="X12" i="12"/>
  <c r="BJ12" i="12"/>
  <c r="BK8" i="12"/>
  <c r="BE9" i="12"/>
  <c r="BJ8" i="12"/>
  <c r="AR8" i="12"/>
  <c r="BH9" i="12"/>
  <c r="M9" i="8"/>
  <c r="Q9" i="8"/>
  <c r="U9" i="8"/>
  <c r="V9" i="8"/>
  <c r="I9" i="9"/>
  <c r="L9" i="9"/>
  <c r="P9" i="9"/>
  <c r="Q9" i="9"/>
  <c r="V8" i="12"/>
  <c r="X8" i="12"/>
  <c r="BI8" i="12"/>
  <c r="BK32" i="12"/>
  <c r="BH33" i="12"/>
  <c r="BI32" i="12"/>
  <c r="BJ32" i="12"/>
  <c r="AR32" i="12"/>
  <c r="M33" i="8"/>
  <c r="Q33" i="8"/>
  <c r="U33" i="8"/>
  <c r="V33" i="8"/>
  <c r="I33" i="9"/>
  <c r="L33" i="9"/>
  <c r="P33" i="9"/>
  <c r="Q33" i="9"/>
  <c r="V32" i="12"/>
  <c r="X32" i="12"/>
  <c r="BE33" i="12"/>
  <c r="AR27" i="12"/>
  <c r="BH28" i="12"/>
  <c r="BI27" i="12"/>
  <c r="BE28" i="12"/>
  <c r="BJ27" i="12"/>
  <c r="M28" i="8"/>
  <c r="Q28" i="8"/>
  <c r="U28" i="8"/>
  <c r="V28" i="8"/>
  <c r="I28" i="9"/>
  <c r="L28" i="9"/>
  <c r="P28" i="9"/>
  <c r="Q28" i="9"/>
  <c r="V27" i="12"/>
  <c r="X27" i="12"/>
  <c r="BK27" i="12"/>
  <c r="BK14" i="12"/>
  <c r="BI14" i="12"/>
  <c r="AR14" i="12"/>
  <c r="BH15" i="12"/>
  <c r="BE15" i="12"/>
  <c r="M15" i="8"/>
  <c r="Q15" i="8"/>
  <c r="U15" i="8"/>
  <c r="V15" i="8"/>
  <c r="I15" i="9"/>
  <c r="L15" i="9"/>
  <c r="P15" i="9"/>
  <c r="Q15" i="9"/>
  <c r="V14" i="12"/>
  <c r="X14" i="12"/>
  <c r="BJ14" i="12"/>
  <c r="BI62" i="12"/>
  <c r="BH63" i="12"/>
  <c r="AR62" i="12"/>
  <c r="BK62" i="12"/>
  <c r="BJ62" i="12"/>
  <c r="M63" i="8"/>
  <c r="Q63" i="8"/>
  <c r="U63" i="8"/>
  <c r="V63" i="8"/>
  <c r="I63" i="9"/>
  <c r="L63" i="9"/>
  <c r="P63" i="9"/>
  <c r="Q63" i="9"/>
  <c r="V62" i="12"/>
  <c r="X62" i="12"/>
  <c r="BE63" i="12"/>
  <c r="BH20" i="12"/>
  <c r="BJ19" i="12"/>
  <c r="BE20" i="12"/>
  <c r="BK19" i="12"/>
  <c r="BI19" i="12"/>
  <c r="M20" i="8"/>
  <c r="Q20" i="8"/>
  <c r="U20" i="8"/>
  <c r="V20" i="8"/>
  <c r="I20" i="9"/>
  <c r="L20" i="9"/>
  <c r="P20" i="9"/>
  <c r="Q20" i="9"/>
  <c r="V19" i="12"/>
  <c r="X19" i="12"/>
  <c r="AR19" i="12"/>
  <c r="J18" i="10"/>
  <c r="V18" i="8"/>
  <c r="M18" i="8"/>
  <c r="Q18" i="8"/>
  <c r="U18" i="8"/>
  <c r="G18" i="10"/>
  <c r="K18" i="10"/>
  <c r="V34" i="10"/>
  <c r="BK36" i="12"/>
  <c r="AR36" i="12"/>
  <c r="BH37" i="12"/>
  <c r="BE37" i="12"/>
  <c r="BJ36" i="12"/>
  <c r="M37" i="8"/>
  <c r="Q37" i="8"/>
  <c r="U37" i="8"/>
  <c r="V37" i="8"/>
  <c r="I37" i="9"/>
  <c r="L37" i="9"/>
  <c r="P37" i="9"/>
  <c r="Q37" i="9"/>
  <c r="V36" i="12"/>
  <c r="X36" i="12"/>
  <c r="BI36" i="12"/>
  <c r="BJ46" i="12"/>
  <c r="BK46" i="12"/>
  <c r="BH47" i="12"/>
  <c r="BI46" i="12"/>
  <c r="BE47" i="12"/>
  <c r="M47" i="8"/>
  <c r="Q47" i="8"/>
  <c r="U47" i="8"/>
  <c r="V47" i="8"/>
  <c r="I47" i="9"/>
  <c r="L47" i="9"/>
  <c r="P47" i="9"/>
  <c r="Q47" i="9"/>
  <c r="V46" i="12"/>
  <c r="X46" i="12"/>
  <c r="AR46" i="12"/>
  <c r="BL26" i="12"/>
  <c r="BP26" i="12"/>
  <c r="BF24" i="12"/>
  <c r="I24" i="9"/>
  <c r="Q24" i="12"/>
  <c r="AK24" i="12"/>
  <c r="B27" i="8"/>
  <c r="B22" i="8"/>
  <c r="B21" i="8"/>
  <c r="B36" i="12"/>
  <c r="BL25" i="12"/>
  <c r="BP25" i="12"/>
  <c r="V24" i="8"/>
  <c r="M24" i="8"/>
  <c r="Q24" i="8"/>
  <c r="U24" i="8"/>
  <c r="L24" i="10"/>
  <c r="N24" i="10"/>
  <c r="Q5" i="12"/>
  <c r="AK5" i="12"/>
  <c r="AQ5" i="12"/>
  <c r="AH6" i="12"/>
  <c r="AQ6" i="12"/>
  <c r="AH7" i="12"/>
  <c r="AQ7" i="12"/>
  <c r="AH8" i="12"/>
  <c r="AQ8" i="12"/>
  <c r="AH9" i="12"/>
  <c r="AQ9" i="12"/>
  <c r="AH10" i="12"/>
  <c r="AQ10" i="12"/>
  <c r="AH11" i="12"/>
  <c r="AQ11" i="12"/>
  <c r="AH12" i="12"/>
  <c r="AQ12" i="12"/>
  <c r="AH13" i="12"/>
  <c r="AQ13" i="12"/>
  <c r="AH14" i="12"/>
  <c r="AQ14" i="12"/>
  <c r="AH15" i="12"/>
  <c r="AQ15" i="12"/>
  <c r="AH16" i="12"/>
  <c r="AQ16" i="12"/>
  <c r="AH17" i="12"/>
  <c r="AQ17" i="12"/>
  <c r="AH18" i="12"/>
  <c r="AQ18" i="12"/>
  <c r="AH19" i="12"/>
  <c r="AQ19" i="12"/>
  <c r="AH20" i="12"/>
  <c r="AQ20" i="12"/>
  <c r="AH21" i="12"/>
  <c r="AQ21" i="12"/>
  <c r="AH22" i="12"/>
  <c r="AQ22" i="12"/>
  <c r="AH23" i="12"/>
  <c r="AQ23" i="12"/>
  <c r="AH24" i="12"/>
  <c r="AQ24" i="12"/>
  <c r="AH25" i="12"/>
  <c r="AQ25" i="12"/>
  <c r="AH26" i="12"/>
  <c r="AQ26" i="12"/>
  <c r="AH27" i="12"/>
  <c r="AQ27" i="12"/>
  <c r="AH28" i="12"/>
  <c r="AQ28" i="12"/>
  <c r="AH29" i="12"/>
  <c r="AQ29" i="12"/>
  <c r="AH30" i="12"/>
  <c r="AQ30" i="12"/>
  <c r="AH31" i="12"/>
  <c r="AQ31" i="12"/>
  <c r="AH32" i="12"/>
  <c r="AQ32" i="12"/>
  <c r="AH33" i="12"/>
  <c r="AQ33" i="12"/>
  <c r="AH34" i="12"/>
  <c r="AQ34" i="12"/>
  <c r="AH35" i="12"/>
  <c r="AQ35" i="12"/>
  <c r="AH36" i="12"/>
  <c r="AQ36" i="12"/>
  <c r="AH37" i="12"/>
  <c r="AQ37" i="12"/>
  <c r="AH38" i="12"/>
  <c r="AQ38" i="12"/>
  <c r="AH39" i="12"/>
  <c r="AQ39" i="12"/>
  <c r="AH40" i="12"/>
  <c r="AQ40" i="12"/>
  <c r="AH41" i="12"/>
  <c r="AQ41" i="12"/>
  <c r="AH42" i="12"/>
  <c r="AQ42" i="12"/>
  <c r="AH43" i="12"/>
  <c r="AQ43" i="12"/>
  <c r="AH44" i="12"/>
  <c r="AQ44" i="12"/>
  <c r="AH45" i="12"/>
  <c r="AQ45" i="12"/>
  <c r="AH46" i="12"/>
  <c r="AQ46" i="12"/>
  <c r="AH47" i="12"/>
  <c r="AQ47" i="12"/>
  <c r="AH48" i="12"/>
  <c r="AQ48" i="12"/>
  <c r="AH49" i="12"/>
  <c r="AQ49" i="12"/>
  <c r="AH50" i="12"/>
  <c r="AQ50" i="12"/>
  <c r="AH51" i="12"/>
  <c r="AQ51" i="12"/>
  <c r="AH52" i="12"/>
  <c r="AQ52" i="12"/>
  <c r="AH53" i="12"/>
  <c r="AQ53" i="12"/>
  <c r="AH54" i="12"/>
  <c r="AQ54" i="12"/>
  <c r="AH55" i="12"/>
  <c r="AQ55" i="12"/>
  <c r="AH56" i="12"/>
  <c r="AQ56" i="12"/>
  <c r="AH57" i="12"/>
  <c r="AQ57" i="12"/>
  <c r="AH58" i="12"/>
  <c r="AQ58" i="12"/>
  <c r="AH59" i="12"/>
  <c r="AQ59" i="12"/>
  <c r="AH60" i="12"/>
  <c r="AQ60" i="12"/>
  <c r="AH61" i="12"/>
  <c r="AQ61" i="12"/>
  <c r="AH62" i="12"/>
  <c r="AQ62" i="12"/>
  <c r="AH63" i="12"/>
  <c r="AQ63" i="12"/>
  <c r="AH64" i="12"/>
  <c r="AQ64" i="12"/>
  <c r="AH65" i="12"/>
  <c r="AQ65" i="12"/>
  <c r="AH66" i="12"/>
  <c r="AQ66" i="12"/>
  <c r="AH67" i="12"/>
  <c r="AQ67" i="12"/>
  <c r="AH68" i="12"/>
  <c r="AQ68" i="12"/>
  <c r="AH69" i="12"/>
  <c r="AQ69" i="12"/>
  <c r="AH70" i="12"/>
  <c r="AQ70" i="12"/>
  <c r="AH71" i="12"/>
  <c r="AQ71" i="12"/>
  <c r="AS71" i="12"/>
  <c r="AU71" i="12"/>
  <c r="AW71" i="12"/>
  <c r="N18" i="9"/>
  <c r="K18" i="12"/>
  <c r="T18" i="12"/>
  <c r="AN18" i="12"/>
  <c r="BT18" i="12"/>
  <c r="BJ7" i="12"/>
  <c r="BI7" i="12"/>
  <c r="BK7" i="12"/>
  <c r="AR7" i="12"/>
  <c r="BH8" i="12"/>
  <c r="M8" i="8"/>
  <c r="Q8" i="8"/>
  <c r="U8" i="8"/>
  <c r="V8" i="8"/>
  <c r="I8" i="9"/>
  <c r="L8" i="9"/>
  <c r="P8" i="9"/>
  <c r="Q8" i="9"/>
  <c r="V7" i="12"/>
  <c r="X7" i="12"/>
  <c r="BE8" i="12"/>
  <c r="BK40" i="12"/>
  <c r="BI40" i="12"/>
  <c r="BE41" i="12"/>
  <c r="AR40" i="12"/>
  <c r="BJ40" i="12"/>
  <c r="M41" i="8"/>
  <c r="Q41" i="8"/>
  <c r="U41" i="8"/>
  <c r="V41" i="8"/>
  <c r="I41" i="9"/>
  <c r="L41" i="9"/>
  <c r="P41" i="9"/>
  <c r="Q41" i="9"/>
  <c r="V40" i="12"/>
  <c r="X40" i="12"/>
  <c r="BH41" i="12"/>
  <c r="BH34" i="12"/>
  <c r="BI33" i="12"/>
  <c r="BE34" i="12"/>
  <c r="BK33" i="12"/>
  <c r="AR33" i="12"/>
  <c r="M34" i="8"/>
  <c r="Q34" i="8"/>
  <c r="U34" i="8"/>
  <c r="V34" i="8"/>
  <c r="I34" i="9"/>
  <c r="L34" i="9"/>
  <c r="P34" i="9"/>
  <c r="Q34" i="9"/>
  <c r="V33" i="12"/>
  <c r="X33" i="12"/>
  <c r="BJ33" i="12"/>
  <c r="BH29" i="12"/>
  <c r="BE29" i="12"/>
  <c r="AR28" i="12"/>
  <c r="BK28" i="12"/>
  <c r="BI28" i="12"/>
  <c r="M29" i="8"/>
  <c r="Q29" i="8"/>
  <c r="U29" i="8"/>
  <c r="V29" i="8"/>
  <c r="I29" i="9"/>
  <c r="L29" i="9"/>
  <c r="P29" i="9"/>
  <c r="Q29" i="9"/>
  <c r="V28" i="12"/>
  <c r="X28" i="12"/>
  <c r="BJ28" i="12"/>
  <c r="V10" i="10"/>
  <c r="V7" i="8"/>
  <c r="M7" i="8"/>
  <c r="Q7" i="8"/>
  <c r="U7" i="8"/>
  <c r="G7" i="10"/>
  <c r="S6" i="12"/>
  <c r="AM6" i="12"/>
  <c r="U23" i="10"/>
  <c r="T23" i="10"/>
  <c r="R23" i="10"/>
  <c r="V23" i="8"/>
  <c r="M23" i="8"/>
  <c r="Q23" i="8"/>
  <c r="U23" i="8"/>
  <c r="Q23" i="10"/>
  <c r="S23" i="10"/>
  <c r="J46" i="10"/>
  <c r="V46" i="8"/>
  <c r="M46" i="8"/>
  <c r="Q46" i="8"/>
  <c r="U46" i="8"/>
  <c r="G46" i="10"/>
  <c r="K46" i="10"/>
  <c r="R10" i="10"/>
  <c r="T10" i="10"/>
  <c r="U10" i="10"/>
  <c r="V10" i="8"/>
  <c r="M10" i="8"/>
  <c r="Q10" i="8"/>
  <c r="U10" i="8"/>
  <c r="Q10" i="10"/>
  <c r="S10" i="10"/>
  <c r="BI49" i="12"/>
  <c r="AR49" i="12"/>
  <c r="BK49" i="12"/>
  <c r="BH50" i="12"/>
  <c r="BJ49" i="12"/>
  <c r="M50" i="8"/>
  <c r="Q50" i="8"/>
  <c r="U50" i="8"/>
  <c r="V50" i="8"/>
  <c r="I50" i="9"/>
  <c r="L50" i="9"/>
  <c r="P50" i="9"/>
  <c r="Q50" i="9"/>
  <c r="V49" i="12"/>
  <c r="X49" i="12"/>
  <c r="BE50" i="12"/>
  <c r="M5" i="8"/>
  <c r="Q5" i="8"/>
  <c r="U5" i="8"/>
  <c r="V5" i="8"/>
  <c r="I5" i="9"/>
  <c r="L5" i="9"/>
  <c r="B24" i="9"/>
  <c r="B28" i="9"/>
  <c r="B29" i="9"/>
  <c r="N11" i="9"/>
  <c r="O11" i="9"/>
  <c r="AK56" i="12"/>
  <c r="M56" i="8"/>
  <c r="Q56" i="8"/>
  <c r="U56" i="8"/>
  <c r="V56" i="8"/>
  <c r="I56" i="9"/>
  <c r="Q56" i="12"/>
  <c r="BF56" i="12"/>
</calcChain>
</file>

<file path=xl/sharedStrings.xml><?xml version="1.0" encoding="utf-8"?>
<sst xmlns="http://schemas.openxmlformats.org/spreadsheetml/2006/main" count="1187" uniqueCount="426">
  <si>
    <r>
      <rPr>
        <sz val="20"/>
        <color theme="1"/>
        <rFont val="標楷體"/>
        <family val="4"/>
        <charset val="136"/>
      </rPr>
      <t>國泰人壽添采終身壽險</t>
    </r>
  </si>
  <si>
    <r>
      <rPr>
        <sz val="16"/>
        <color theme="1"/>
        <rFont val="標楷體"/>
        <family val="4"/>
        <charset val="136"/>
      </rPr>
      <t>總保費</t>
    </r>
  </si>
  <si>
    <r>
      <rPr>
        <sz val="12"/>
        <color theme="1"/>
        <rFont val="標楷體"/>
        <family val="4"/>
        <charset val="136"/>
      </rPr>
      <t>單位：元</t>
    </r>
    <r>
      <rPr>
        <sz val="12"/>
        <color theme="1"/>
        <rFont val="Trebuchet MS"/>
        <family val="2"/>
      </rPr>
      <t>/</t>
    </r>
    <r>
      <rPr>
        <sz val="12"/>
        <color theme="1"/>
        <rFont val="標楷體"/>
        <family val="4"/>
        <charset val="136"/>
      </rPr>
      <t>每萬保額</t>
    </r>
  </si>
  <si>
    <r>
      <rPr>
        <sz val="12"/>
        <color theme="1"/>
        <rFont val="標楷體"/>
        <family val="4"/>
        <charset val="136"/>
      </rPr>
      <t>年期</t>
    </r>
  </si>
  <si>
    <r>
      <t>6</t>
    </r>
    <r>
      <rPr>
        <sz val="12"/>
        <color theme="1"/>
        <rFont val="標楷體"/>
        <family val="4"/>
        <charset val="136"/>
      </rPr>
      <t>年期</t>
    </r>
  </si>
  <si>
    <r>
      <t>8</t>
    </r>
    <r>
      <rPr>
        <sz val="12"/>
        <color theme="1"/>
        <rFont val="標楷體"/>
        <family val="4"/>
        <charset val="136"/>
      </rPr>
      <t>年期</t>
    </r>
  </si>
  <si>
    <r>
      <t>10</t>
    </r>
    <r>
      <rPr>
        <sz val="12"/>
        <color theme="1"/>
        <rFont val="標楷體"/>
        <family val="4"/>
        <charset val="136"/>
      </rPr>
      <t>年期</t>
    </r>
  </si>
  <si>
    <r>
      <t>20</t>
    </r>
    <r>
      <rPr>
        <sz val="12"/>
        <color theme="1"/>
        <rFont val="標楷體"/>
        <family val="4"/>
        <charset val="136"/>
      </rPr>
      <t>年期</t>
    </r>
  </si>
  <si>
    <r>
      <rPr>
        <sz val="12"/>
        <color theme="1"/>
        <rFont val="標楷體"/>
        <family val="4"/>
        <charset val="136"/>
      </rPr>
      <t>年齡</t>
    </r>
    <r>
      <rPr>
        <sz val="12"/>
        <color theme="1"/>
        <rFont val="Trebuchet MS"/>
        <family val="2"/>
      </rPr>
      <t>\</t>
    </r>
    <r>
      <rPr>
        <sz val="12"/>
        <color theme="1"/>
        <rFont val="標楷體"/>
        <family val="4"/>
        <charset val="136"/>
      </rPr>
      <t>性別</t>
    </r>
  </si>
  <si>
    <r>
      <rPr>
        <sz val="12"/>
        <color theme="1"/>
        <rFont val="標楷體"/>
        <family val="4"/>
        <charset val="136"/>
      </rPr>
      <t>男性</t>
    </r>
  </si>
  <si>
    <r>
      <rPr>
        <sz val="12"/>
        <color theme="1"/>
        <rFont val="標楷體"/>
        <family val="4"/>
        <charset val="136"/>
      </rPr>
      <t>女性</t>
    </r>
  </si>
  <si>
    <r>
      <rPr>
        <sz val="16"/>
        <color theme="1"/>
        <rFont val="標楷體"/>
        <family val="4"/>
        <charset val="136"/>
      </rPr>
      <t>附加費用率</t>
    </r>
  </si>
  <si>
    <t>10 &lt; D &lt; 20</t>
  </si>
  <si>
    <t>PPP  &lt;  6</t>
  </si>
  <si>
    <r>
      <rPr>
        <b/>
        <sz val="14"/>
        <color theme="1"/>
        <rFont val="標楷體"/>
        <family val="4"/>
        <charset val="136"/>
      </rPr>
      <t>國泰人壽添采終身壽險</t>
    </r>
  </si>
  <si>
    <r>
      <rPr>
        <b/>
        <sz val="12"/>
        <color theme="1"/>
        <rFont val="標楷體"/>
        <family val="4"/>
        <charset val="136"/>
      </rPr>
      <t>商品資料設定</t>
    </r>
  </si>
  <si>
    <r>
      <rPr>
        <sz val="10"/>
        <color rgb="FFFFFF00"/>
        <rFont val="標楷體"/>
        <family val="4"/>
        <charset val="136"/>
      </rPr>
      <t>次序</t>
    </r>
  </si>
  <si>
    <r>
      <rPr>
        <sz val="10"/>
        <color rgb="FFFFFF00"/>
        <rFont val="標楷體"/>
        <family val="4"/>
        <charset val="136"/>
      </rPr>
      <t>名稱</t>
    </r>
  </si>
  <si>
    <r>
      <t>6</t>
    </r>
    <r>
      <rPr>
        <sz val="10"/>
        <color theme="1"/>
        <rFont val="標楷體"/>
        <family val="4"/>
        <charset val="136"/>
      </rPr>
      <t>年期</t>
    </r>
  </si>
  <si>
    <r>
      <t>8</t>
    </r>
    <r>
      <rPr>
        <sz val="10"/>
        <color theme="1"/>
        <rFont val="標楷體"/>
        <family val="4"/>
        <charset val="136"/>
      </rPr>
      <t>年期</t>
    </r>
  </si>
  <si>
    <r>
      <t>10</t>
    </r>
    <r>
      <rPr>
        <sz val="10"/>
        <color theme="1"/>
        <rFont val="標楷體"/>
        <family val="4"/>
        <charset val="136"/>
      </rPr>
      <t>年期</t>
    </r>
  </si>
  <si>
    <r>
      <t>20</t>
    </r>
    <r>
      <rPr>
        <sz val="10"/>
        <color theme="1"/>
        <rFont val="標楷體"/>
        <family val="4"/>
        <charset val="136"/>
      </rPr>
      <t>年期</t>
    </r>
  </si>
  <si>
    <r>
      <rPr>
        <sz val="10"/>
        <color rgb="FFFFFF00"/>
        <rFont val="標楷體"/>
        <family val="4"/>
        <charset val="136"/>
      </rPr>
      <t>繳費期間</t>
    </r>
  </si>
  <si>
    <r>
      <rPr>
        <sz val="10"/>
        <color rgb="FFFFFF00"/>
        <rFont val="標楷體"/>
        <family val="4"/>
        <charset val="136"/>
      </rPr>
      <t>繳費類型</t>
    </r>
  </si>
  <si>
    <r>
      <rPr>
        <sz val="10"/>
        <color rgb="FFFFFF00"/>
        <rFont val="標楷體"/>
        <family val="4"/>
        <charset val="136"/>
      </rPr>
      <t>保障期間</t>
    </r>
  </si>
  <si>
    <r>
      <rPr>
        <sz val="10"/>
        <color rgb="FFFFFF00"/>
        <rFont val="標楷體"/>
        <family val="4"/>
        <charset val="136"/>
      </rPr>
      <t>保障類型</t>
    </r>
  </si>
  <si>
    <r>
      <rPr>
        <sz val="10"/>
        <color rgb="FFFFFF00"/>
        <rFont val="標楷體"/>
        <family val="4"/>
        <charset val="136"/>
      </rPr>
      <t>年齡下限</t>
    </r>
  </si>
  <si>
    <r>
      <rPr>
        <sz val="10"/>
        <color rgb="FFFFFF00"/>
        <rFont val="標楷體"/>
        <family val="4"/>
        <charset val="136"/>
      </rPr>
      <t>年齡上限</t>
    </r>
  </si>
  <si>
    <r>
      <rPr>
        <sz val="10"/>
        <color rgb="FFFFFF00"/>
        <rFont val="標楷體"/>
        <family val="4"/>
        <charset val="136"/>
      </rPr>
      <t>預定利率</t>
    </r>
  </si>
  <si>
    <r>
      <rPr>
        <sz val="10"/>
        <color rgb="FFFFFF00"/>
        <rFont val="標楷體"/>
        <family val="4"/>
        <charset val="136"/>
      </rPr>
      <t>預定死亡率</t>
    </r>
  </si>
  <si>
    <r>
      <rPr>
        <sz val="10"/>
        <color rgb="FFFFFF00"/>
        <rFont val="標楷體"/>
        <family val="4"/>
        <charset val="136"/>
      </rPr>
      <t>平均存續期間</t>
    </r>
  </si>
  <si>
    <r>
      <rPr>
        <sz val="10"/>
        <color rgb="FFFFFF00"/>
        <rFont val="標楷體"/>
        <family val="4"/>
        <charset val="136"/>
      </rPr>
      <t xml:space="preserve">提存利率
</t>
    </r>
    <r>
      <rPr>
        <sz val="10"/>
        <color rgb="FFFFFF00"/>
        <rFont val="Trebuchet MS"/>
        <family val="2"/>
      </rPr>
      <t xml:space="preserve">(PPP &gt; 6 </t>
    </r>
    <r>
      <rPr>
        <sz val="10"/>
        <color rgb="FFFFFF00"/>
        <rFont val="標楷體"/>
        <family val="4"/>
        <charset val="136"/>
      </rPr>
      <t>時</t>
    </r>
    <r>
      <rPr>
        <sz val="10"/>
        <color rgb="FFFFFF00"/>
        <rFont val="Trebuchet MS"/>
        <family val="2"/>
      </rPr>
      <t>)</t>
    </r>
  </si>
  <si>
    <r>
      <rPr>
        <sz val="10"/>
        <color rgb="FFFFFF00"/>
        <rFont val="標楷體"/>
        <family val="4"/>
        <charset val="136"/>
      </rPr>
      <t>提存死亡率</t>
    </r>
  </si>
  <si>
    <r>
      <rPr>
        <sz val="10"/>
        <color theme="1"/>
        <rFont val="標楷體"/>
        <family val="4"/>
        <charset val="136"/>
      </rPr>
      <t>存續期間表</t>
    </r>
  </si>
  <si>
    <r>
      <t xml:space="preserve">D </t>
    </r>
    <r>
      <rPr>
        <sz val="10"/>
        <color theme="9" tint="0.79995117038483843"/>
        <rFont val="標楷體"/>
        <family val="4"/>
        <charset val="136"/>
      </rPr>
      <t>≦</t>
    </r>
    <r>
      <rPr>
        <sz val="10"/>
        <color theme="9" tint="0.79995117038483843"/>
        <rFont val="Trebuchet MS"/>
        <family val="2"/>
      </rPr>
      <t xml:space="preserve"> 6</t>
    </r>
  </si>
  <si>
    <r>
      <t xml:space="preserve">6 &lt; D </t>
    </r>
    <r>
      <rPr>
        <sz val="10"/>
        <color theme="9" tint="0.79995117038483843"/>
        <rFont val="標楷體"/>
        <family val="4"/>
        <charset val="136"/>
      </rPr>
      <t>≦</t>
    </r>
    <r>
      <rPr>
        <sz val="10"/>
        <color theme="9" tint="0.79995117038483843"/>
        <rFont val="Trebuchet MS"/>
        <family val="2"/>
      </rPr>
      <t xml:space="preserve"> 10</t>
    </r>
  </si>
  <si>
    <r>
      <t xml:space="preserve">D </t>
    </r>
    <r>
      <rPr>
        <sz val="10"/>
        <color theme="9" tint="0.79995117038483843"/>
        <rFont val="標楷體"/>
        <family val="4"/>
        <charset val="136"/>
      </rPr>
      <t>≧</t>
    </r>
    <r>
      <rPr>
        <sz val="10"/>
        <color theme="9" tint="0.79995117038483843"/>
        <rFont val="Trebuchet MS"/>
        <family val="2"/>
      </rPr>
      <t xml:space="preserve"> 20</t>
    </r>
  </si>
  <si>
    <r>
      <t xml:space="preserve">PPP </t>
    </r>
    <r>
      <rPr>
        <sz val="10"/>
        <color theme="9" tint="0.79995117038483843"/>
        <rFont val="標楷體"/>
        <family val="4"/>
        <charset val="136"/>
      </rPr>
      <t>≧</t>
    </r>
    <r>
      <rPr>
        <sz val="10"/>
        <color theme="9" tint="0.79995117038483843"/>
        <rFont val="Trebuchet MS"/>
        <family val="2"/>
      </rPr>
      <t xml:space="preserve"> 6</t>
    </r>
  </si>
  <si>
    <t xml:space="preserve">    EL</t>
  </si>
  <si>
    <t xml:space="preserve">    GP</t>
  </si>
  <si>
    <r>
      <rPr>
        <b/>
        <sz val="12"/>
        <color theme="1"/>
        <rFont val="標楷體"/>
        <family val="4"/>
        <charset val="136"/>
      </rPr>
      <t>編碼設定</t>
    </r>
  </si>
  <si>
    <r>
      <rPr>
        <sz val="10"/>
        <color theme="7" tint="0.79995117038483843"/>
        <rFont val="標楷體"/>
        <family val="4"/>
        <charset val="136"/>
      </rPr>
      <t>目前使用</t>
    </r>
  </si>
  <si>
    <r>
      <rPr>
        <sz val="10"/>
        <color theme="7" tint="0.79995117038483843"/>
        <rFont val="標楷體"/>
        <family val="4"/>
        <charset val="136"/>
      </rPr>
      <t>項次</t>
    </r>
    <r>
      <rPr>
        <sz val="10"/>
        <color theme="7" tint="0.79995117038483843"/>
        <rFont val="Trebuchet MS"/>
        <family val="2"/>
      </rPr>
      <t>\</t>
    </r>
    <r>
      <rPr>
        <sz val="10"/>
        <color theme="7" tint="0.79995117038483843"/>
        <rFont val="標楷體"/>
        <family val="4"/>
        <charset val="136"/>
      </rPr>
      <t>項目</t>
    </r>
  </si>
  <si>
    <r>
      <rPr>
        <sz val="10"/>
        <color theme="7" tint="0.79995117038483843"/>
        <rFont val="標楷體"/>
        <family val="4"/>
        <charset val="136"/>
      </rPr>
      <t>性別</t>
    </r>
  </si>
  <si>
    <r>
      <rPr>
        <sz val="10"/>
        <color theme="7" tint="0.79995117038483843"/>
        <rFont val="標楷體"/>
        <family val="4"/>
        <charset val="136"/>
      </rPr>
      <t>年齡</t>
    </r>
  </si>
  <si>
    <r>
      <rPr>
        <sz val="10"/>
        <color theme="7" tint="0.79995117038483843"/>
        <rFont val="標楷體"/>
        <family val="4"/>
        <charset val="136"/>
      </rPr>
      <t>年期</t>
    </r>
  </si>
  <si>
    <r>
      <rPr>
        <sz val="10"/>
        <color theme="7" tint="0.79995117038483843"/>
        <rFont val="標楷體"/>
        <family val="4"/>
        <charset val="136"/>
      </rPr>
      <t>展期</t>
    </r>
  </si>
  <si>
    <r>
      <rPr>
        <sz val="10"/>
        <color theme="7" tint="0.79995117038483843"/>
        <rFont val="標楷體"/>
        <family val="4"/>
        <charset val="136"/>
      </rPr>
      <t>保費折扣</t>
    </r>
  </si>
  <si>
    <r>
      <rPr>
        <sz val="10"/>
        <color theme="7" tint="0.79995117038483843"/>
        <rFont val="標楷體"/>
        <family val="4"/>
        <charset val="136"/>
      </rPr>
      <t>費用假設</t>
    </r>
  </si>
  <si>
    <r>
      <rPr>
        <sz val="10"/>
        <color theme="7" tint="0.79995117038483843"/>
        <rFont val="標楷體"/>
        <family val="4"/>
        <charset val="136"/>
      </rPr>
      <t>購買力</t>
    </r>
  </si>
  <si>
    <r>
      <rPr>
        <sz val="10"/>
        <color theme="7" tint="0.79995117038483843"/>
        <rFont val="標楷體"/>
        <family val="4"/>
        <charset val="136"/>
      </rPr>
      <t>解約率</t>
    </r>
  </si>
  <si>
    <r>
      <rPr>
        <sz val="10"/>
        <color theme="7" tint="0.79995117038483843"/>
        <rFont val="標楷體"/>
        <family val="4"/>
        <charset val="136"/>
      </rPr>
      <t>計算法則</t>
    </r>
  </si>
  <si>
    <r>
      <rPr>
        <sz val="10"/>
        <color theme="7" tint="0.79995117038483843"/>
        <rFont val="標楷體"/>
        <family val="4"/>
        <charset val="136"/>
      </rPr>
      <t>未到期保費</t>
    </r>
  </si>
  <si>
    <r>
      <t xml:space="preserve">   </t>
    </r>
    <r>
      <rPr>
        <sz val="10"/>
        <color theme="1"/>
        <rFont val="標楷體"/>
        <family val="4"/>
        <charset val="136"/>
      </rPr>
      <t>男性</t>
    </r>
  </si>
  <si>
    <r>
      <t xml:space="preserve">   6</t>
    </r>
    <r>
      <rPr>
        <sz val="10"/>
        <color theme="1"/>
        <rFont val="標楷體"/>
        <family val="4"/>
        <charset val="136"/>
      </rPr>
      <t>年期</t>
    </r>
  </si>
  <si>
    <r>
      <rPr>
        <sz val="10"/>
        <color theme="1"/>
        <rFont val="標楷體"/>
        <family val="4"/>
        <charset val="136"/>
      </rPr>
      <t>當時退</t>
    </r>
  </si>
  <si>
    <r>
      <t xml:space="preserve">[1] </t>
    </r>
    <r>
      <rPr>
        <sz val="10"/>
        <color theme="1"/>
        <rFont val="標楷體"/>
        <family val="4"/>
        <charset val="136"/>
      </rPr>
      <t>數理部：業務通路</t>
    </r>
  </si>
  <si>
    <r>
      <rPr>
        <sz val="10"/>
        <color theme="1"/>
        <rFont val="標楷體"/>
        <family val="4"/>
        <charset val="136"/>
      </rPr>
      <t>年繳保費</t>
    </r>
  </si>
  <si>
    <r>
      <rPr>
        <sz val="10"/>
        <color theme="1"/>
        <rFont val="標楷體"/>
        <family val="4"/>
        <charset val="136"/>
      </rPr>
      <t>解約率</t>
    </r>
  </si>
  <si>
    <r>
      <t xml:space="preserve">    </t>
    </r>
    <r>
      <rPr>
        <sz val="10"/>
        <color theme="1"/>
        <rFont val="標楷體"/>
        <family val="4"/>
        <charset val="136"/>
      </rPr>
      <t>有</t>
    </r>
  </si>
  <si>
    <r>
      <t xml:space="preserve">   </t>
    </r>
    <r>
      <rPr>
        <sz val="10"/>
        <color theme="1"/>
        <rFont val="標楷體"/>
        <family val="4"/>
        <charset val="136"/>
      </rPr>
      <t>女性</t>
    </r>
  </si>
  <si>
    <r>
      <t xml:space="preserve">   8</t>
    </r>
    <r>
      <rPr>
        <sz val="10"/>
        <color theme="1"/>
        <rFont val="標楷體"/>
        <family val="4"/>
        <charset val="136"/>
      </rPr>
      <t>年期</t>
    </r>
  </si>
  <si>
    <r>
      <rPr>
        <sz val="10"/>
        <color theme="1"/>
        <rFont val="標楷體"/>
        <family val="4"/>
        <charset val="136"/>
      </rPr>
      <t>滿期金</t>
    </r>
  </si>
  <si>
    <r>
      <t xml:space="preserve">[2] </t>
    </r>
    <r>
      <rPr>
        <sz val="10"/>
        <color theme="1"/>
        <rFont val="標楷體"/>
        <family val="4"/>
        <charset val="136"/>
      </rPr>
      <t>數理部：保代通路</t>
    </r>
  </si>
  <si>
    <r>
      <rPr>
        <sz val="10"/>
        <color theme="1"/>
        <rFont val="標楷體"/>
        <family val="4"/>
        <charset val="136"/>
      </rPr>
      <t>保額單位</t>
    </r>
  </si>
  <si>
    <r>
      <rPr>
        <sz val="10"/>
        <color theme="1"/>
        <rFont val="標楷體"/>
        <family val="4"/>
        <charset val="136"/>
      </rPr>
      <t>解約率</t>
    </r>
    <r>
      <rPr>
        <sz val="10"/>
        <color theme="1"/>
        <rFont val="Trebuchet MS"/>
        <family val="2"/>
      </rPr>
      <t>[</t>
    </r>
    <r>
      <rPr>
        <sz val="10"/>
        <color theme="1"/>
        <rFont val="標楷體"/>
        <family val="4"/>
        <charset val="136"/>
      </rPr>
      <t>精算部</t>
    </r>
    <r>
      <rPr>
        <sz val="10"/>
        <color theme="1"/>
        <rFont val="Trebuchet MS"/>
        <family val="2"/>
      </rPr>
      <t>]</t>
    </r>
  </si>
  <si>
    <r>
      <t xml:space="preserve">    </t>
    </r>
    <r>
      <rPr>
        <sz val="10"/>
        <color theme="1"/>
        <rFont val="標楷體"/>
        <family val="4"/>
        <charset val="136"/>
      </rPr>
      <t>無</t>
    </r>
  </si>
  <si>
    <r>
      <t xml:space="preserve">   10</t>
    </r>
    <r>
      <rPr>
        <sz val="10"/>
        <color theme="1"/>
        <rFont val="標楷體"/>
        <family val="4"/>
        <charset val="136"/>
      </rPr>
      <t>年期</t>
    </r>
  </si>
  <si>
    <r>
      <rPr>
        <sz val="10"/>
        <color theme="1"/>
        <rFont val="標楷體"/>
        <family val="4"/>
        <charset val="136"/>
      </rPr>
      <t>祝壽金</t>
    </r>
  </si>
  <si>
    <r>
      <t xml:space="preserve">[3] </t>
    </r>
    <r>
      <rPr>
        <sz val="10"/>
        <color theme="1"/>
        <rFont val="標楷體"/>
        <family val="4"/>
        <charset val="136"/>
      </rPr>
      <t>精算部：業務通路</t>
    </r>
  </si>
  <si>
    <r>
      <rPr>
        <sz val="10"/>
        <color theme="1"/>
        <rFont val="標楷體"/>
        <family val="4"/>
        <charset val="136"/>
      </rPr>
      <t>脫退率</t>
    </r>
  </si>
  <si>
    <r>
      <t xml:space="preserve">   20</t>
    </r>
    <r>
      <rPr>
        <sz val="10"/>
        <color theme="1"/>
        <rFont val="標楷體"/>
        <family val="4"/>
        <charset val="136"/>
      </rPr>
      <t>年期</t>
    </r>
  </si>
  <si>
    <r>
      <t xml:space="preserve">[4] </t>
    </r>
    <r>
      <rPr>
        <sz val="10"/>
        <color theme="1"/>
        <rFont val="標楷體"/>
        <family val="4"/>
        <charset val="136"/>
      </rPr>
      <t>精算部：保代通路</t>
    </r>
  </si>
  <si>
    <t>2002 T.S.O.</t>
  </si>
  <si>
    <t>x</t>
  </si>
  <si>
    <t>qx</t>
  </si>
  <si>
    <r>
      <rPr>
        <sz val="10"/>
        <color theme="1"/>
        <rFont val="標楷體"/>
        <family val="4"/>
        <charset val="136"/>
      </rPr>
      <t>死亡率</t>
    </r>
    <r>
      <rPr>
        <sz val="10"/>
        <color theme="1"/>
        <rFont val="Trebuchet MS"/>
        <family val="2"/>
      </rPr>
      <t xml:space="preserve"> x</t>
    </r>
  </si>
  <si>
    <r>
      <t>C</t>
    </r>
    <r>
      <rPr>
        <vertAlign val="subscript"/>
        <sz val="10"/>
        <color theme="1"/>
        <rFont val="Trebuchet MS"/>
        <family val="2"/>
      </rPr>
      <t>x</t>
    </r>
  </si>
  <si>
    <r>
      <t>D</t>
    </r>
    <r>
      <rPr>
        <vertAlign val="subscript"/>
        <sz val="10"/>
        <color theme="1"/>
        <rFont val="Trebuchet MS"/>
        <family val="2"/>
      </rPr>
      <t>x</t>
    </r>
  </si>
  <si>
    <r>
      <t>q</t>
    </r>
    <r>
      <rPr>
        <vertAlign val="subscript"/>
        <sz val="10"/>
        <color rgb="FF990000"/>
        <rFont val="Trebuchet MS"/>
        <family val="2"/>
      </rPr>
      <t>x</t>
    </r>
    <r>
      <rPr>
        <sz val="10"/>
        <color rgb="FF990000"/>
        <rFont val="Trebuchet MS"/>
        <family val="2"/>
      </rPr>
      <t xml:space="preserve">  (man)</t>
    </r>
  </si>
  <si>
    <r>
      <t>q</t>
    </r>
    <r>
      <rPr>
        <vertAlign val="subscript"/>
        <sz val="10"/>
        <color rgb="FF990000"/>
        <rFont val="Trebuchet MS"/>
        <family val="2"/>
      </rPr>
      <t>x</t>
    </r>
    <r>
      <rPr>
        <sz val="10"/>
        <color rgb="FF990000"/>
        <rFont val="Trebuchet MS"/>
        <family val="2"/>
      </rPr>
      <t xml:space="preserve">  (female)</t>
    </r>
  </si>
  <si>
    <r>
      <t xml:space="preserve"># </t>
    </r>
    <r>
      <rPr>
        <sz val="10"/>
        <color theme="0" tint="-9.9978637043366805E-2"/>
        <rFont val="標楷體"/>
        <family val="4"/>
        <charset val="136"/>
      </rPr>
      <t>保價金用</t>
    </r>
  </si>
  <si>
    <r>
      <rPr>
        <sz val="10"/>
        <color theme="0" tint="-9.9978637043366805E-2"/>
        <rFont val="標楷體"/>
        <family val="4"/>
        <charset val="136"/>
      </rPr>
      <t>死亡率</t>
    </r>
    <r>
      <rPr>
        <sz val="10"/>
        <color theme="0" tint="-9.9978637043366805E-2"/>
        <rFont val="Trebuchet MS"/>
        <family val="2"/>
      </rPr>
      <t xml:space="preserve"> x</t>
    </r>
  </si>
  <si>
    <r>
      <rPr>
        <sz val="10"/>
        <color theme="0" tint="-9.9978637043366805E-2"/>
        <rFont val="標楷體"/>
        <family val="4"/>
        <charset val="136"/>
      </rPr>
      <t>利率</t>
    </r>
    <r>
      <rPr>
        <sz val="10"/>
        <color theme="0" tint="-9.9978637043366805E-2"/>
        <rFont val="Trebuchet MS"/>
        <family val="2"/>
      </rPr>
      <t xml:space="preserve"> =</t>
    </r>
  </si>
  <si>
    <r>
      <t>q</t>
    </r>
    <r>
      <rPr>
        <vertAlign val="subscript"/>
        <sz val="10"/>
        <color theme="0" tint="-9.9978637043366805E-2"/>
        <rFont val="Trebuchet MS"/>
        <family val="2"/>
      </rPr>
      <t>x</t>
    </r>
  </si>
  <si>
    <r>
      <t>L</t>
    </r>
    <r>
      <rPr>
        <vertAlign val="subscript"/>
        <sz val="10"/>
        <color theme="0" tint="-9.9978637043366805E-2"/>
        <rFont val="Trebuchet MS"/>
        <family val="2"/>
      </rPr>
      <t>x</t>
    </r>
  </si>
  <si>
    <r>
      <t>d</t>
    </r>
    <r>
      <rPr>
        <vertAlign val="subscript"/>
        <sz val="10"/>
        <color theme="0" tint="-9.9978637043366805E-2"/>
        <rFont val="Trebuchet MS"/>
        <family val="2"/>
      </rPr>
      <t>x</t>
    </r>
  </si>
  <si>
    <r>
      <t>C</t>
    </r>
    <r>
      <rPr>
        <vertAlign val="subscript"/>
        <sz val="10"/>
        <color theme="0" tint="-9.9978637043366805E-2"/>
        <rFont val="Trebuchet MS"/>
        <family val="2"/>
      </rPr>
      <t>x</t>
    </r>
  </si>
  <si>
    <r>
      <t>D</t>
    </r>
    <r>
      <rPr>
        <vertAlign val="subscript"/>
        <sz val="10"/>
        <color theme="0" tint="-9.9978637043366805E-2"/>
        <rFont val="Trebuchet MS"/>
        <family val="2"/>
      </rPr>
      <t>x</t>
    </r>
  </si>
  <si>
    <r>
      <t>M</t>
    </r>
    <r>
      <rPr>
        <vertAlign val="subscript"/>
        <sz val="10"/>
        <color theme="0" tint="-9.9978637043366805E-2"/>
        <rFont val="Trebuchet MS"/>
        <family val="2"/>
      </rPr>
      <t>x</t>
    </r>
  </si>
  <si>
    <r>
      <t>N</t>
    </r>
    <r>
      <rPr>
        <vertAlign val="subscript"/>
        <sz val="10"/>
        <color theme="0" tint="-9.9978637043366805E-2"/>
        <rFont val="Trebuchet MS"/>
        <family val="2"/>
      </rPr>
      <t>x</t>
    </r>
  </si>
  <si>
    <r>
      <t xml:space="preserve"># </t>
    </r>
    <r>
      <rPr>
        <sz val="10"/>
        <color theme="3" tint="0.79995117038483843"/>
        <rFont val="標楷體"/>
        <family val="4"/>
        <charset val="136"/>
      </rPr>
      <t>準備金用</t>
    </r>
  </si>
  <si>
    <r>
      <rPr>
        <sz val="10"/>
        <color theme="3" tint="0.79995117038483843"/>
        <rFont val="標楷體"/>
        <family val="4"/>
        <charset val="136"/>
      </rPr>
      <t>死亡率</t>
    </r>
    <r>
      <rPr>
        <sz val="10"/>
        <color theme="3" tint="0.79995117038483843"/>
        <rFont val="Trebuchet MS"/>
        <family val="2"/>
      </rPr>
      <t xml:space="preserve"> x</t>
    </r>
  </si>
  <si>
    <r>
      <rPr>
        <sz val="10"/>
        <color theme="3" tint="0.79995117038483843"/>
        <rFont val="標楷體"/>
        <family val="4"/>
        <charset val="136"/>
      </rPr>
      <t>利率</t>
    </r>
    <r>
      <rPr>
        <sz val="10"/>
        <color theme="3" tint="0.79995117038483843"/>
        <rFont val="Trebuchet MS"/>
        <family val="2"/>
      </rPr>
      <t xml:space="preserve"> =</t>
    </r>
  </si>
  <si>
    <r>
      <t>q</t>
    </r>
    <r>
      <rPr>
        <vertAlign val="subscript"/>
        <sz val="10"/>
        <color theme="3" tint="0.79995117038483843"/>
        <rFont val="Trebuchet MS"/>
        <family val="2"/>
      </rPr>
      <t>x</t>
    </r>
  </si>
  <si>
    <r>
      <t>L</t>
    </r>
    <r>
      <rPr>
        <vertAlign val="subscript"/>
        <sz val="10"/>
        <color theme="3" tint="0.79995117038483843"/>
        <rFont val="Trebuchet MS"/>
        <family val="2"/>
      </rPr>
      <t>x</t>
    </r>
  </si>
  <si>
    <r>
      <t>d</t>
    </r>
    <r>
      <rPr>
        <vertAlign val="subscript"/>
        <sz val="10"/>
        <color theme="3" tint="0.79995117038483843"/>
        <rFont val="Trebuchet MS"/>
        <family val="2"/>
      </rPr>
      <t>x</t>
    </r>
  </si>
  <si>
    <r>
      <t>C</t>
    </r>
    <r>
      <rPr>
        <vertAlign val="subscript"/>
        <sz val="10"/>
        <color theme="3" tint="0.79995117038483843"/>
        <rFont val="Trebuchet MS"/>
        <family val="2"/>
      </rPr>
      <t>x</t>
    </r>
  </si>
  <si>
    <r>
      <t>D</t>
    </r>
    <r>
      <rPr>
        <vertAlign val="subscript"/>
        <sz val="10"/>
        <color theme="3" tint="0.79995117038483843"/>
        <rFont val="Trebuchet MS"/>
        <family val="2"/>
      </rPr>
      <t>x</t>
    </r>
  </si>
  <si>
    <r>
      <t>M</t>
    </r>
    <r>
      <rPr>
        <vertAlign val="subscript"/>
        <sz val="10"/>
        <color theme="3" tint="0.79995117038483843"/>
        <rFont val="Trebuchet MS"/>
        <family val="2"/>
      </rPr>
      <t>x</t>
    </r>
  </si>
  <si>
    <r>
      <t>N</t>
    </r>
    <r>
      <rPr>
        <vertAlign val="subscript"/>
        <sz val="10"/>
        <color theme="3" tint="0.79995117038483843"/>
        <rFont val="Trebuchet MS"/>
        <family val="2"/>
      </rPr>
      <t>x</t>
    </r>
  </si>
  <si>
    <r>
      <t>q</t>
    </r>
    <r>
      <rPr>
        <vertAlign val="subscript"/>
        <sz val="10"/>
        <color theme="3" tint="0.79995117038483843"/>
        <rFont val="Trebuchet MS"/>
        <family val="2"/>
      </rPr>
      <t>x</t>
    </r>
    <r>
      <rPr>
        <sz val="10"/>
        <color theme="3" tint="0.79995117038483843"/>
        <rFont val="Trebuchet MS"/>
        <family val="2"/>
      </rPr>
      <t xml:space="preserve"> (adj)</t>
    </r>
  </si>
  <si>
    <t>index</t>
  </si>
  <si>
    <t>t</t>
  </si>
  <si>
    <t>GP</t>
  </si>
  <si>
    <t>DU</t>
  </si>
  <si>
    <t>i</t>
  </si>
  <si>
    <t>EL</t>
  </si>
  <si>
    <t>NP</t>
  </si>
  <si>
    <t>P1</t>
  </si>
  <si>
    <t>P2</t>
  </si>
  <si>
    <t>P3</t>
  </si>
  <si>
    <t>h</t>
  </si>
  <si>
    <t>P20</t>
  </si>
  <si>
    <t>PF</t>
  </si>
  <si>
    <t>Modify</t>
  </si>
  <si>
    <t>m</t>
  </si>
  <si>
    <r>
      <t>q</t>
    </r>
    <r>
      <rPr>
        <vertAlign val="subscript"/>
        <sz val="10"/>
        <color rgb="FFFFFF00"/>
        <rFont val="Trebuchet MS"/>
        <family val="2"/>
      </rPr>
      <t>x</t>
    </r>
  </si>
  <si>
    <r>
      <t>VL</t>
    </r>
    <r>
      <rPr>
        <vertAlign val="subscript"/>
        <sz val="10"/>
        <color theme="1"/>
        <rFont val="Trebuchet MS"/>
        <family val="2"/>
      </rPr>
      <t>t</t>
    </r>
  </si>
  <si>
    <r>
      <t>VL</t>
    </r>
    <r>
      <rPr>
        <vertAlign val="subscript"/>
        <sz val="10"/>
        <color theme="1"/>
        <rFont val="Trebuchet MS"/>
        <family val="2"/>
      </rPr>
      <t>t+0.5</t>
    </r>
  </si>
  <si>
    <r>
      <rPr>
        <b/>
        <sz val="12"/>
        <color theme="1"/>
        <rFont val="標楷體"/>
        <family val="4"/>
        <charset val="136"/>
      </rPr>
      <t>保費、保單價值準備金</t>
    </r>
  </si>
  <si>
    <r>
      <rPr>
        <sz val="10"/>
        <color rgb="FFC00000"/>
        <rFont val="標楷體"/>
        <family val="4"/>
        <charset val="136"/>
      </rPr>
      <t>利率</t>
    </r>
  </si>
  <si>
    <r>
      <rPr>
        <sz val="10"/>
        <color theme="1"/>
        <rFont val="標楷體"/>
        <family val="4"/>
        <charset val="136"/>
      </rPr>
      <t>基本
保額</t>
    </r>
  </si>
  <si>
    <r>
      <rPr>
        <sz val="10"/>
        <color theme="1"/>
        <rFont val="標楷體"/>
        <family val="4"/>
        <charset val="136"/>
      </rPr>
      <t>所繳
保費</t>
    </r>
  </si>
  <si>
    <r>
      <rPr>
        <sz val="10"/>
        <color theme="1"/>
        <rFont val="標楷體"/>
        <family val="4"/>
        <charset val="136"/>
      </rPr>
      <t>退還
保費</t>
    </r>
  </si>
  <si>
    <r>
      <rPr>
        <sz val="10"/>
        <color theme="1"/>
        <rFont val="標楷體"/>
        <family val="4"/>
        <charset val="136"/>
      </rPr>
      <t>未到期
保費</t>
    </r>
  </si>
  <si>
    <r>
      <rPr>
        <sz val="10"/>
        <color theme="1"/>
        <rFont val="標楷體"/>
        <family val="4"/>
        <charset val="136"/>
      </rPr>
      <t>身故
保險金</t>
    </r>
  </si>
  <si>
    <r>
      <rPr>
        <sz val="10"/>
        <color theme="1"/>
        <rFont val="標楷體"/>
        <family val="4"/>
        <charset val="136"/>
      </rPr>
      <t>生存
保險金</t>
    </r>
  </si>
  <si>
    <r>
      <rPr>
        <sz val="10"/>
        <color theme="1"/>
        <rFont val="標楷體"/>
        <family val="4"/>
        <charset val="136"/>
      </rPr>
      <t>已領
生存金</t>
    </r>
  </si>
  <si>
    <r>
      <rPr>
        <sz val="10"/>
        <color theme="1"/>
        <rFont val="標楷體"/>
        <family val="4"/>
        <charset val="136"/>
      </rPr>
      <t>身故
現值</t>
    </r>
  </si>
  <si>
    <r>
      <rPr>
        <sz val="10"/>
        <color theme="1"/>
        <rFont val="標楷體"/>
        <family val="4"/>
        <charset val="136"/>
      </rPr>
      <t>生存
現值</t>
    </r>
  </si>
  <si>
    <r>
      <rPr>
        <sz val="10"/>
        <color theme="1"/>
        <rFont val="標楷體"/>
        <family val="4"/>
        <charset val="136"/>
      </rPr>
      <t>修正後
純保費</t>
    </r>
  </si>
  <si>
    <r>
      <rPr>
        <sz val="10"/>
        <color theme="1"/>
        <rFont val="標楷體"/>
        <family val="4"/>
        <charset val="136"/>
      </rPr>
      <t>純保費
現值</t>
    </r>
  </si>
  <si>
    <r>
      <rPr>
        <sz val="10"/>
        <color theme="3" tint="0.79995117038483843"/>
        <rFont val="標楷體"/>
        <family val="4"/>
        <charset val="136"/>
      </rPr>
      <t>資料設定</t>
    </r>
  </si>
  <si>
    <r>
      <rPr>
        <sz val="10"/>
        <color theme="3" tint="0.79995117038483843"/>
        <rFont val="標楷體"/>
        <family val="4"/>
        <charset val="136"/>
      </rPr>
      <t>性別</t>
    </r>
  </si>
  <si>
    <r>
      <rPr>
        <sz val="10"/>
        <color theme="3" tint="0.79995117038483843"/>
        <rFont val="標楷體"/>
        <family val="4"/>
        <charset val="136"/>
      </rPr>
      <t>年齡</t>
    </r>
  </si>
  <si>
    <r>
      <rPr>
        <sz val="10"/>
        <color theme="3" tint="0.79995117038483843"/>
        <rFont val="標楷體"/>
        <family val="4"/>
        <charset val="136"/>
      </rPr>
      <t>年期</t>
    </r>
  </si>
  <si>
    <r>
      <rPr>
        <sz val="10"/>
        <color theme="3" tint="0.79995117038483843"/>
        <rFont val="標楷體"/>
        <family val="4"/>
        <charset val="136"/>
      </rPr>
      <t>繳費</t>
    </r>
  </si>
  <si>
    <r>
      <rPr>
        <sz val="10"/>
        <color theme="3" tint="0.79995117038483843"/>
        <rFont val="標楷體"/>
        <family val="4"/>
        <charset val="136"/>
      </rPr>
      <t>保障</t>
    </r>
  </si>
  <si>
    <r>
      <rPr>
        <sz val="10"/>
        <color theme="3" tint="0.79995117038483843"/>
        <rFont val="標楷體"/>
        <family val="4"/>
        <charset val="136"/>
      </rPr>
      <t>保額</t>
    </r>
  </si>
  <si>
    <r>
      <rPr>
        <sz val="10"/>
        <color theme="1"/>
        <rFont val="標楷體"/>
        <family val="4"/>
        <charset val="136"/>
      </rPr>
      <t>給定</t>
    </r>
  </si>
  <si>
    <r>
      <rPr>
        <sz val="10"/>
        <color rgb="FFFFFF00"/>
        <rFont val="標楷體"/>
        <family val="4"/>
        <charset val="136"/>
      </rPr>
      <t>項目</t>
    </r>
  </si>
  <si>
    <r>
      <rPr>
        <sz val="10"/>
        <color rgb="FFFFFF00"/>
        <rFont val="標楷體"/>
        <family val="4"/>
        <charset val="136"/>
      </rPr>
      <t>保價金</t>
    </r>
    <r>
      <rPr>
        <sz val="10"/>
        <color rgb="FFFFFF00"/>
        <rFont val="Trebuchet MS"/>
        <family val="2"/>
      </rPr>
      <t>(L)</t>
    </r>
  </si>
  <si>
    <r>
      <rPr>
        <sz val="10"/>
        <color theme="0" tint="-9.9978637043366805E-2"/>
        <rFont val="標楷體"/>
        <family val="4"/>
        <charset val="136"/>
      </rPr>
      <t>壽險部分</t>
    </r>
  </si>
  <si>
    <r>
      <rPr>
        <sz val="10"/>
        <color theme="5" tint="0.79995117038483843"/>
        <rFont val="標楷體"/>
        <family val="4"/>
        <charset val="136"/>
      </rPr>
      <t>生存部分</t>
    </r>
  </si>
  <si>
    <r>
      <t>VD</t>
    </r>
    <r>
      <rPr>
        <vertAlign val="subscript"/>
        <sz val="10"/>
        <color theme="1"/>
        <rFont val="Trebuchet MS"/>
        <family val="2"/>
      </rPr>
      <t>t</t>
    </r>
  </si>
  <si>
    <r>
      <rPr>
        <b/>
        <sz val="12"/>
        <color theme="1"/>
        <rFont val="標楷體"/>
        <family val="4"/>
        <charset val="136"/>
      </rPr>
      <t>責任準備金、保費不足準備金</t>
    </r>
  </si>
  <si>
    <r>
      <rPr>
        <sz val="10"/>
        <color theme="1"/>
        <rFont val="標楷體"/>
        <family val="4"/>
        <charset val="136"/>
      </rPr>
      <t>精算</t>
    </r>
    <r>
      <rPr>
        <sz val="10"/>
        <color theme="1"/>
        <rFont val="Trebuchet MS"/>
        <family val="2"/>
      </rPr>
      <t xml:space="preserve"> VX</t>
    </r>
    <r>
      <rPr>
        <vertAlign val="subscript"/>
        <sz val="10"/>
        <color theme="1"/>
        <rFont val="Trebuchet MS"/>
        <family val="2"/>
      </rPr>
      <t>t</t>
    </r>
  </si>
  <si>
    <r>
      <rPr>
        <sz val="10"/>
        <color theme="1"/>
        <rFont val="標楷體"/>
        <family val="4"/>
        <charset val="136"/>
      </rPr>
      <t>法定</t>
    </r>
    <r>
      <rPr>
        <sz val="10"/>
        <color theme="1"/>
        <rFont val="Trebuchet MS"/>
        <family val="2"/>
      </rPr>
      <t xml:space="preserve"> VX</t>
    </r>
    <r>
      <rPr>
        <vertAlign val="subscript"/>
        <sz val="10"/>
        <color theme="1"/>
        <rFont val="Trebuchet MS"/>
        <family val="2"/>
      </rPr>
      <t>t</t>
    </r>
  </si>
  <si>
    <r>
      <rPr>
        <sz val="10"/>
        <color theme="1"/>
        <rFont val="標楷體"/>
        <family val="4"/>
        <charset val="136"/>
      </rPr>
      <t>保費
不足額</t>
    </r>
  </si>
  <si>
    <r>
      <rPr>
        <sz val="10"/>
        <color theme="3" tint="0.79995117038483843"/>
        <rFont val="標楷體"/>
        <family val="4"/>
        <charset val="136"/>
      </rPr>
      <t>折扣率</t>
    </r>
  </si>
  <si>
    <r>
      <rPr>
        <sz val="10"/>
        <color rgb="FFFFFF00"/>
        <rFont val="標楷體"/>
        <family val="4"/>
        <charset val="136"/>
      </rPr>
      <t>責準金</t>
    </r>
    <r>
      <rPr>
        <sz val="10"/>
        <color rgb="FFFFFF00"/>
        <rFont val="Trebuchet MS"/>
        <family val="2"/>
      </rPr>
      <t>(X)</t>
    </r>
  </si>
  <si>
    <r>
      <t>CV</t>
    </r>
    <r>
      <rPr>
        <vertAlign val="subscript"/>
        <sz val="10"/>
        <color theme="1"/>
        <rFont val="Trebuchet MS"/>
        <family val="2"/>
      </rPr>
      <t>t</t>
    </r>
    <r>
      <rPr>
        <sz val="10"/>
        <color theme="1"/>
        <rFont val="Trebuchet MS"/>
        <family val="2"/>
      </rPr>
      <t xml:space="preserve">
(</t>
    </r>
    <r>
      <rPr>
        <sz val="10"/>
        <color theme="1"/>
        <rFont val="標楷體"/>
        <family val="4"/>
        <charset val="136"/>
      </rPr>
      <t>扣年金</t>
    </r>
    <r>
      <rPr>
        <sz val="10"/>
        <color theme="1"/>
        <rFont val="Trebuchet MS"/>
        <family val="2"/>
      </rPr>
      <t>)</t>
    </r>
  </si>
  <si>
    <r>
      <rPr>
        <sz val="10"/>
        <color theme="1"/>
        <rFont val="標楷體"/>
        <family val="4"/>
        <charset val="136"/>
      </rPr>
      <t>年繳
保費</t>
    </r>
  </si>
  <si>
    <r>
      <rPr>
        <sz val="10"/>
        <color theme="1"/>
        <rFont val="標楷體"/>
        <family val="4"/>
        <charset val="136"/>
      </rPr>
      <t>生存
年金</t>
    </r>
  </si>
  <si>
    <r>
      <rPr>
        <sz val="10"/>
        <color theme="1"/>
        <rFont val="標楷體"/>
        <family val="4"/>
        <charset val="136"/>
      </rPr>
      <t>保費
效益比</t>
    </r>
  </si>
  <si>
    <r>
      <rPr>
        <sz val="10"/>
        <color theme="1"/>
        <rFont val="標楷體"/>
        <family val="4"/>
        <charset val="136"/>
      </rPr>
      <t>契變後
躉繳保費</t>
    </r>
  </si>
  <si>
    <r>
      <t>PV</t>
    </r>
    <r>
      <rPr>
        <vertAlign val="subscript"/>
        <sz val="10"/>
        <color theme="1"/>
        <rFont val="Trebuchet MS"/>
        <family val="2"/>
      </rPr>
      <t>t</t>
    </r>
    <r>
      <rPr>
        <sz val="10"/>
        <color theme="1"/>
        <rFont val="Trebuchet MS"/>
        <family val="2"/>
      </rPr>
      <t xml:space="preserve">
(</t>
    </r>
    <r>
      <rPr>
        <sz val="10"/>
        <color theme="1"/>
        <rFont val="標楷體"/>
        <family val="4"/>
        <charset val="136"/>
      </rPr>
      <t>扣年金</t>
    </r>
    <r>
      <rPr>
        <sz val="10"/>
        <color theme="1"/>
        <rFont val="Trebuchet MS"/>
        <family val="2"/>
      </rPr>
      <t>)</t>
    </r>
  </si>
  <si>
    <r>
      <rPr>
        <sz val="10"/>
        <color theme="1"/>
        <rFont val="標楷體"/>
        <family val="4"/>
        <charset val="136"/>
      </rPr>
      <t>繳清
保額</t>
    </r>
  </si>
  <si>
    <r>
      <t>ΣC</t>
    </r>
    <r>
      <rPr>
        <vertAlign val="subscript"/>
        <sz val="10"/>
        <color theme="1"/>
        <rFont val="Trebuchet MS"/>
        <family val="2"/>
      </rPr>
      <t>x</t>
    </r>
  </si>
  <si>
    <r>
      <rPr>
        <sz val="10"/>
        <color theme="1"/>
        <rFont val="標楷體"/>
        <family val="4"/>
        <charset val="136"/>
      </rPr>
      <t>未成年
保險成本</t>
    </r>
  </si>
  <si>
    <r>
      <rPr>
        <sz val="10"/>
        <color theme="1"/>
        <rFont val="標楷體"/>
        <family val="4"/>
        <charset val="136"/>
      </rPr>
      <t>展期當時
身故保障</t>
    </r>
  </si>
  <si>
    <r>
      <rPr>
        <sz val="10"/>
        <color theme="1"/>
        <rFont val="標楷體"/>
        <family val="4"/>
        <charset val="136"/>
      </rPr>
      <t>展期
年數</t>
    </r>
  </si>
  <si>
    <r>
      <rPr>
        <sz val="10"/>
        <color theme="1"/>
        <rFont val="標楷體"/>
        <family val="4"/>
        <charset val="136"/>
      </rPr>
      <t>展期
天數</t>
    </r>
  </si>
  <si>
    <r>
      <rPr>
        <sz val="10"/>
        <color theme="1"/>
        <rFont val="標楷體"/>
        <family val="4"/>
        <charset val="136"/>
      </rPr>
      <t>生存金
比例</t>
    </r>
  </si>
  <si>
    <r>
      <rPr>
        <sz val="10"/>
        <color theme="1"/>
        <rFont val="標楷體"/>
        <family val="4"/>
        <charset val="136"/>
      </rPr>
      <t>退還
金額</t>
    </r>
  </si>
  <si>
    <r>
      <rPr>
        <sz val="10"/>
        <color theme="1"/>
        <rFont val="標楷體"/>
        <family val="4"/>
        <charset val="136"/>
      </rPr>
      <t>性別</t>
    </r>
  </si>
  <si>
    <r>
      <rPr>
        <sz val="10"/>
        <color theme="1"/>
        <rFont val="標楷體"/>
        <family val="4"/>
        <charset val="136"/>
      </rPr>
      <t>年齡</t>
    </r>
  </si>
  <si>
    <r>
      <rPr>
        <sz val="10"/>
        <color theme="1"/>
        <rFont val="標楷體"/>
        <family val="4"/>
        <charset val="136"/>
      </rPr>
      <t>年期</t>
    </r>
  </si>
  <si>
    <r>
      <rPr>
        <sz val="10"/>
        <color theme="1"/>
        <rFont val="標楷體"/>
        <family val="4"/>
        <charset val="136"/>
      </rPr>
      <t>繳費</t>
    </r>
  </si>
  <si>
    <r>
      <rPr>
        <sz val="10"/>
        <color theme="1"/>
        <rFont val="標楷體"/>
        <family val="4"/>
        <charset val="136"/>
      </rPr>
      <t>保障</t>
    </r>
  </si>
  <si>
    <r>
      <rPr>
        <b/>
        <sz val="12"/>
        <color theme="1"/>
        <rFont val="標楷體"/>
        <family val="4"/>
        <charset val="136"/>
      </rPr>
      <t>解約金、繳清、展期</t>
    </r>
  </si>
  <si>
    <r>
      <rPr>
        <sz val="10"/>
        <color theme="4" tint="0.79995117038483843"/>
        <rFont val="標楷體"/>
        <family val="4"/>
        <charset val="136"/>
      </rPr>
      <t>資料設定</t>
    </r>
  </si>
  <si>
    <r>
      <rPr>
        <sz val="10"/>
        <color theme="4" tint="0.79995117038483843"/>
        <rFont val="標楷體"/>
        <family val="4"/>
        <charset val="136"/>
      </rPr>
      <t>性別</t>
    </r>
  </si>
  <si>
    <r>
      <rPr>
        <sz val="10"/>
        <color theme="4" tint="0.79995117038483843"/>
        <rFont val="標楷體"/>
        <family val="4"/>
        <charset val="136"/>
      </rPr>
      <t>年齡</t>
    </r>
  </si>
  <si>
    <r>
      <rPr>
        <sz val="10"/>
        <color theme="4" tint="0.79995117038483843"/>
        <rFont val="標楷體"/>
        <family val="4"/>
        <charset val="136"/>
      </rPr>
      <t>年期</t>
    </r>
  </si>
  <si>
    <r>
      <rPr>
        <sz val="10"/>
        <color theme="4" tint="0.79995117038483843"/>
        <rFont val="標楷體"/>
        <family val="4"/>
        <charset val="136"/>
      </rPr>
      <t>繳費</t>
    </r>
  </si>
  <si>
    <r>
      <rPr>
        <sz val="10"/>
        <color theme="4" tint="0.79995117038483843"/>
        <rFont val="標楷體"/>
        <family val="4"/>
        <charset val="136"/>
      </rPr>
      <t>保障</t>
    </r>
  </si>
  <si>
    <r>
      <rPr>
        <sz val="10"/>
        <color theme="4" tint="0.79995117038483843"/>
        <rFont val="標楷體"/>
        <family val="4"/>
        <charset val="136"/>
      </rPr>
      <t>保額</t>
    </r>
  </si>
  <si>
    <r>
      <rPr>
        <sz val="10"/>
        <color theme="4" tint="0.79995117038483843"/>
        <rFont val="標楷體"/>
        <family val="4"/>
        <charset val="136"/>
      </rPr>
      <t>定存利率</t>
    </r>
  </si>
  <si>
    <r>
      <rPr>
        <sz val="10"/>
        <color theme="4" tint="0.79995117038483843"/>
        <rFont val="標楷體"/>
        <family val="4"/>
        <charset val="136"/>
      </rPr>
      <t>契變費用</t>
    </r>
  </si>
  <si>
    <r>
      <rPr>
        <sz val="10"/>
        <color theme="0"/>
        <rFont val="標楷體"/>
        <family val="4"/>
        <charset val="136"/>
      </rPr>
      <t>展期保險</t>
    </r>
  </si>
  <si>
    <r>
      <rPr>
        <sz val="10"/>
        <color theme="0"/>
        <rFont val="標楷體"/>
        <family val="4"/>
        <charset val="136"/>
      </rPr>
      <t>生存年金</t>
    </r>
  </si>
  <si>
    <r>
      <rPr>
        <sz val="10"/>
        <color theme="0"/>
        <rFont val="標楷體"/>
        <family val="4"/>
        <charset val="136"/>
      </rPr>
      <t>剩餘金額</t>
    </r>
  </si>
  <si>
    <r>
      <rPr>
        <sz val="10"/>
        <color theme="0"/>
        <rFont val="標楷體"/>
        <family val="4"/>
        <charset val="136"/>
      </rPr>
      <t>未成年</t>
    </r>
  </si>
  <si>
    <r>
      <rPr>
        <sz val="10"/>
        <color theme="5" tint="0.79995117038483843"/>
        <rFont val="標楷體"/>
        <family val="4"/>
        <charset val="136"/>
      </rPr>
      <t>解約金</t>
    </r>
  </si>
  <si>
    <r>
      <rPr>
        <sz val="10"/>
        <color theme="5" tint="0.79995117038483843"/>
        <rFont val="標楷體"/>
        <family val="4"/>
        <charset val="136"/>
      </rPr>
      <t>至少比例</t>
    </r>
  </si>
  <si>
    <r>
      <rPr>
        <sz val="10"/>
        <color theme="5" tint="0.79995117038483843"/>
        <rFont val="標楷體"/>
        <family val="4"/>
        <charset val="136"/>
      </rPr>
      <t>最多年數</t>
    </r>
  </si>
  <si>
    <r>
      <rPr>
        <sz val="10"/>
        <color theme="5" tint="0.79995117038483843"/>
        <rFont val="標楷體"/>
        <family val="4"/>
        <charset val="136"/>
      </rPr>
      <t>折扣比例</t>
    </r>
  </si>
  <si>
    <t>IRR</t>
  </si>
  <si>
    <t>A</t>
  </si>
  <si>
    <t>B</t>
  </si>
  <si>
    <t>Per Policy</t>
  </si>
  <si>
    <t>% of GP</t>
  </si>
  <si>
    <t>α</t>
  </si>
  <si>
    <t>β</t>
  </si>
  <si>
    <t>γ</t>
  </si>
  <si>
    <t>每年比率</t>
  </si>
  <si>
    <t>至少百分比</t>
  </si>
  <si>
    <t>遞減係數</t>
  </si>
  <si>
    <t>Override</t>
  </si>
  <si>
    <t>[1]</t>
  </si>
  <si>
    <t>[1-1]</t>
  </si>
  <si>
    <t>[1-2]</t>
  </si>
  <si>
    <t>[2]</t>
  </si>
  <si>
    <t>[2-1]</t>
  </si>
  <si>
    <t>[2-2]</t>
  </si>
  <si>
    <t>[3]</t>
  </si>
  <si>
    <t>[3-1]</t>
  </si>
  <si>
    <t>[3-2]</t>
  </si>
  <si>
    <t>[4]</t>
  </si>
  <si>
    <t>[4-1]</t>
  </si>
  <si>
    <t>[4-2]</t>
  </si>
  <si>
    <t>C-1</t>
  </si>
  <si>
    <t>C-2</t>
  </si>
  <si>
    <t>C-3</t>
  </si>
  <si>
    <t>D</t>
  </si>
  <si>
    <t>A-1</t>
  </si>
  <si>
    <t>A-2</t>
  </si>
  <si>
    <t>A-3</t>
  </si>
  <si>
    <t>A-4</t>
  </si>
  <si>
    <t>A-5</t>
  </si>
  <si>
    <t>B-1</t>
  </si>
  <si>
    <t>B-2</t>
  </si>
  <si>
    <t>B-3</t>
  </si>
  <si>
    <t>B-4</t>
  </si>
  <si>
    <t>C-4</t>
  </si>
  <si>
    <t>C-5</t>
  </si>
  <si>
    <r>
      <rPr>
        <b/>
        <sz val="12"/>
        <color theme="1"/>
        <rFont val="標楷體"/>
        <family val="4"/>
        <charset val="136"/>
      </rPr>
      <t>資產額度分析</t>
    </r>
    <r>
      <rPr>
        <b/>
        <sz val="12"/>
        <color theme="1"/>
        <rFont val="Trebuchet MS"/>
        <family val="2"/>
      </rPr>
      <t xml:space="preserve"> (Asset Share Analysis )</t>
    </r>
    <r>
      <rPr>
        <b/>
        <sz val="12"/>
        <color theme="1"/>
        <rFont val="標楷體"/>
        <family val="4"/>
        <charset val="136"/>
      </rPr>
      <t>：彙整表</t>
    </r>
  </si>
  <si>
    <r>
      <t xml:space="preserve">1. </t>
    </r>
    <r>
      <rPr>
        <b/>
        <sz val="10"/>
        <color theme="1"/>
        <rFont val="標楷體"/>
        <family val="4"/>
        <charset val="136"/>
      </rPr>
      <t>利潤測試設定</t>
    </r>
  </si>
  <si>
    <r>
      <t xml:space="preserve">2. </t>
    </r>
    <r>
      <rPr>
        <b/>
        <sz val="10"/>
        <color theme="1"/>
        <rFont val="標楷體"/>
        <family val="4"/>
        <charset val="136"/>
      </rPr>
      <t>成本評估</t>
    </r>
  </si>
  <si>
    <r>
      <t xml:space="preserve">3. </t>
    </r>
    <r>
      <rPr>
        <b/>
        <sz val="10"/>
        <color theme="1"/>
        <rFont val="標楷體"/>
        <family val="4"/>
        <charset val="136"/>
      </rPr>
      <t>獲利分析</t>
    </r>
  </si>
  <si>
    <r>
      <t xml:space="preserve">4. </t>
    </r>
    <r>
      <rPr>
        <b/>
        <sz val="10"/>
        <color theme="1"/>
        <rFont val="標楷體"/>
        <family val="4"/>
        <charset val="136"/>
      </rPr>
      <t>利潤指標</t>
    </r>
  </si>
  <si>
    <r>
      <rPr>
        <sz val="10"/>
        <color theme="1"/>
        <rFont val="標楷體"/>
        <family val="4"/>
        <charset val="136"/>
      </rPr>
      <t>初年度成本</t>
    </r>
  </si>
  <si>
    <r>
      <rPr>
        <sz val="10"/>
        <color theme="1"/>
        <rFont val="標楷體"/>
        <family val="4"/>
        <charset val="136"/>
      </rPr>
      <t>獲利率</t>
    </r>
  </si>
  <si>
    <r>
      <rPr>
        <sz val="10"/>
        <color theme="1"/>
        <rFont val="標楷體"/>
        <family val="4"/>
        <charset val="136"/>
      </rPr>
      <t>淨利現值</t>
    </r>
    <r>
      <rPr>
        <sz val="10"/>
        <color theme="1"/>
        <rFont val="Trebuchet MS"/>
        <family val="2"/>
      </rPr>
      <t xml:space="preserve"> /
</t>
    </r>
    <r>
      <rPr>
        <sz val="10"/>
        <color theme="1"/>
        <rFont val="標楷體"/>
        <family val="4"/>
        <charset val="136"/>
      </rPr>
      <t>初年度保費</t>
    </r>
  </si>
  <si>
    <r>
      <rPr>
        <sz val="10"/>
        <color theme="1"/>
        <rFont val="標楷體"/>
        <family val="4"/>
        <charset val="136"/>
      </rPr>
      <t>投資報酬率</t>
    </r>
  </si>
  <si>
    <r>
      <rPr>
        <sz val="10"/>
        <color theme="1"/>
        <rFont val="標楷體"/>
        <family val="4"/>
        <charset val="136"/>
      </rPr>
      <t>責準金</t>
    </r>
  </si>
  <si>
    <r>
      <rPr>
        <sz val="10"/>
        <color theme="1"/>
        <rFont val="標楷體"/>
        <family val="4"/>
        <charset val="136"/>
      </rPr>
      <t>利差益</t>
    </r>
  </si>
  <si>
    <r>
      <rPr>
        <sz val="10"/>
        <color theme="1"/>
        <rFont val="標楷體"/>
        <family val="4"/>
        <charset val="136"/>
      </rPr>
      <t>業主權益率</t>
    </r>
  </si>
  <si>
    <r>
      <rPr>
        <sz val="10"/>
        <color theme="1"/>
        <rFont val="標楷體"/>
        <family val="4"/>
        <charset val="136"/>
      </rPr>
      <t>解約率</t>
    </r>
    <r>
      <rPr>
        <sz val="10"/>
        <color theme="1"/>
        <rFont val="Trebuchet MS"/>
        <family val="2"/>
      </rPr>
      <t xml:space="preserve"> x</t>
    </r>
  </si>
  <si>
    <r>
      <rPr>
        <sz val="10"/>
        <color theme="1"/>
        <rFont val="標楷體"/>
        <family val="4"/>
        <charset val="136"/>
      </rPr>
      <t>保費不足</t>
    </r>
  </si>
  <si>
    <r>
      <rPr>
        <sz val="10"/>
        <color theme="1"/>
        <rFont val="標楷體"/>
        <family val="4"/>
        <charset val="136"/>
      </rPr>
      <t>死差益</t>
    </r>
  </si>
  <si>
    <r>
      <rPr>
        <sz val="10"/>
        <color theme="1"/>
        <rFont val="標楷體"/>
        <family val="4"/>
        <charset val="136"/>
      </rPr>
      <t>淨利終值</t>
    </r>
  </si>
  <si>
    <r>
      <rPr>
        <sz val="10"/>
        <color theme="1"/>
        <rFont val="標楷體"/>
        <family val="4"/>
        <charset val="136"/>
      </rPr>
      <t>貼現利率</t>
    </r>
  </si>
  <si>
    <r>
      <rPr>
        <sz val="10"/>
        <color theme="1"/>
        <rFont val="標楷體"/>
        <family val="4"/>
        <charset val="136"/>
      </rPr>
      <t>費用率</t>
    </r>
    <r>
      <rPr>
        <sz val="10"/>
        <color theme="1"/>
        <rFont val="Trebuchet MS"/>
        <family val="2"/>
      </rPr>
      <t xml:space="preserve"> x</t>
    </r>
  </si>
  <si>
    <r>
      <rPr>
        <sz val="10"/>
        <color theme="1"/>
        <rFont val="標楷體"/>
        <family val="4"/>
        <charset val="136"/>
      </rPr>
      <t>固定</t>
    </r>
  </si>
  <si>
    <r>
      <rPr>
        <sz val="10"/>
        <color theme="1"/>
        <rFont val="標楷體"/>
        <family val="4"/>
        <charset val="136"/>
      </rPr>
      <t>費差益</t>
    </r>
  </si>
  <si>
    <r>
      <rPr>
        <sz val="10"/>
        <color theme="1"/>
        <rFont val="標楷體"/>
        <family val="4"/>
        <charset val="136"/>
      </rPr>
      <t>損益兩平</t>
    </r>
  </si>
  <si>
    <r>
      <rPr>
        <sz val="10"/>
        <color theme="1"/>
        <rFont val="標楷體"/>
        <family val="4"/>
        <charset val="136"/>
      </rPr>
      <t>宣告利率</t>
    </r>
  </si>
  <si>
    <r>
      <rPr>
        <sz val="10"/>
        <color theme="1"/>
        <rFont val="標楷體"/>
        <family val="4"/>
        <charset val="136"/>
      </rPr>
      <t>折扣率</t>
    </r>
  </si>
  <si>
    <r>
      <rPr>
        <sz val="10"/>
        <color theme="1"/>
        <rFont val="標楷體"/>
        <family val="4"/>
        <charset val="136"/>
      </rPr>
      <t>變動</t>
    </r>
  </si>
  <si>
    <r>
      <rPr>
        <sz val="10"/>
        <color theme="1"/>
        <rFont val="標楷體"/>
        <family val="4"/>
        <charset val="136"/>
      </rPr>
      <t>解約益</t>
    </r>
  </si>
  <si>
    <r>
      <rPr>
        <sz val="10"/>
        <color theme="1"/>
        <rFont val="標楷體"/>
        <family val="4"/>
        <charset val="136"/>
      </rPr>
      <t>由負轉正</t>
    </r>
  </si>
  <si>
    <r>
      <rPr>
        <sz val="10"/>
        <color theme="1"/>
        <rFont val="標楷體"/>
        <family val="4"/>
        <charset val="136"/>
      </rPr>
      <t>費用假設</t>
    </r>
  </si>
  <si>
    <r>
      <rPr>
        <sz val="10"/>
        <color theme="1"/>
        <rFont val="標楷體"/>
        <family val="4"/>
        <charset val="136"/>
      </rPr>
      <t>業佣</t>
    </r>
  </si>
  <si>
    <r>
      <t xml:space="preserve"># </t>
    </r>
    <r>
      <rPr>
        <b/>
        <sz val="11"/>
        <color theme="1"/>
        <rFont val="標楷體"/>
        <family val="4"/>
        <charset val="136"/>
      </rPr>
      <t>精算假設</t>
    </r>
  </si>
  <si>
    <r>
      <rPr>
        <b/>
        <sz val="10"/>
        <color theme="1"/>
        <rFont val="標楷體"/>
        <family val="4"/>
        <charset val="136"/>
      </rPr>
      <t>費用假設</t>
    </r>
  </si>
  <si>
    <r>
      <rPr>
        <b/>
        <sz val="10"/>
        <color theme="1"/>
        <rFont val="標楷體"/>
        <family val="4"/>
        <charset val="136"/>
      </rPr>
      <t>佣金率</t>
    </r>
  </si>
  <si>
    <r>
      <rPr>
        <sz val="10"/>
        <color theme="1"/>
        <rFont val="標楷體"/>
        <family val="4"/>
        <charset val="136"/>
      </rPr>
      <t>營業費用</t>
    </r>
  </si>
  <si>
    <r>
      <rPr>
        <sz val="10"/>
        <color theme="1"/>
        <rFont val="標楷體"/>
        <family val="4"/>
        <charset val="136"/>
      </rPr>
      <t>年度</t>
    </r>
    <r>
      <rPr>
        <sz val="10"/>
        <color theme="1"/>
        <rFont val="Trebuchet MS"/>
        <family val="2"/>
      </rPr>
      <t>\</t>
    </r>
    <r>
      <rPr>
        <sz val="10"/>
        <color theme="1"/>
        <rFont val="標楷體"/>
        <family val="4"/>
        <charset val="136"/>
      </rPr>
      <t>年期</t>
    </r>
  </si>
  <si>
    <r>
      <rPr>
        <sz val="10"/>
        <color theme="1"/>
        <rFont val="標楷體"/>
        <family val="4"/>
        <charset val="136"/>
      </rPr>
      <t>起始年齡</t>
    </r>
  </si>
  <si>
    <r>
      <rPr>
        <sz val="10"/>
        <color theme="1"/>
        <rFont val="標楷體"/>
        <family val="4"/>
        <charset val="136"/>
      </rPr>
      <t>項次</t>
    </r>
  </si>
  <si>
    <r>
      <rPr>
        <sz val="10"/>
        <color theme="1"/>
        <rFont val="標楷體"/>
        <family val="4"/>
        <charset val="136"/>
      </rPr>
      <t>財專呆</t>
    </r>
  </si>
  <si>
    <r>
      <rPr>
        <sz val="10"/>
        <color theme="1"/>
        <rFont val="標楷體"/>
        <family val="4"/>
        <charset val="136"/>
      </rPr>
      <t>每年比率</t>
    </r>
  </si>
  <si>
    <r>
      <rPr>
        <sz val="10"/>
        <color theme="1"/>
        <rFont val="標楷體"/>
        <family val="4"/>
        <charset val="136"/>
      </rPr>
      <t>至少百分比</t>
    </r>
  </si>
  <si>
    <r>
      <rPr>
        <sz val="10"/>
        <color theme="1"/>
        <rFont val="標楷體"/>
        <family val="4"/>
        <charset val="136"/>
      </rPr>
      <t>遞減係數</t>
    </r>
  </si>
  <si>
    <r>
      <rPr>
        <sz val="10"/>
        <color theme="1"/>
        <rFont val="標楷體"/>
        <family val="4"/>
        <charset val="136"/>
      </rPr>
      <t>營業稅率</t>
    </r>
  </si>
  <si>
    <r>
      <rPr>
        <b/>
        <sz val="10"/>
        <color theme="1"/>
        <rFont val="標楷體"/>
        <family val="4"/>
        <charset val="136"/>
      </rPr>
      <t>數理部：業務通路</t>
    </r>
  </si>
  <si>
    <r>
      <rPr>
        <sz val="10"/>
        <color theme="1"/>
        <rFont val="標楷體"/>
        <family val="4"/>
        <charset val="136"/>
      </rPr>
      <t>～</t>
    </r>
  </si>
  <si>
    <r>
      <rPr>
        <b/>
        <sz val="10"/>
        <color theme="1"/>
        <rFont val="標楷體"/>
        <family val="4"/>
        <charset val="136"/>
      </rPr>
      <t>數理部：保代通路</t>
    </r>
  </si>
  <si>
    <r>
      <rPr>
        <b/>
        <sz val="10"/>
        <color theme="1"/>
        <rFont val="標楷體"/>
        <family val="4"/>
        <charset val="136"/>
      </rPr>
      <t>精算部：業務通路</t>
    </r>
  </si>
  <si>
    <r>
      <rPr>
        <b/>
        <sz val="10"/>
        <color theme="1"/>
        <rFont val="標楷體"/>
        <family val="4"/>
        <charset val="136"/>
      </rPr>
      <t>精算部：保代通路</t>
    </r>
  </si>
  <si>
    <r>
      <rPr>
        <b/>
        <sz val="10"/>
        <color theme="1"/>
        <rFont val="標楷體"/>
        <family val="4"/>
        <charset val="136"/>
      </rPr>
      <t>保費佔率</t>
    </r>
  </si>
  <si>
    <r>
      <rPr>
        <b/>
        <sz val="10"/>
        <color theme="1"/>
        <rFont val="標楷體"/>
        <family val="4"/>
        <charset val="136"/>
      </rPr>
      <t>購買力假設</t>
    </r>
  </si>
  <si>
    <r>
      <rPr>
        <b/>
        <sz val="10"/>
        <color theme="1"/>
        <rFont val="標楷體"/>
        <family val="4"/>
        <charset val="136"/>
      </rPr>
      <t>代表年齡</t>
    </r>
  </si>
  <si>
    <r>
      <rPr>
        <sz val="10"/>
        <color theme="1"/>
        <rFont val="標楷體"/>
        <family val="4"/>
        <charset val="136"/>
      </rPr>
      <t>合計</t>
    </r>
  </si>
  <si>
    <r>
      <rPr>
        <sz val="8"/>
        <color theme="1"/>
        <rFont val="標楷體"/>
        <family val="4"/>
        <charset val="136"/>
      </rPr>
      <t>年齡起點</t>
    </r>
    <r>
      <rPr>
        <sz val="8"/>
        <color theme="1"/>
        <rFont val="Trebuchet MS"/>
        <family val="2"/>
      </rPr>
      <t>\</t>
    </r>
    <r>
      <rPr>
        <sz val="8"/>
        <color theme="1"/>
        <rFont val="標楷體"/>
        <family val="4"/>
        <charset val="136"/>
      </rPr>
      <t>性別</t>
    </r>
  </si>
  <si>
    <r>
      <rPr>
        <sz val="10"/>
        <color theme="1"/>
        <rFont val="標楷體"/>
        <family val="4"/>
        <charset val="136"/>
      </rPr>
      <t>男性</t>
    </r>
  </si>
  <si>
    <r>
      <rPr>
        <sz val="10"/>
        <color theme="1"/>
        <rFont val="標楷體"/>
        <family val="4"/>
        <charset val="136"/>
      </rPr>
      <t>女性</t>
    </r>
  </si>
  <si>
    <r>
      <rPr>
        <b/>
        <sz val="10"/>
        <color theme="1"/>
        <rFont val="標楷體"/>
        <family val="4"/>
        <charset val="136"/>
      </rPr>
      <t>解約率假設</t>
    </r>
  </si>
  <si>
    <r>
      <rPr>
        <sz val="10"/>
        <color theme="1"/>
        <rFont val="標楷體"/>
        <family val="4"/>
        <charset val="136"/>
      </rPr>
      <t>年度起點</t>
    </r>
  </si>
  <si>
    <r>
      <t xml:space="preserve"># </t>
    </r>
    <r>
      <rPr>
        <b/>
        <sz val="11"/>
        <color theme="1"/>
        <rFont val="標楷體"/>
        <family val="4"/>
        <charset val="136"/>
      </rPr>
      <t>報表輸出</t>
    </r>
  </si>
  <si>
    <r>
      <rPr>
        <b/>
        <sz val="10"/>
        <color theme="1"/>
        <rFont val="標楷體"/>
        <family val="4"/>
        <charset val="136"/>
      </rPr>
      <t>初年度成本</t>
    </r>
  </si>
  <si>
    <r>
      <rPr>
        <b/>
        <sz val="10"/>
        <color theme="1"/>
        <rFont val="標楷體"/>
        <family val="4"/>
        <charset val="136"/>
      </rPr>
      <t>責準金</t>
    </r>
  </si>
  <si>
    <r>
      <rPr>
        <b/>
        <sz val="10"/>
        <color theme="1"/>
        <rFont val="標楷體"/>
        <family val="4"/>
        <charset val="136"/>
      </rPr>
      <t>保費不足</t>
    </r>
  </si>
  <si>
    <r>
      <rPr>
        <b/>
        <sz val="10"/>
        <color theme="1"/>
        <rFont val="標楷體"/>
        <family val="4"/>
        <charset val="136"/>
      </rPr>
      <t>固定</t>
    </r>
  </si>
  <si>
    <r>
      <rPr>
        <b/>
        <sz val="10"/>
        <color theme="1"/>
        <rFont val="標楷體"/>
        <family val="4"/>
        <charset val="136"/>
      </rPr>
      <t>變動</t>
    </r>
  </si>
  <si>
    <r>
      <rPr>
        <b/>
        <sz val="10"/>
        <color theme="1"/>
        <rFont val="標楷體"/>
        <family val="4"/>
        <charset val="136"/>
      </rPr>
      <t>業佣</t>
    </r>
  </si>
  <si>
    <r>
      <rPr>
        <sz val="10"/>
        <color theme="1"/>
        <rFont val="標楷體"/>
        <family val="4"/>
        <charset val="136"/>
      </rPr>
      <t>年齡</t>
    </r>
    <r>
      <rPr>
        <sz val="10"/>
        <color theme="1"/>
        <rFont val="Trebuchet MS"/>
        <family val="2"/>
      </rPr>
      <t>\</t>
    </r>
    <r>
      <rPr>
        <sz val="10"/>
        <color theme="1"/>
        <rFont val="標楷體"/>
        <family val="4"/>
        <charset val="136"/>
      </rPr>
      <t>性別</t>
    </r>
  </si>
  <si>
    <r>
      <rPr>
        <sz val="10"/>
        <color theme="1"/>
        <rFont val="標楷體"/>
        <family val="4"/>
        <charset val="136"/>
      </rPr>
      <t>年期</t>
    </r>
    <r>
      <rPr>
        <sz val="10"/>
        <color theme="1"/>
        <rFont val="Trebuchet MS"/>
        <family val="2"/>
      </rPr>
      <t>\</t>
    </r>
    <r>
      <rPr>
        <sz val="10"/>
        <color theme="1"/>
        <rFont val="標楷體"/>
        <family val="4"/>
        <charset val="136"/>
      </rPr>
      <t>項目</t>
    </r>
  </si>
  <si>
    <r>
      <rPr>
        <sz val="10"/>
        <color theme="1"/>
        <rFont val="標楷體"/>
        <family val="4"/>
        <charset val="136"/>
      </rPr>
      <t>年期合計</t>
    </r>
  </si>
  <si>
    <r>
      <rPr>
        <b/>
        <sz val="10"/>
        <color theme="1"/>
        <rFont val="標楷體"/>
        <family val="4"/>
        <charset val="136"/>
      </rPr>
      <t>獲利率</t>
    </r>
  </si>
  <si>
    <r>
      <rPr>
        <b/>
        <sz val="10"/>
        <color theme="1"/>
        <rFont val="標楷體"/>
        <family val="4"/>
        <charset val="136"/>
      </rPr>
      <t>利差益</t>
    </r>
  </si>
  <si>
    <r>
      <rPr>
        <b/>
        <sz val="10"/>
        <color theme="1"/>
        <rFont val="標楷體"/>
        <family val="4"/>
        <charset val="136"/>
      </rPr>
      <t>死差益</t>
    </r>
  </si>
  <si>
    <r>
      <rPr>
        <b/>
        <sz val="10"/>
        <color theme="1"/>
        <rFont val="標楷體"/>
        <family val="4"/>
        <charset val="136"/>
      </rPr>
      <t>費差益</t>
    </r>
  </si>
  <si>
    <r>
      <rPr>
        <b/>
        <sz val="10"/>
        <color theme="1"/>
        <rFont val="標楷體"/>
        <family val="4"/>
        <charset val="136"/>
      </rPr>
      <t>解約益</t>
    </r>
  </si>
  <si>
    <r>
      <rPr>
        <b/>
        <sz val="10"/>
        <color theme="1"/>
        <rFont val="標楷體"/>
        <family val="4"/>
        <charset val="136"/>
      </rPr>
      <t>淨利</t>
    </r>
    <r>
      <rPr>
        <b/>
        <sz val="10"/>
        <color theme="1"/>
        <rFont val="Trebuchet MS"/>
        <family val="2"/>
      </rPr>
      <t>/</t>
    </r>
    <r>
      <rPr>
        <b/>
        <sz val="10"/>
        <color theme="1"/>
        <rFont val="標楷體"/>
        <family val="4"/>
        <charset val="136"/>
      </rPr>
      <t>保費</t>
    </r>
  </si>
  <si>
    <r>
      <rPr>
        <b/>
        <sz val="10"/>
        <color theme="1"/>
        <rFont val="標楷體"/>
        <family val="4"/>
        <charset val="136"/>
      </rPr>
      <t>淨利終值</t>
    </r>
  </si>
  <si>
    <r>
      <rPr>
        <b/>
        <sz val="10"/>
        <color theme="1"/>
        <rFont val="標楷體"/>
        <family val="4"/>
        <charset val="136"/>
      </rPr>
      <t>損益兩平</t>
    </r>
  </si>
  <si>
    <r>
      <rPr>
        <b/>
        <sz val="10"/>
        <color theme="1"/>
        <rFont val="標楷體"/>
        <family val="4"/>
        <charset val="136"/>
      </rPr>
      <t>由負轉正</t>
    </r>
  </si>
  <si>
    <r>
      <rPr>
        <sz val="10"/>
        <color theme="1"/>
        <rFont val="標楷體"/>
        <family val="4"/>
        <charset val="136"/>
      </rPr>
      <t>淨利</t>
    </r>
    <r>
      <rPr>
        <sz val="10"/>
        <color theme="1"/>
        <rFont val="Trebuchet MS"/>
        <family val="2"/>
      </rPr>
      <t>/</t>
    </r>
    <r>
      <rPr>
        <sz val="10"/>
        <color theme="1"/>
        <rFont val="標楷體"/>
        <family val="4"/>
        <charset val="136"/>
      </rPr>
      <t>保費</t>
    </r>
  </si>
  <si>
    <t>Index</t>
  </si>
  <si>
    <r>
      <rPr>
        <sz val="10"/>
        <color theme="1"/>
        <rFont val="標楷體"/>
        <family val="4"/>
        <charset val="136"/>
      </rPr>
      <t>保費現值</t>
    </r>
  </si>
  <si>
    <r>
      <rPr>
        <sz val="10"/>
        <color theme="1"/>
        <rFont val="標楷體"/>
        <family val="4"/>
        <charset val="136"/>
      </rPr>
      <t>利潤現值</t>
    </r>
  </si>
  <si>
    <r>
      <rPr>
        <sz val="10"/>
        <color theme="1"/>
        <rFont val="標楷體"/>
        <family val="4"/>
        <charset val="136"/>
      </rPr>
      <t>現值</t>
    </r>
  </si>
  <si>
    <r>
      <rPr>
        <b/>
        <sz val="12"/>
        <color theme="1"/>
        <rFont val="標楷體"/>
        <family val="4"/>
        <charset val="136"/>
      </rPr>
      <t>資產額度分析</t>
    </r>
  </si>
  <si>
    <r>
      <rPr>
        <sz val="10"/>
        <color theme="1"/>
        <rFont val="標楷體"/>
        <family val="4"/>
        <charset val="136"/>
      </rPr>
      <t>時間軸</t>
    </r>
  </si>
  <si>
    <r>
      <rPr>
        <sz val="10"/>
        <color theme="1"/>
        <rFont val="標楷體"/>
        <family val="4"/>
        <charset val="136"/>
      </rPr>
      <t>年初收入</t>
    </r>
  </si>
  <si>
    <r>
      <rPr>
        <sz val="10"/>
        <color theme="1"/>
        <rFont val="標楷體"/>
        <family val="4"/>
        <charset val="136"/>
      </rPr>
      <t>年初支出</t>
    </r>
    <r>
      <rPr>
        <sz val="10"/>
        <color theme="1"/>
        <rFont val="Trebuchet MS"/>
        <family val="2"/>
      </rPr>
      <t xml:space="preserve">: </t>
    </r>
    <r>
      <rPr>
        <sz val="10"/>
        <color theme="1"/>
        <rFont val="標楷體"/>
        <family val="4"/>
        <charset val="136"/>
      </rPr>
      <t>費用</t>
    </r>
  </si>
  <si>
    <r>
      <rPr>
        <sz val="10"/>
        <color theme="1"/>
        <rFont val="標楷體"/>
        <family val="4"/>
        <charset val="136"/>
      </rPr>
      <t>年中支出</t>
    </r>
  </si>
  <si>
    <r>
      <rPr>
        <sz val="10"/>
        <color theme="1"/>
        <rFont val="標楷體"/>
        <family val="4"/>
        <charset val="136"/>
      </rPr>
      <t>年末支出</t>
    </r>
    <r>
      <rPr>
        <sz val="10"/>
        <color theme="1"/>
        <rFont val="Trebuchet MS"/>
        <family val="2"/>
      </rPr>
      <t xml:space="preserve">: </t>
    </r>
    <r>
      <rPr>
        <sz val="10"/>
        <color theme="1"/>
        <rFont val="標楷體"/>
        <family val="4"/>
        <charset val="136"/>
      </rPr>
      <t>保單</t>
    </r>
    <r>
      <rPr>
        <sz val="10"/>
        <color theme="1"/>
        <rFont val="Trebuchet MS"/>
        <family val="2"/>
      </rPr>
      <t xml:space="preserve"> </t>
    </r>
    <r>
      <rPr>
        <sz val="10"/>
        <color theme="1"/>
        <rFont val="標楷體"/>
        <family val="4"/>
        <charset val="136"/>
      </rPr>
      <t>費用</t>
    </r>
  </si>
  <si>
    <r>
      <rPr>
        <sz val="10"/>
        <color theme="1"/>
        <rFont val="標楷體"/>
        <family val="4"/>
        <charset val="136"/>
      </rPr>
      <t>期末負債</t>
    </r>
  </si>
  <si>
    <r>
      <rPr>
        <sz val="10"/>
        <color theme="1"/>
        <rFont val="標楷體"/>
        <family val="4"/>
        <charset val="136"/>
      </rPr>
      <t>利潤測試假設</t>
    </r>
  </si>
  <si>
    <r>
      <rPr>
        <sz val="10"/>
        <color theme="1"/>
        <rFont val="標楷體"/>
        <family val="4"/>
        <charset val="136"/>
      </rPr>
      <t>當年度發生率</t>
    </r>
  </si>
  <si>
    <r>
      <rPr>
        <sz val="10"/>
        <color theme="1"/>
        <rFont val="標楷體"/>
        <family val="4"/>
        <charset val="136"/>
      </rPr>
      <t>資產負債分析</t>
    </r>
  </si>
  <si>
    <r>
      <rPr>
        <sz val="10"/>
        <color theme="1"/>
        <rFont val="標楷體"/>
        <family val="4"/>
        <charset val="136"/>
      </rPr>
      <t>獲利分析</t>
    </r>
  </si>
  <si>
    <r>
      <rPr>
        <sz val="10"/>
        <color theme="1"/>
        <rFont val="標楷體"/>
        <family val="4"/>
        <charset val="136"/>
      </rPr>
      <t>計算假設</t>
    </r>
  </si>
  <si>
    <r>
      <rPr>
        <sz val="10"/>
        <color theme="1"/>
        <rFont val="標楷體"/>
        <family val="4"/>
        <charset val="136"/>
      </rPr>
      <t>利源拆分</t>
    </r>
  </si>
  <si>
    <r>
      <rPr>
        <sz val="10"/>
        <color theme="1"/>
        <rFont val="標楷體"/>
        <family val="4"/>
        <charset val="136"/>
      </rPr>
      <t>保單
年度</t>
    </r>
  </si>
  <si>
    <r>
      <rPr>
        <sz val="10"/>
        <color theme="1"/>
        <rFont val="標楷體"/>
        <family val="4"/>
        <charset val="136"/>
      </rPr>
      <t>期初
年齡</t>
    </r>
  </si>
  <si>
    <r>
      <rPr>
        <sz val="10"/>
        <color theme="1"/>
        <rFont val="標楷體"/>
        <family val="4"/>
        <charset val="136"/>
      </rPr>
      <t>表定
保費</t>
    </r>
  </si>
  <si>
    <r>
      <rPr>
        <sz val="10"/>
        <color theme="1"/>
        <rFont val="標楷體"/>
        <family val="4"/>
        <charset val="136"/>
      </rPr>
      <t>實收
保費</t>
    </r>
  </si>
  <si>
    <r>
      <rPr>
        <sz val="10"/>
        <color theme="1"/>
        <rFont val="標楷體"/>
        <family val="4"/>
        <charset val="136"/>
      </rPr>
      <t xml:space="preserve">初年度
</t>
    </r>
    <r>
      <rPr>
        <sz val="10"/>
        <color theme="1"/>
        <rFont val="Trebuchet MS"/>
        <family val="2"/>
      </rPr>
      <t>α</t>
    </r>
  </si>
  <si>
    <r>
      <rPr>
        <sz val="10"/>
        <color theme="1"/>
        <rFont val="標楷體"/>
        <family val="4"/>
        <charset val="136"/>
      </rPr>
      <t xml:space="preserve">續年度
</t>
    </r>
    <r>
      <rPr>
        <sz val="10"/>
        <color theme="1"/>
        <rFont val="Trebuchet MS"/>
        <family val="2"/>
      </rPr>
      <t>β</t>
    </r>
  </si>
  <si>
    <r>
      <rPr>
        <sz val="10"/>
        <color theme="1"/>
        <rFont val="標楷體"/>
        <family val="4"/>
        <charset val="136"/>
      </rPr>
      <t xml:space="preserve">收費
</t>
    </r>
    <r>
      <rPr>
        <sz val="10"/>
        <color theme="1"/>
        <rFont val="Trebuchet MS"/>
        <family val="2"/>
      </rPr>
      <t>γ</t>
    </r>
  </si>
  <si>
    <r>
      <rPr>
        <sz val="10"/>
        <color theme="1"/>
        <rFont val="標楷體"/>
        <family val="4"/>
        <charset val="136"/>
      </rPr>
      <t>業佣
成本</t>
    </r>
  </si>
  <si>
    <r>
      <rPr>
        <sz val="10"/>
        <color theme="1"/>
        <rFont val="標楷體"/>
        <family val="4"/>
        <charset val="136"/>
      </rPr>
      <t>身故
給付</t>
    </r>
  </si>
  <si>
    <r>
      <rPr>
        <sz val="10"/>
        <color theme="1"/>
        <rFont val="標楷體"/>
        <family val="4"/>
        <charset val="136"/>
      </rPr>
      <t>生存
給付</t>
    </r>
  </si>
  <si>
    <r>
      <rPr>
        <sz val="10"/>
        <color theme="1"/>
        <rFont val="標楷體"/>
        <family val="4"/>
        <charset val="136"/>
      </rPr>
      <t>解約
給付</t>
    </r>
  </si>
  <si>
    <r>
      <rPr>
        <sz val="10"/>
        <color theme="1"/>
        <rFont val="標楷體"/>
        <family val="4"/>
        <charset val="136"/>
      </rPr>
      <t>營業稅</t>
    </r>
  </si>
  <si>
    <r>
      <rPr>
        <sz val="10"/>
        <color theme="1"/>
        <rFont val="標楷體"/>
        <family val="4"/>
        <charset val="136"/>
      </rPr>
      <t>財專呆
比率</t>
    </r>
  </si>
  <si>
    <r>
      <rPr>
        <sz val="10"/>
        <color theme="1"/>
        <rFont val="標楷體"/>
        <family val="4"/>
        <charset val="136"/>
      </rPr>
      <t>法定
責準金</t>
    </r>
  </si>
  <si>
    <r>
      <rPr>
        <sz val="10"/>
        <color theme="1"/>
        <rFont val="標楷體"/>
        <family val="4"/>
        <charset val="136"/>
      </rPr>
      <t>保費不足
準備金</t>
    </r>
  </si>
  <si>
    <r>
      <rPr>
        <sz val="10"/>
        <color theme="1"/>
        <rFont val="標楷體"/>
        <family val="4"/>
        <charset val="136"/>
      </rPr>
      <t>法定
未來負債</t>
    </r>
  </si>
  <si>
    <r>
      <rPr>
        <sz val="10"/>
        <color theme="1"/>
        <rFont val="標楷體"/>
        <family val="4"/>
        <charset val="136"/>
      </rPr>
      <t>投資
報酬率</t>
    </r>
  </si>
  <si>
    <r>
      <rPr>
        <sz val="10"/>
        <color theme="1"/>
        <rFont val="標楷體"/>
        <family val="4"/>
        <charset val="136"/>
      </rPr>
      <t>表定
死亡率</t>
    </r>
  </si>
  <si>
    <r>
      <rPr>
        <sz val="10"/>
        <color theme="1"/>
        <rFont val="標楷體"/>
        <family val="4"/>
        <charset val="136"/>
      </rPr>
      <t>實際
死亡率</t>
    </r>
  </si>
  <si>
    <r>
      <rPr>
        <sz val="10"/>
        <color theme="1"/>
        <rFont val="標楷體"/>
        <family val="4"/>
        <charset val="136"/>
      </rPr>
      <t>實際
解約率</t>
    </r>
  </si>
  <si>
    <r>
      <rPr>
        <sz val="10"/>
        <color theme="1"/>
        <rFont val="標楷體"/>
        <family val="4"/>
        <charset val="136"/>
      </rPr>
      <t>年初
殘存率</t>
    </r>
  </si>
  <si>
    <r>
      <rPr>
        <sz val="10"/>
        <color theme="1"/>
        <rFont val="標楷體"/>
        <family val="4"/>
        <charset val="136"/>
      </rPr>
      <t>年中
死亡率</t>
    </r>
  </si>
  <si>
    <r>
      <rPr>
        <sz val="10"/>
        <color theme="1"/>
        <rFont val="標楷體"/>
        <family val="4"/>
        <charset val="136"/>
      </rPr>
      <t>年末
解約率</t>
    </r>
  </si>
  <si>
    <r>
      <rPr>
        <sz val="10"/>
        <color theme="1"/>
        <rFont val="標楷體"/>
        <family val="4"/>
        <charset val="136"/>
      </rPr>
      <t>年末
殘存率</t>
    </r>
  </si>
  <si>
    <r>
      <rPr>
        <sz val="10"/>
        <color theme="1"/>
        <rFont val="標楷體"/>
        <family val="4"/>
        <charset val="136"/>
      </rPr>
      <t>期初
資產</t>
    </r>
  </si>
  <si>
    <r>
      <rPr>
        <sz val="10"/>
        <color theme="1"/>
        <rFont val="標楷體"/>
        <family val="4"/>
        <charset val="136"/>
      </rPr>
      <t>期初
保費收入</t>
    </r>
  </si>
  <si>
    <r>
      <rPr>
        <sz val="10"/>
        <color theme="1"/>
        <rFont val="標楷體"/>
        <family val="4"/>
        <charset val="136"/>
      </rPr>
      <t>期初
費用支出</t>
    </r>
  </si>
  <si>
    <r>
      <rPr>
        <sz val="10"/>
        <color theme="1"/>
        <rFont val="標楷體"/>
        <family val="4"/>
        <charset val="136"/>
      </rPr>
      <t>期中
身故支出</t>
    </r>
  </si>
  <si>
    <r>
      <rPr>
        <sz val="10"/>
        <color theme="1"/>
        <rFont val="標楷體"/>
        <family val="4"/>
        <charset val="136"/>
      </rPr>
      <t>期末
生存支出</t>
    </r>
  </si>
  <si>
    <r>
      <rPr>
        <sz val="10"/>
        <color theme="1"/>
        <rFont val="標楷體"/>
        <family val="4"/>
        <charset val="136"/>
      </rPr>
      <t>期末
解約支出</t>
    </r>
  </si>
  <si>
    <r>
      <rPr>
        <sz val="10"/>
        <color theme="1"/>
        <rFont val="標楷體"/>
        <family val="4"/>
        <charset val="136"/>
      </rPr>
      <t>期末
營業稅支出</t>
    </r>
  </si>
  <si>
    <r>
      <rPr>
        <sz val="10"/>
        <color theme="1"/>
        <rFont val="標楷體"/>
        <family val="4"/>
        <charset val="136"/>
      </rPr>
      <t>期末
財專呆支出</t>
    </r>
  </si>
  <si>
    <r>
      <rPr>
        <sz val="10"/>
        <color theme="1"/>
        <rFont val="標楷體"/>
        <family val="4"/>
        <charset val="136"/>
      </rPr>
      <t>期末
利息收入</t>
    </r>
  </si>
  <si>
    <r>
      <rPr>
        <sz val="10"/>
        <color theme="1"/>
        <rFont val="標楷體"/>
        <family val="4"/>
        <charset val="136"/>
      </rPr>
      <t>期末
資產</t>
    </r>
  </si>
  <si>
    <r>
      <rPr>
        <sz val="10"/>
        <color theme="1"/>
        <rFont val="標楷體"/>
        <family val="4"/>
        <charset val="136"/>
      </rPr>
      <t>期末
負債</t>
    </r>
  </si>
  <si>
    <r>
      <rPr>
        <sz val="10"/>
        <color theme="1"/>
        <rFont val="標楷體"/>
        <family val="4"/>
        <charset val="136"/>
      </rPr>
      <t>期末
累積盈餘</t>
    </r>
  </si>
  <si>
    <r>
      <rPr>
        <sz val="10"/>
        <color theme="1"/>
        <rFont val="標楷體"/>
        <family val="4"/>
        <charset val="136"/>
      </rPr>
      <t>各期
淨得</t>
    </r>
  </si>
  <si>
    <r>
      <rPr>
        <sz val="10"/>
        <color theme="1"/>
        <rFont val="標楷體"/>
        <family val="4"/>
        <charset val="136"/>
      </rPr>
      <t>各期
利潤</t>
    </r>
  </si>
  <si>
    <r>
      <rPr>
        <sz val="10"/>
        <color theme="1"/>
        <rFont val="標楷體"/>
        <family val="4"/>
        <charset val="136"/>
      </rPr>
      <t>損益兩平
年度</t>
    </r>
  </si>
  <si>
    <r>
      <rPr>
        <sz val="10"/>
        <color theme="1"/>
        <rFont val="標楷體"/>
        <family val="4"/>
        <charset val="136"/>
      </rPr>
      <t>由正轉負
年度</t>
    </r>
  </si>
  <si>
    <r>
      <rPr>
        <sz val="10"/>
        <color theme="1"/>
        <rFont val="標楷體"/>
        <family val="4"/>
        <charset val="136"/>
      </rPr>
      <t>精算
準備金</t>
    </r>
  </si>
  <si>
    <r>
      <rPr>
        <sz val="10"/>
        <color theme="1"/>
        <rFont val="標楷體"/>
        <family val="4"/>
        <charset val="136"/>
      </rPr>
      <t>提存
利率</t>
    </r>
  </si>
  <si>
    <r>
      <rPr>
        <sz val="10"/>
        <color theme="1"/>
        <rFont val="標楷體"/>
        <family val="4"/>
        <charset val="136"/>
      </rPr>
      <t>提存
死亡率</t>
    </r>
  </si>
  <si>
    <r>
      <rPr>
        <sz val="10"/>
        <color theme="1"/>
        <rFont val="標楷體"/>
        <family val="4"/>
        <charset val="136"/>
      </rPr>
      <t>負債差</t>
    </r>
  </si>
  <si>
    <r>
      <rPr>
        <sz val="10"/>
        <color theme="1"/>
        <rFont val="標楷體"/>
        <family val="4"/>
        <charset val="136"/>
      </rPr>
      <t>利</t>
    </r>
    <r>
      <rPr>
        <sz val="10"/>
        <color theme="1"/>
        <rFont val="Trebuchet MS"/>
        <family val="2"/>
      </rPr>
      <t>x</t>
    </r>
    <r>
      <rPr>
        <sz val="10"/>
        <color theme="1"/>
        <rFont val="標楷體"/>
        <family val="4"/>
        <charset val="136"/>
      </rPr>
      <t>死</t>
    </r>
  </si>
  <si>
    <r>
      <rPr>
        <sz val="10"/>
        <color theme="1"/>
        <rFont val="標楷體"/>
        <family val="4"/>
        <charset val="136"/>
      </rPr>
      <t>利</t>
    </r>
    <r>
      <rPr>
        <sz val="10"/>
        <color theme="1"/>
        <rFont val="Trebuchet MS"/>
        <family val="2"/>
      </rPr>
      <t>x</t>
    </r>
    <r>
      <rPr>
        <sz val="10"/>
        <color theme="1"/>
        <rFont val="標楷體"/>
        <family val="4"/>
        <charset val="136"/>
      </rPr>
      <t>費</t>
    </r>
  </si>
  <si>
    <r>
      <rPr>
        <sz val="10"/>
        <color theme="1"/>
        <rFont val="標楷體"/>
        <family val="4"/>
        <charset val="136"/>
      </rPr>
      <t>利</t>
    </r>
    <r>
      <rPr>
        <sz val="10"/>
        <color theme="1"/>
        <rFont val="Trebuchet MS"/>
        <family val="2"/>
      </rPr>
      <t>x</t>
    </r>
    <r>
      <rPr>
        <sz val="10"/>
        <color theme="1"/>
        <rFont val="標楷體"/>
        <family val="4"/>
        <charset val="136"/>
      </rPr>
      <t>負</t>
    </r>
  </si>
  <si>
    <r>
      <rPr>
        <sz val="10"/>
        <color theme="1"/>
        <rFont val="標楷體"/>
        <family val="4"/>
        <charset val="136"/>
      </rPr>
      <t>解</t>
    </r>
    <r>
      <rPr>
        <sz val="10"/>
        <color theme="1"/>
        <rFont val="Trebuchet MS"/>
        <family val="2"/>
      </rPr>
      <t>x</t>
    </r>
    <r>
      <rPr>
        <sz val="10"/>
        <color theme="1"/>
        <rFont val="標楷體"/>
        <family val="4"/>
        <charset val="136"/>
      </rPr>
      <t>負</t>
    </r>
  </si>
  <si>
    <r>
      <rPr>
        <sz val="10"/>
        <color theme="1"/>
        <rFont val="標楷體"/>
        <family val="4"/>
        <charset val="136"/>
      </rPr>
      <t>死</t>
    </r>
    <r>
      <rPr>
        <sz val="10"/>
        <color theme="1"/>
        <rFont val="Trebuchet MS"/>
        <family val="2"/>
      </rPr>
      <t>x</t>
    </r>
    <r>
      <rPr>
        <sz val="10"/>
        <color theme="1"/>
        <rFont val="標楷體"/>
        <family val="4"/>
        <charset val="136"/>
      </rPr>
      <t>負</t>
    </r>
  </si>
  <si>
    <r>
      <rPr>
        <sz val="10"/>
        <color theme="1"/>
        <rFont val="標楷體"/>
        <family val="4"/>
        <charset val="136"/>
      </rPr>
      <t>財專呆
交互因子</t>
    </r>
  </si>
  <si>
    <r>
      <rPr>
        <sz val="10"/>
        <color theme="1"/>
        <rFont val="標楷體"/>
        <family val="4"/>
        <charset val="136"/>
      </rPr>
      <t>基本資料</t>
    </r>
  </si>
  <si>
    <r>
      <rPr>
        <sz val="10"/>
        <color theme="1"/>
        <rFont val="標楷體"/>
        <family val="4"/>
        <charset val="136"/>
      </rPr>
      <t>利潤測試設定</t>
    </r>
  </si>
  <si>
    <r>
      <rPr>
        <sz val="10"/>
        <color theme="1"/>
        <rFont val="標楷體"/>
        <family val="4"/>
        <charset val="136"/>
      </rPr>
      <t>表定保費</t>
    </r>
  </si>
  <si>
    <r>
      <rPr>
        <sz val="10"/>
        <color theme="1"/>
        <rFont val="標楷體"/>
        <family val="4"/>
        <charset val="136"/>
      </rPr>
      <t>實收保費</t>
    </r>
  </si>
  <si>
    <r>
      <rPr>
        <sz val="10"/>
        <color theme="1"/>
        <rFont val="標楷體"/>
        <family val="4"/>
        <charset val="136"/>
      </rPr>
      <t>佔率</t>
    </r>
  </si>
  <si>
    <r>
      <rPr>
        <sz val="10"/>
        <color theme="1"/>
        <rFont val="標楷體"/>
        <family val="4"/>
        <charset val="136"/>
      </rPr>
      <t>成本評估</t>
    </r>
  </si>
  <si>
    <r>
      <rPr>
        <sz val="10"/>
        <color theme="1"/>
        <rFont val="標楷體"/>
        <family val="4"/>
        <charset val="136"/>
      </rPr>
      <t>利源分析</t>
    </r>
  </si>
  <si>
    <r>
      <rPr>
        <sz val="10"/>
        <color theme="1"/>
        <rFont val="標楷體"/>
        <family val="4"/>
        <charset val="136"/>
      </rPr>
      <t>利潤指標</t>
    </r>
  </si>
  <si>
    <r>
      <rPr>
        <sz val="10"/>
        <color theme="1"/>
        <rFont val="標楷體"/>
        <family val="4"/>
        <charset val="136"/>
      </rPr>
      <t>淨利現值</t>
    </r>
    <r>
      <rPr>
        <sz val="10"/>
        <color theme="1"/>
        <rFont val="Trebuchet MS"/>
        <family val="2"/>
      </rPr>
      <t xml:space="preserve"> /
</t>
    </r>
    <r>
      <rPr>
        <sz val="10"/>
        <color theme="1"/>
        <rFont val="標楷體"/>
        <family val="4"/>
        <charset val="136"/>
      </rPr>
      <t>初年度保費</t>
    </r>
    <r>
      <rPr>
        <sz val="10"/>
        <color theme="1"/>
        <rFont val="Trebuchet MS"/>
        <family val="2"/>
      </rPr>
      <t xml:space="preserve"> </t>
    </r>
  </si>
  <si>
    <r>
      <rPr>
        <sz val="10"/>
        <color theme="1"/>
        <rFont val="標楷體"/>
        <family val="4"/>
        <charset val="136"/>
      </rPr>
      <t>計算基礎</t>
    </r>
  </si>
  <si>
    <r>
      <rPr>
        <sz val="10"/>
        <color theme="1"/>
        <rFont val="標楷體"/>
        <family val="4"/>
        <charset val="136"/>
      </rPr>
      <t>項目</t>
    </r>
  </si>
  <si>
    <r>
      <rPr>
        <sz val="10"/>
        <color theme="1"/>
        <rFont val="標楷體"/>
        <family val="4"/>
        <charset val="136"/>
      </rPr>
      <t>保價金</t>
    </r>
    <r>
      <rPr>
        <sz val="10"/>
        <color theme="1"/>
        <rFont val="Trebuchet MS"/>
        <family val="2"/>
      </rPr>
      <t>(L)</t>
    </r>
  </si>
  <si>
    <r>
      <rPr>
        <sz val="10"/>
        <color theme="1"/>
        <rFont val="標楷體"/>
        <family val="4"/>
        <charset val="136"/>
      </rPr>
      <t>責準金</t>
    </r>
    <r>
      <rPr>
        <sz val="10"/>
        <color theme="1"/>
        <rFont val="Trebuchet MS"/>
        <family val="2"/>
      </rPr>
      <t>(X)</t>
    </r>
  </si>
  <si>
    <r>
      <rPr>
        <sz val="10"/>
        <color theme="1"/>
        <rFont val="標楷體"/>
        <family val="4"/>
        <charset val="136"/>
      </rPr>
      <t>年度</t>
    </r>
  </si>
  <si>
    <r>
      <rPr>
        <sz val="10"/>
        <color theme="1"/>
        <rFont val="標楷體"/>
        <family val="4"/>
        <charset val="136"/>
      </rPr>
      <t>佣金率</t>
    </r>
  </si>
  <si>
    <t>IRR</t>
    <phoneticPr fontId="1" type="noConversion"/>
  </si>
  <si>
    <t>FC</t>
  </si>
  <si>
    <t>PM</t>
  </si>
  <si>
    <r>
      <rPr>
        <sz val="10"/>
        <color theme="1"/>
        <rFont val="標楷體"/>
        <family val="4"/>
        <charset val="136"/>
      </rPr>
      <t xml:space="preserve">保戶
</t>
    </r>
    <r>
      <rPr>
        <sz val="10"/>
        <color theme="1"/>
        <rFont val="Trebuchet MS"/>
        <family val="2"/>
      </rPr>
      <t>IRR</t>
    </r>
    <phoneticPr fontId="1" type="noConversion"/>
  </si>
  <si>
    <t xml:space="preserve">    IRR</t>
    <phoneticPr fontId="1" type="noConversion"/>
  </si>
  <si>
    <r>
      <rPr>
        <sz val="16"/>
        <color theme="1"/>
        <rFont val="標楷體"/>
        <family val="4"/>
        <charset val="136"/>
      </rPr>
      <t>邊際利潤</t>
    </r>
    <phoneticPr fontId="1" type="noConversion"/>
  </si>
  <si>
    <r>
      <rPr>
        <sz val="16"/>
        <color theme="1"/>
        <rFont val="標楷體"/>
        <family val="4"/>
        <charset val="136"/>
      </rPr>
      <t>負債存續期間</t>
    </r>
    <phoneticPr fontId="1" type="noConversion"/>
  </si>
  <si>
    <r>
      <rPr>
        <sz val="10"/>
        <color theme="5" tint="0.79995117038483843"/>
        <rFont val="標楷體"/>
        <family val="4"/>
        <charset val="136"/>
      </rPr>
      <t>男</t>
    </r>
    <r>
      <rPr>
        <sz val="10"/>
        <color theme="5" tint="0.79995117038483843"/>
        <rFont val="Trebuchet MS"/>
        <family val="2"/>
      </rPr>
      <t>(</t>
    </r>
    <r>
      <rPr>
        <sz val="10"/>
        <color theme="5" tint="0.79995117038483843"/>
        <rFont val="標楷體"/>
        <family val="4"/>
        <charset val="136"/>
      </rPr>
      <t>低齡</t>
    </r>
    <r>
      <rPr>
        <sz val="10"/>
        <color theme="5" tint="0.79995117038483843"/>
        <rFont val="Trebuchet MS"/>
        <family val="2"/>
      </rPr>
      <t>)</t>
    </r>
  </si>
  <si>
    <r>
      <rPr>
        <sz val="10"/>
        <color theme="5" tint="0.79995117038483843"/>
        <rFont val="標楷體"/>
        <family val="4"/>
        <charset val="136"/>
      </rPr>
      <t>男</t>
    </r>
    <r>
      <rPr>
        <sz val="10"/>
        <color theme="5" tint="0.79995117038483843"/>
        <rFont val="Trebuchet MS"/>
        <family val="2"/>
      </rPr>
      <t>(</t>
    </r>
    <r>
      <rPr>
        <sz val="10"/>
        <color theme="5" tint="0.79995117038483843"/>
        <rFont val="標楷體"/>
        <family val="4"/>
        <charset val="136"/>
      </rPr>
      <t>中齡</t>
    </r>
    <r>
      <rPr>
        <sz val="10"/>
        <color theme="5" tint="0.79995117038483843"/>
        <rFont val="Trebuchet MS"/>
        <family val="2"/>
      </rPr>
      <t>)</t>
    </r>
  </si>
  <si>
    <r>
      <rPr>
        <sz val="10"/>
        <color theme="5" tint="0.79995117038483843"/>
        <rFont val="標楷體"/>
        <family val="4"/>
        <charset val="136"/>
      </rPr>
      <t>男</t>
    </r>
    <r>
      <rPr>
        <sz val="10"/>
        <color theme="5" tint="0.79995117038483843"/>
        <rFont val="Trebuchet MS"/>
        <family val="2"/>
      </rPr>
      <t>(</t>
    </r>
    <r>
      <rPr>
        <sz val="10"/>
        <color theme="5" tint="0.79995117038483843"/>
        <rFont val="標楷體"/>
        <family val="4"/>
        <charset val="136"/>
      </rPr>
      <t>高齡</t>
    </r>
    <r>
      <rPr>
        <sz val="10"/>
        <color theme="5" tint="0.79995117038483843"/>
        <rFont val="Trebuchet MS"/>
        <family val="2"/>
      </rPr>
      <t>)</t>
    </r>
  </si>
  <si>
    <r>
      <rPr>
        <sz val="10"/>
        <color theme="5" tint="0.79995117038483843"/>
        <rFont val="標楷體"/>
        <family val="4"/>
        <charset val="136"/>
      </rPr>
      <t>女</t>
    </r>
    <r>
      <rPr>
        <sz val="10"/>
        <color theme="5" tint="0.79995117038483843"/>
        <rFont val="Trebuchet MS"/>
        <family val="2"/>
      </rPr>
      <t>(</t>
    </r>
    <r>
      <rPr>
        <sz val="10"/>
        <color theme="5" tint="0.79995117038483843"/>
        <rFont val="標楷體"/>
        <family val="4"/>
        <charset val="136"/>
      </rPr>
      <t>低齡</t>
    </r>
    <r>
      <rPr>
        <sz val="10"/>
        <color theme="5" tint="0.79995117038483843"/>
        <rFont val="Trebuchet MS"/>
        <family val="2"/>
      </rPr>
      <t>)</t>
    </r>
  </si>
  <si>
    <r>
      <rPr>
        <sz val="10"/>
        <color theme="9" tint="0.79995117038483843"/>
        <rFont val="標楷體"/>
        <family val="4"/>
        <charset val="136"/>
      </rPr>
      <t>負債存續期間</t>
    </r>
  </si>
  <si>
    <r>
      <rPr>
        <sz val="16"/>
        <color theme="1"/>
        <rFont val="標楷體"/>
        <family val="4"/>
        <charset val="136"/>
      </rPr>
      <t>初年度成本</t>
    </r>
    <phoneticPr fontId="1" type="noConversion"/>
  </si>
  <si>
    <r>
      <rPr>
        <sz val="10"/>
        <color theme="1"/>
        <rFont val="標楷體"/>
        <family val="4"/>
        <charset val="136"/>
      </rPr>
      <t>最差狀況</t>
    </r>
  </si>
  <si>
    <r>
      <rPr>
        <sz val="10"/>
        <color theme="1"/>
        <rFont val="標楷體"/>
        <family val="4"/>
        <charset val="136"/>
      </rPr>
      <t>費用分析</t>
    </r>
    <phoneticPr fontId="1" type="noConversion"/>
  </si>
  <si>
    <r>
      <rPr>
        <sz val="10"/>
        <color theme="1"/>
        <rFont val="標楷體"/>
        <family val="4"/>
        <charset val="136"/>
      </rPr>
      <t>附加
費用</t>
    </r>
    <phoneticPr fontId="1" type="noConversion"/>
  </si>
  <si>
    <r>
      <rPr>
        <sz val="10"/>
        <color theme="1"/>
        <rFont val="標楷體"/>
        <family val="4"/>
        <charset val="136"/>
      </rPr>
      <t>固定
成本</t>
    </r>
    <phoneticPr fontId="1" type="noConversion"/>
  </si>
  <si>
    <r>
      <rPr>
        <sz val="10"/>
        <color theme="1"/>
        <rFont val="標楷體"/>
        <family val="4"/>
        <charset val="136"/>
      </rPr>
      <t>變動
成本</t>
    </r>
    <phoneticPr fontId="1" type="noConversion"/>
  </si>
  <si>
    <r>
      <rPr>
        <sz val="10"/>
        <color theme="1"/>
        <rFont val="標楷體"/>
        <family val="4"/>
        <charset val="136"/>
      </rPr>
      <t>期初
費用收入</t>
    </r>
    <phoneticPr fontId="1" type="noConversion"/>
  </si>
  <si>
    <r>
      <rPr>
        <sz val="10"/>
        <color theme="1"/>
        <rFont val="標楷體"/>
        <family val="4"/>
        <charset val="136"/>
      </rPr>
      <t>期初
固定支出</t>
    </r>
    <phoneticPr fontId="1" type="noConversion"/>
  </si>
  <si>
    <r>
      <rPr>
        <sz val="10"/>
        <color theme="1"/>
        <rFont val="標楷體"/>
        <family val="4"/>
        <charset val="136"/>
      </rPr>
      <t>期初
變動支出</t>
    </r>
    <phoneticPr fontId="1" type="noConversion"/>
  </si>
  <si>
    <r>
      <rPr>
        <sz val="10"/>
        <color theme="1"/>
        <rFont val="標楷體"/>
        <family val="4"/>
        <charset val="136"/>
      </rPr>
      <t>期初
業佣支出</t>
    </r>
    <phoneticPr fontId="1" type="noConversion"/>
  </si>
  <si>
    <t>佣金砍半</t>
    <phoneticPr fontId="1" type="noConversion"/>
  </si>
  <si>
    <t>0~4</t>
    <phoneticPr fontId="1" type="noConversion"/>
  </si>
  <si>
    <t>5~14</t>
    <phoneticPr fontId="1" type="noConversion"/>
  </si>
  <si>
    <t>15~24</t>
    <phoneticPr fontId="1" type="noConversion"/>
  </si>
  <si>
    <t>25~34</t>
    <phoneticPr fontId="1" type="noConversion"/>
  </si>
  <si>
    <t>35~44</t>
    <phoneticPr fontId="1" type="noConversion"/>
  </si>
  <si>
    <t>55~64</t>
    <phoneticPr fontId="1" type="noConversion"/>
  </si>
  <si>
    <t>45~54</t>
    <phoneticPr fontId="1" type="noConversion"/>
  </si>
  <si>
    <t>65~74</t>
    <phoneticPr fontId="1" type="noConversion"/>
  </si>
  <si>
    <t>74~79</t>
    <phoneticPr fontId="1" type="noConversion"/>
  </si>
  <si>
    <t>預期保費收入</t>
  </si>
  <si>
    <t>預期附加費用</t>
  </si>
  <si>
    <t>預期附加費用率</t>
  </si>
  <si>
    <t>初年度固定費用</t>
  </si>
  <si>
    <t>初年度變動費用</t>
  </si>
  <si>
    <t>續年度固定費用</t>
  </si>
  <si>
    <t>續年度變動費用</t>
  </si>
  <si>
    <r>
      <t>佣金率與稅捐</t>
    </r>
    <r>
      <rPr>
        <sz val="10"/>
        <color theme="1"/>
        <rFont val="Trebuchet MS"/>
        <family val="2"/>
      </rPr>
      <t>…</t>
    </r>
    <r>
      <rPr>
        <sz val="10"/>
        <color theme="1"/>
        <rFont val="細明體"/>
        <family val="3"/>
        <charset val="136"/>
      </rPr>
      <t>等費用</t>
    </r>
  </si>
  <si>
    <t>實際支出費用率</t>
  </si>
  <si>
    <r>
      <t>預期附加費用率</t>
    </r>
    <r>
      <rPr>
        <sz val="10"/>
        <color theme="1"/>
        <rFont val="Trebuchet MS"/>
        <family val="2"/>
      </rPr>
      <t>-</t>
    </r>
    <r>
      <rPr>
        <sz val="10"/>
        <color theme="1"/>
        <rFont val="細明體"/>
        <family val="3"/>
        <charset val="136"/>
      </rPr>
      <t>實際支出費用率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</si>
</sst>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#,##0_-;[Red]\-\ #,##0_-;_-\ &quot;-&quot;_-;_-@_-"/>
    <numFmt numFmtId="177" formatCode="0.00%_-;[Red]\-\ 0.00%_-;_-\ &quot;-&quot;_-;_-@_-"/>
    <numFmt numFmtId="178" formatCode="0.00_-;[Red]\-\ 0.00_-;_-\ &quot;-&quot;_-;_-@_-"/>
    <numFmt numFmtId="179" formatCode="\ \ \ 0_ &quot;歲&quot;"/>
    <numFmt numFmtId="180" formatCode="\ \ \ 0.00%"/>
    <numFmt numFmtId="181" formatCode="#,##0_ "/>
    <numFmt numFmtId="182" formatCode="#,##0.000000_ "/>
    <numFmt numFmtId="183" formatCode="0.00%_ "/>
    <numFmt numFmtId="184" formatCode="#,##0.00_ "/>
    <numFmt numFmtId="185" formatCode="0.000%_ "/>
    <numFmt numFmtId="186" formatCode="0\ &quot;歲&quot;"/>
    <numFmt numFmtId="187" formatCode="0.0000%_ "/>
    <numFmt numFmtId="188" formatCode="#,##0_);[Red]\(#,##0\)"/>
    <numFmt numFmtId="189" formatCode="0.E+00"/>
    <numFmt numFmtId="190" formatCode="#,##0.0000_-;[Red]\-\ #,##0.0000_-;_-\ &quot;-&quot;_-;_-@_-"/>
    <numFmt numFmtId="191" formatCode="#,##0.000_);[Red]\(#,##0.000\)"/>
    <numFmt numFmtId="192" formatCode="#,##0.00_);[Red]\(#,##0.00\)"/>
  </numFmts>
  <fonts count="5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20"/>
      <color theme="1"/>
      <name val="Trebuchet MS"/>
      <family val="2"/>
    </font>
    <font>
      <sz val="12"/>
      <color theme="1"/>
      <name val="Trebuchet MS"/>
      <family val="2"/>
    </font>
    <font>
      <sz val="16"/>
      <color theme="1"/>
      <name val="Trebuchet MS"/>
      <family val="2"/>
    </font>
    <font>
      <sz val="10"/>
      <color theme="1"/>
      <name val="標楷體"/>
      <family val="4"/>
      <charset val="136"/>
    </font>
    <font>
      <sz val="10"/>
      <color theme="1"/>
      <name val="Trebuchet MS"/>
      <family val="2"/>
    </font>
    <font>
      <b/>
      <sz val="14"/>
      <color theme="1"/>
      <name val="Trebuchet MS"/>
      <family val="2"/>
    </font>
    <font>
      <b/>
      <sz val="12"/>
      <color theme="1"/>
      <name val="Trebuchet MS"/>
      <family val="2"/>
    </font>
    <font>
      <sz val="10"/>
      <color rgb="FFFFFF00"/>
      <name val="Trebuchet MS"/>
      <family val="2"/>
    </font>
    <font>
      <sz val="10"/>
      <color theme="5" tint="0.79995117038483843"/>
      <name val="Trebuchet MS"/>
      <family val="2"/>
    </font>
    <font>
      <sz val="10"/>
      <color theme="9" tint="0.79995117038483843"/>
      <name val="Trebuchet MS"/>
      <family val="2"/>
    </font>
    <font>
      <b/>
      <sz val="14"/>
      <color theme="1"/>
      <name val="標楷體"/>
      <family val="4"/>
      <charset val="136"/>
    </font>
    <font>
      <b/>
      <sz val="12"/>
      <color theme="1"/>
      <name val="標楷體"/>
      <family val="4"/>
      <charset val="136"/>
    </font>
    <font>
      <sz val="10"/>
      <color rgb="FFFFFF00"/>
      <name val="標楷體"/>
      <family val="4"/>
      <charset val="136"/>
    </font>
    <font>
      <sz val="10"/>
      <color theme="5" tint="0.79995117038483843"/>
      <name val="標楷體"/>
      <family val="4"/>
      <charset val="136"/>
    </font>
    <font>
      <sz val="10"/>
      <color theme="9" tint="0.79995117038483843"/>
      <name val="標楷體"/>
      <family val="4"/>
      <charset val="136"/>
    </font>
    <font>
      <sz val="10"/>
      <color theme="7" tint="0.79995117038483843"/>
      <name val="Trebuchet MS"/>
      <family val="2"/>
    </font>
    <font>
      <sz val="10"/>
      <color theme="7" tint="0.79995117038483843"/>
      <name val="標楷體"/>
      <family val="4"/>
      <charset val="136"/>
    </font>
    <font>
      <sz val="10"/>
      <color theme="3" tint="0.79995117038483843"/>
      <name val="Trebuchet MS"/>
      <family val="2"/>
    </font>
    <font>
      <sz val="10"/>
      <color theme="3" tint="0.79995117038483843"/>
      <name val="標楷體"/>
      <family val="4"/>
      <charset val="136"/>
    </font>
    <font>
      <vertAlign val="subscript"/>
      <sz val="10"/>
      <color theme="1"/>
      <name val="Trebuchet MS"/>
      <family val="2"/>
    </font>
    <font>
      <b/>
      <sz val="10"/>
      <color theme="1"/>
      <name val="Trebuchet MS"/>
      <family val="2"/>
    </font>
    <font>
      <sz val="10"/>
      <color rgb="FF990000"/>
      <name val="Trebuchet MS"/>
      <family val="2"/>
    </font>
    <font>
      <b/>
      <sz val="10"/>
      <color rgb="FF990000"/>
      <name val="Trebuchet MS"/>
      <family val="2"/>
    </font>
    <font>
      <vertAlign val="subscript"/>
      <sz val="10"/>
      <color rgb="FF990000"/>
      <name val="Trebuchet MS"/>
      <family val="2"/>
    </font>
    <font>
      <sz val="10"/>
      <color theme="9" tint="0.39994506668294322"/>
      <name val="Trebuchet MS"/>
      <family val="2"/>
    </font>
    <font>
      <sz val="10"/>
      <color theme="0"/>
      <name val="Trebuchet MS"/>
      <family val="2"/>
    </font>
    <font>
      <sz val="10"/>
      <color theme="0"/>
      <name val="標楷體"/>
      <family val="4"/>
      <charset val="136"/>
    </font>
    <font>
      <sz val="10"/>
      <color theme="0" tint="-9.9978637043366805E-2"/>
      <name val="Trebuchet MS"/>
      <family val="2"/>
    </font>
    <font>
      <sz val="10"/>
      <color theme="0" tint="-9.9978637043366805E-2"/>
      <name val="標楷體"/>
      <family val="4"/>
      <charset val="136"/>
    </font>
    <font>
      <b/>
      <sz val="10"/>
      <color theme="0" tint="-9.9978637043366805E-2"/>
      <name val="Trebuchet MS"/>
      <family val="2"/>
    </font>
    <font>
      <vertAlign val="subscript"/>
      <sz val="10"/>
      <color theme="0" tint="-9.9978637043366805E-2"/>
      <name val="Trebuchet MS"/>
      <family val="2"/>
    </font>
    <font>
      <b/>
      <sz val="10"/>
      <color theme="3" tint="0.79995117038483843"/>
      <name val="Trebuchet MS"/>
      <family val="2"/>
    </font>
    <font>
      <vertAlign val="subscript"/>
      <sz val="10"/>
      <color theme="3" tint="0.79995117038483843"/>
      <name val="Trebuchet MS"/>
      <family val="2"/>
    </font>
    <font>
      <sz val="10"/>
      <color rgb="FFC00000"/>
      <name val="Trebuchet MS"/>
      <family val="2"/>
    </font>
    <font>
      <vertAlign val="subscript"/>
      <sz val="10"/>
      <color rgb="FFFFFF00"/>
      <name val="Trebuchet MS"/>
      <family val="2"/>
    </font>
    <font>
      <sz val="10"/>
      <color rgb="FFC00000"/>
      <name val="標楷體"/>
      <family val="4"/>
      <charset val="136"/>
    </font>
    <font>
      <sz val="10"/>
      <color theme="4" tint="0.79995117038483843"/>
      <name val="Trebuchet MS"/>
      <family val="2"/>
    </font>
    <font>
      <sz val="10"/>
      <color theme="4" tint="0.79995117038483843"/>
      <name val="標楷體"/>
      <family val="4"/>
      <charset val="136"/>
    </font>
    <font>
      <sz val="10"/>
      <color theme="8" tint="0.79995117038483843"/>
      <name val="Trebuchet MS"/>
      <family val="2"/>
    </font>
    <font>
      <b/>
      <sz val="11"/>
      <color theme="1"/>
      <name val="Trebuchet MS"/>
      <family val="2"/>
    </font>
    <font>
      <sz val="8"/>
      <color theme="1"/>
      <name val="Trebuchet MS"/>
      <family val="2"/>
    </font>
    <font>
      <b/>
      <sz val="10"/>
      <color theme="1"/>
      <name val="標楷體"/>
      <family val="4"/>
      <charset val="136"/>
    </font>
    <font>
      <b/>
      <sz val="11"/>
      <color theme="1"/>
      <name val="標楷體"/>
      <family val="4"/>
      <charset val="136"/>
    </font>
    <font>
      <sz val="8"/>
      <color theme="1"/>
      <name val="標楷體"/>
      <family val="4"/>
      <charset val="136"/>
    </font>
    <font>
      <sz val="10"/>
      <color theme="1"/>
      <name val="細明體"/>
      <family val="3"/>
      <charset val="136"/>
    </font>
    <font>
      <sz val="9"/>
      <color rgb="FF000000"/>
      <name val="新細明體"/>
      <family val="1"/>
      <charset val="136"/>
    </font>
  </fonts>
  <fills count="12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749992370372631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slantDashDot">
        <color auto="1"/>
      </right>
      <top/>
      <bottom/>
      <diagonal/>
    </border>
    <border>
      <left style="hair">
        <color indexed="64"/>
      </left>
      <right style="slantDashDot">
        <color auto="1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slantDashDot">
        <color auto="1"/>
      </right>
      <top/>
      <bottom/>
      <diagonal/>
    </border>
    <border>
      <left style="hair">
        <color indexed="64"/>
      </left>
      <right style="slantDashDot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slantDashDot">
        <color auto="1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hair">
        <color indexed="64"/>
      </bottom>
      <diagonal/>
    </border>
    <border>
      <left style="hair">
        <color indexed="64"/>
      </left>
      <right style="slantDashDot">
        <color auto="1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slantDashDot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slantDashDot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slantDashDot">
        <color indexed="64"/>
      </bottom>
      <diagonal/>
    </border>
    <border>
      <left/>
      <right style="hair">
        <color indexed="64"/>
      </right>
      <top style="hair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hair">
        <color indexed="64"/>
      </right>
      <top style="slantDashDot">
        <color indexed="64"/>
      </top>
      <bottom style="slantDashDot">
        <color indexed="64"/>
      </bottom>
      <diagonal/>
    </border>
    <border>
      <left style="hair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99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76" fontId="6" fillId="0" borderId="11" xfId="0" applyNumberFormat="1" applyFont="1" applyBorder="1" applyAlignment="1">
      <alignment horizontal="right" vertical="center"/>
    </xf>
    <xf numFmtId="176" fontId="6" fillId="0" borderId="13" xfId="0" applyNumberFormat="1" applyFont="1" applyBorder="1" applyAlignment="1">
      <alignment horizontal="right" vertical="center"/>
    </xf>
    <xf numFmtId="0" fontId="6" fillId="0" borderId="17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176" fontId="6" fillId="0" borderId="21" xfId="0" applyNumberFormat="1" applyFont="1" applyBorder="1" applyAlignment="1">
      <alignment horizontal="right" vertical="center"/>
    </xf>
    <xf numFmtId="176" fontId="6" fillId="0" borderId="22" xfId="0" applyNumberFormat="1" applyFont="1" applyBorder="1" applyAlignment="1">
      <alignment horizontal="right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176" fontId="6" fillId="0" borderId="27" xfId="0" applyNumberFormat="1" applyFont="1" applyBorder="1" applyAlignment="1">
      <alignment horizontal="right" vertical="center"/>
    </xf>
    <xf numFmtId="176" fontId="6" fillId="0" borderId="28" xfId="0" applyNumberFormat="1" applyFont="1" applyBorder="1" applyAlignment="1">
      <alignment horizontal="right" vertical="center"/>
    </xf>
    <xf numFmtId="0" fontId="6" fillId="0" borderId="29" xfId="0" applyFont="1" applyBorder="1" applyAlignment="1">
      <alignment horizontal="center" vertical="center"/>
    </xf>
    <xf numFmtId="176" fontId="6" fillId="0" borderId="30" xfId="0" applyNumberFormat="1" applyFont="1" applyBorder="1" applyAlignment="1">
      <alignment horizontal="right" vertical="center"/>
    </xf>
    <xf numFmtId="176" fontId="6" fillId="0" borderId="31" xfId="0" applyNumberFormat="1" applyFont="1" applyBorder="1" applyAlignment="1">
      <alignment horizontal="right" vertical="center"/>
    </xf>
    <xf numFmtId="176" fontId="6" fillId="0" borderId="32" xfId="0" applyNumberFormat="1" applyFont="1" applyBorder="1" applyAlignment="1">
      <alignment horizontal="right" vertical="center"/>
    </xf>
    <xf numFmtId="176" fontId="6" fillId="0" borderId="34" xfId="0" applyNumberFormat="1" applyFont="1" applyBorder="1" applyAlignment="1">
      <alignment horizontal="right" vertical="center"/>
    </xf>
    <xf numFmtId="176" fontId="6" fillId="0" borderId="35" xfId="0" applyNumberFormat="1" applyFont="1" applyBorder="1" applyAlignment="1">
      <alignment horizontal="right" vertical="center"/>
    </xf>
    <xf numFmtId="176" fontId="6" fillId="0" borderId="36" xfId="0" applyNumberFormat="1" applyFont="1" applyBorder="1" applyAlignment="1">
      <alignment horizontal="right" vertical="center"/>
    </xf>
    <xf numFmtId="177" fontId="6" fillId="0" borderId="11" xfId="0" applyNumberFormat="1" applyFont="1" applyBorder="1" applyAlignment="1">
      <alignment horizontal="right" vertical="center"/>
    </xf>
    <xf numFmtId="177" fontId="6" fillId="0" borderId="13" xfId="0" applyNumberFormat="1" applyFont="1" applyBorder="1" applyAlignment="1">
      <alignment horizontal="right" vertical="center"/>
    </xf>
    <xf numFmtId="177" fontId="6" fillId="0" borderId="21" xfId="0" applyNumberFormat="1" applyFont="1" applyBorder="1" applyAlignment="1">
      <alignment horizontal="right" vertical="center"/>
    </xf>
    <xf numFmtId="177" fontId="6" fillId="0" borderId="22" xfId="0" applyNumberFormat="1" applyFont="1" applyBorder="1" applyAlignment="1">
      <alignment horizontal="right" vertical="center"/>
    </xf>
    <xf numFmtId="177" fontId="6" fillId="0" borderId="27" xfId="0" applyNumberFormat="1" applyFont="1" applyBorder="1" applyAlignment="1">
      <alignment horizontal="right" vertical="center"/>
    </xf>
    <xf numFmtId="177" fontId="6" fillId="0" borderId="28" xfId="0" applyNumberFormat="1" applyFont="1" applyBorder="1" applyAlignment="1">
      <alignment horizontal="right" vertical="center"/>
    </xf>
    <xf numFmtId="177" fontId="6" fillId="0" borderId="30" xfId="0" applyNumberFormat="1" applyFont="1" applyBorder="1" applyAlignment="1">
      <alignment horizontal="right" vertical="center"/>
    </xf>
    <xf numFmtId="177" fontId="6" fillId="0" borderId="31" xfId="0" applyNumberFormat="1" applyFont="1" applyBorder="1" applyAlignment="1">
      <alignment horizontal="right" vertical="center"/>
    </xf>
    <xf numFmtId="177" fontId="6" fillId="0" borderId="32" xfId="0" applyNumberFormat="1" applyFont="1" applyBorder="1" applyAlignment="1">
      <alignment horizontal="right" vertical="center"/>
    </xf>
    <xf numFmtId="177" fontId="6" fillId="0" borderId="34" xfId="0" applyNumberFormat="1" applyFont="1" applyBorder="1" applyAlignment="1">
      <alignment horizontal="right" vertical="center"/>
    </xf>
    <xf numFmtId="177" fontId="6" fillId="0" borderId="35" xfId="0" applyNumberFormat="1" applyFont="1" applyBorder="1" applyAlignment="1">
      <alignment horizontal="right" vertical="center"/>
    </xf>
    <xf numFmtId="177" fontId="6" fillId="0" borderId="36" xfId="0" applyNumberFormat="1" applyFont="1" applyBorder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9" fillId="0" borderId="47" xfId="0" applyNumberFormat="1" applyFont="1" applyBorder="1" applyAlignment="1">
      <alignment horizontal="center" vertical="center"/>
    </xf>
    <xf numFmtId="0" fontId="9" fillId="0" borderId="36" xfId="0" applyNumberFormat="1" applyFont="1" applyBorder="1" applyAlignment="1">
      <alignment horizontal="center" vertical="center"/>
    </xf>
    <xf numFmtId="0" fontId="9" fillId="0" borderId="41" xfId="0" applyNumberFormat="1" applyFont="1" applyBorder="1" applyAlignment="1">
      <alignment horizontal="center" vertical="center"/>
    </xf>
    <xf numFmtId="0" fontId="9" fillId="0" borderId="42" xfId="0" applyNumberFormat="1" applyFont="1" applyBorder="1" applyAlignment="1">
      <alignment horizontal="center" vertical="center"/>
    </xf>
    <xf numFmtId="0" fontId="9" fillId="0" borderId="43" xfId="0" applyNumberFormat="1" applyFont="1" applyBorder="1" applyAlignment="1">
      <alignment horizontal="center" vertical="center"/>
    </xf>
    <xf numFmtId="0" fontId="9" fillId="0" borderId="44" xfId="0" applyNumberFormat="1" applyFont="1" applyBorder="1" applyAlignment="1">
      <alignment horizontal="center" vertical="center"/>
    </xf>
    <xf numFmtId="0" fontId="9" fillId="0" borderId="45" xfId="0" applyNumberFormat="1" applyFont="1" applyBorder="1" applyAlignment="1">
      <alignment horizontal="center" vertical="center"/>
    </xf>
    <xf numFmtId="178" fontId="9" fillId="0" borderId="38" xfId="0" applyNumberFormat="1" applyFont="1" applyBorder="1" applyAlignment="1">
      <alignment horizontal="center" vertical="center"/>
    </xf>
    <xf numFmtId="178" fontId="9" fillId="0" borderId="39" xfId="0" applyNumberFormat="1" applyFont="1" applyBorder="1" applyAlignment="1">
      <alignment horizontal="center" vertical="center"/>
    </xf>
    <xf numFmtId="178" fontId="9" fillId="0" borderId="41" xfId="0" applyNumberFormat="1" applyFont="1" applyBorder="1" applyAlignment="1">
      <alignment horizontal="center" vertical="center"/>
    </xf>
    <xf numFmtId="178" fontId="9" fillId="0" borderId="42" xfId="0" applyNumberFormat="1" applyFont="1" applyBorder="1" applyAlignment="1">
      <alignment horizontal="center" vertical="center"/>
    </xf>
    <xf numFmtId="178" fontId="9" fillId="0" borderId="44" xfId="0" applyNumberFormat="1" applyFont="1" applyBorder="1" applyAlignment="1">
      <alignment horizontal="center" vertical="center"/>
    </xf>
    <xf numFmtId="178" fontId="9" fillId="0" borderId="45" xfId="0" applyNumberFormat="1" applyFont="1" applyBorder="1" applyAlignment="1">
      <alignment horizontal="center" vertical="center"/>
    </xf>
    <xf numFmtId="177" fontId="9" fillId="0" borderId="41" xfId="0" applyNumberFormat="1" applyFont="1" applyBorder="1" applyAlignment="1">
      <alignment horizontal="center" vertical="center"/>
    </xf>
    <xf numFmtId="177" fontId="9" fillId="0" borderId="42" xfId="0" applyNumberFormat="1" applyFont="1" applyBorder="1" applyAlignment="1">
      <alignment horizontal="center" vertical="center"/>
    </xf>
    <xf numFmtId="177" fontId="9" fillId="0" borderId="44" xfId="0" applyNumberFormat="1" applyFont="1" applyBorder="1" applyAlignment="1">
      <alignment horizontal="center" vertical="center"/>
    </xf>
    <xf numFmtId="177" fontId="9" fillId="0" borderId="45" xfId="0" applyNumberFormat="1" applyFont="1" applyBorder="1" applyAlignment="1">
      <alignment horizontal="center" vertical="center"/>
    </xf>
    <xf numFmtId="0" fontId="12" fillId="2" borderId="48" xfId="0" applyFont="1" applyFill="1" applyBorder="1" applyAlignment="1">
      <alignment horizontal="center" vertical="center"/>
    </xf>
    <xf numFmtId="0" fontId="12" fillId="2" borderId="49" xfId="0" applyFont="1" applyFill="1" applyBorder="1" applyAlignment="1">
      <alignment horizontal="center" vertical="center"/>
    </xf>
    <xf numFmtId="0" fontId="12" fillId="2" borderId="50" xfId="0" applyFont="1" applyFill="1" applyBorder="1" applyAlignment="1">
      <alignment horizontal="center" vertical="center"/>
    </xf>
    <xf numFmtId="0" fontId="12" fillId="2" borderId="46" xfId="0" applyNumberFormat="1" applyFont="1" applyFill="1" applyBorder="1" applyAlignment="1">
      <alignment horizontal="center" vertical="center"/>
    </xf>
    <xf numFmtId="0" fontId="12" fillId="2" borderId="40" xfId="0" applyNumberFormat="1" applyFont="1" applyFill="1" applyBorder="1" applyAlignment="1">
      <alignment horizontal="center" vertical="center"/>
    </xf>
    <xf numFmtId="0" fontId="12" fillId="2" borderId="40" xfId="0" applyNumberFormat="1" applyFont="1" applyFill="1" applyBorder="1" applyAlignment="1">
      <alignment horizontal="center" vertical="center" wrapText="1"/>
    </xf>
    <xf numFmtId="0" fontId="12" fillId="2" borderId="43" xfId="0" applyNumberFormat="1" applyFont="1" applyFill="1" applyBorder="1" applyAlignment="1">
      <alignment horizontal="center" vertical="center"/>
    </xf>
    <xf numFmtId="177" fontId="14" fillId="4" borderId="38" xfId="0" applyNumberFormat="1" applyFont="1" applyFill="1" applyBorder="1" applyAlignment="1">
      <alignment horizontal="center" vertical="center"/>
    </xf>
    <xf numFmtId="177" fontId="14" fillId="4" borderId="39" xfId="0" applyNumberFormat="1" applyFont="1" applyFill="1" applyBorder="1" applyAlignment="1">
      <alignment horizontal="center" vertical="center"/>
    </xf>
    <xf numFmtId="177" fontId="14" fillId="4" borderId="40" xfId="0" applyNumberFormat="1" applyFont="1" applyFill="1" applyBorder="1" applyAlignment="1">
      <alignment horizontal="center" vertical="center"/>
    </xf>
    <xf numFmtId="177" fontId="14" fillId="4" borderId="43" xfId="0" applyNumberFormat="1" applyFont="1" applyFill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1" xfId="0" applyNumberFormat="1" applyFont="1" applyBorder="1" applyAlignment="1">
      <alignment horizontal="center" vertical="center"/>
    </xf>
    <xf numFmtId="0" fontId="9" fillId="0" borderId="10" xfId="0" applyNumberFormat="1" applyFont="1" applyBorder="1" applyAlignment="1">
      <alignment horizontal="center" vertical="center"/>
    </xf>
    <xf numFmtId="0" fontId="9" fillId="0" borderId="11" xfId="0" applyNumberFormat="1" applyFont="1" applyBorder="1" applyAlignment="1">
      <alignment horizontal="center" vertical="center"/>
    </xf>
    <xf numFmtId="0" fontId="9" fillId="0" borderId="22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0" fontId="9" fillId="0" borderId="13" xfId="0" applyNumberFormat="1" applyFont="1" applyBorder="1" applyAlignment="1">
      <alignment horizontal="center" vertical="center"/>
    </xf>
    <xf numFmtId="0" fontId="20" fillId="5" borderId="23" xfId="0" applyFont="1" applyFill="1" applyBorder="1" applyAlignment="1">
      <alignment horizontal="center" vertical="center"/>
    </xf>
    <xf numFmtId="0" fontId="20" fillId="5" borderId="19" xfId="0" applyFont="1" applyFill="1" applyBorder="1" applyAlignment="1">
      <alignment horizontal="center" vertical="center"/>
    </xf>
    <xf numFmtId="0" fontId="20" fillId="5" borderId="14" xfId="0" applyFont="1" applyFill="1" applyBorder="1" applyAlignment="1">
      <alignment horizontal="center" vertical="center"/>
    </xf>
    <xf numFmtId="0" fontId="20" fillId="5" borderId="15" xfId="0" applyFont="1" applyFill="1" applyBorder="1" applyAlignment="1">
      <alignment horizontal="center" vertical="center"/>
    </xf>
    <xf numFmtId="0" fontId="20" fillId="5" borderId="24" xfId="0" applyFont="1" applyFill="1" applyBorder="1" applyAlignment="1">
      <alignment horizontal="center" vertical="center"/>
    </xf>
    <xf numFmtId="0" fontId="20" fillId="5" borderId="20" xfId="0" applyFont="1" applyFill="1" applyBorder="1" applyAlignment="1">
      <alignment horizontal="center" vertical="center"/>
    </xf>
    <xf numFmtId="0" fontId="20" fillId="5" borderId="16" xfId="0" applyFont="1" applyFill="1" applyBorder="1" applyAlignment="1">
      <alignment horizontal="center" vertical="center"/>
    </xf>
    <xf numFmtId="0" fontId="20" fillId="5" borderId="17" xfId="0" applyFont="1" applyFill="1" applyBorder="1" applyAlignment="1">
      <alignment horizontal="center" vertical="center"/>
    </xf>
    <xf numFmtId="0" fontId="20" fillId="5" borderId="7" xfId="0" applyFont="1" applyFill="1" applyBorder="1" applyAlignment="1">
      <alignment horizontal="center" vertical="center"/>
    </xf>
    <xf numFmtId="0" fontId="20" fillId="5" borderId="9" xfId="0" applyFont="1" applyFill="1" applyBorder="1" applyAlignment="1">
      <alignment horizontal="center" vertical="center"/>
    </xf>
    <xf numFmtId="179" fontId="9" fillId="0" borderId="10" xfId="0" applyNumberFormat="1" applyFont="1" applyBorder="1" applyAlignment="1">
      <alignment horizontal="center" vertical="center"/>
    </xf>
    <xf numFmtId="179" fontId="9" fillId="0" borderId="12" xfId="0" applyNumberFormat="1" applyFont="1" applyBorder="1" applyAlignment="1">
      <alignment horizontal="center" vertical="center"/>
    </xf>
    <xf numFmtId="180" fontId="9" fillId="0" borderId="10" xfId="0" applyNumberFormat="1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181" fontId="9" fillId="0" borderId="0" xfId="0" applyNumberFormat="1" applyFont="1">
      <alignment vertical="center"/>
    </xf>
    <xf numFmtId="181" fontId="9" fillId="0" borderId="0" xfId="0" applyNumberFormat="1" applyFont="1" applyAlignment="1">
      <alignment horizontal="center" vertical="center"/>
    </xf>
    <xf numFmtId="182" fontId="9" fillId="0" borderId="0" xfId="0" applyNumberFormat="1" applyFont="1">
      <alignment vertical="center"/>
    </xf>
    <xf numFmtId="182" fontId="27" fillId="7" borderId="0" xfId="0" applyNumberFormat="1" applyFont="1" applyFill="1" applyAlignment="1">
      <alignment horizontal="center" vertical="center"/>
    </xf>
    <xf numFmtId="181" fontId="29" fillId="7" borderId="0" xfId="0" applyNumberFormat="1" applyFont="1" applyFill="1" applyAlignment="1">
      <alignment horizontal="center" vertical="center"/>
    </xf>
    <xf numFmtId="182" fontId="32" fillId="6" borderId="0" xfId="0" applyNumberFormat="1" applyFont="1" applyFill="1" applyAlignment="1">
      <alignment horizontal="center" vertical="center"/>
    </xf>
    <xf numFmtId="181" fontId="32" fillId="6" borderId="0" xfId="0" applyNumberFormat="1" applyFont="1" applyFill="1" applyAlignment="1">
      <alignment horizontal="center" vertical="center"/>
    </xf>
    <xf numFmtId="183" fontId="34" fillId="6" borderId="0" xfId="0" applyNumberFormat="1" applyFont="1" applyFill="1" applyAlignment="1">
      <alignment horizontal="center" vertical="center"/>
    </xf>
    <xf numFmtId="182" fontId="22" fillId="2" borderId="0" xfId="0" applyNumberFormat="1" applyFont="1" applyFill="1" applyAlignment="1">
      <alignment horizontal="center" vertical="center"/>
    </xf>
    <xf numFmtId="181" fontId="22" fillId="2" borderId="0" xfId="0" applyNumberFormat="1" applyFont="1" applyFill="1" applyAlignment="1">
      <alignment horizontal="center" vertical="center"/>
    </xf>
    <xf numFmtId="183" fontId="36" fillId="2" borderId="0" xfId="0" applyNumberFormat="1" applyFont="1" applyFill="1" applyAlignment="1">
      <alignment horizontal="center" vertical="center"/>
    </xf>
    <xf numFmtId="181" fontId="9" fillId="0" borderId="10" xfId="0" applyNumberFormat="1" applyFont="1" applyBorder="1">
      <alignment vertical="center"/>
    </xf>
    <xf numFmtId="182" fontId="9" fillId="0" borderId="11" xfId="0" applyNumberFormat="1" applyFont="1" applyBorder="1">
      <alignment vertical="center"/>
    </xf>
    <xf numFmtId="181" fontId="9" fillId="0" borderId="12" xfId="0" applyNumberFormat="1" applyFont="1" applyBorder="1">
      <alignment vertical="center"/>
    </xf>
    <xf numFmtId="182" fontId="9" fillId="0" borderId="13" xfId="0" applyNumberFormat="1" applyFont="1" applyBorder="1">
      <alignment vertical="center"/>
    </xf>
    <xf numFmtId="181" fontId="32" fillId="6" borderId="49" xfId="0" applyNumberFormat="1" applyFont="1" applyFill="1" applyBorder="1" applyAlignment="1">
      <alignment horizontal="center" vertical="center"/>
    </xf>
    <xf numFmtId="181" fontId="22" fillId="2" borderId="49" xfId="0" applyNumberFormat="1" applyFont="1" applyFill="1" applyBorder="1" applyAlignment="1">
      <alignment horizontal="center" vertical="center"/>
    </xf>
    <xf numFmtId="182" fontId="22" fillId="2" borderId="50" xfId="0" applyNumberFormat="1" applyFont="1" applyFill="1" applyBorder="1" applyAlignment="1">
      <alignment horizontal="center" vertical="center"/>
    </xf>
    <xf numFmtId="182" fontId="26" fillId="7" borderId="52" xfId="0" applyNumberFormat="1" applyFont="1" applyFill="1" applyBorder="1" applyAlignment="1">
      <alignment horizontal="center" vertical="center"/>
    </xf>
    <xf numFmtId="182" fontId="9" fillId="0" borderId="21" xfId="0" applyNumberFormat="1" applyFont="1" applyBorder="1">
      <alignment vertical="center"/>
    </xf>
    <xf numFmtId="182" fontId="9" fillId="0" borderId="22" xfId="0" applyNumberFormat="1" applyFont="1" applyBorder="1">
      <alignment vertical="center"/>
    </xf>
    <xf numFmtId="181" fontId="26" fillId="7" borderId="53" xfId="0" applyNumberFormat="1" applyFont="1" applyFill="1" applyBorder="1" applyAlignment="1">
      <alignment horizontal="center" vertical="center"/>
    </xf>
    <xf numFmtId="181" fontId="26" fillId="7" borderId="54" xfId="0" applyNumberFormat="1" applyFont="1" applyFill="1" applyBorder="1" applyAlignment="1">
      <alignment horizontal="center" vertical="center"/>
    </xf>
    <xf numFmtId="181" fontId="26" fillId="7" borderId="55" xfId="0" applyNumberFormat="1" applyFont="1" applyFill="1" applyBorder="1" applyAlignment="1">
      <alignment horizontal="center" vertical="center"/>
    </xf>
    <xf numFmtId="181" fontId="9" fillId="0" borderId="56" xfId="0" applyNumberFormat="1" applyFont="1" applyBorder="1" applyAlignment="1">
      <alignment horizontal="center" vertical="center"/>
    </xf>
    <xf numFmtId="182" fontId="32" fillId="6" borderId="52" xfId="0" applyNumberFormat="1" applyFont="1" applyFill="1" applyBorder="1" applyAlignment="1">
      <alignment horizontal="center" vertical="center"/>
    </xf>
    <xf numFmtId="182" fontId="26" fillId="7" borderId="57" xfId="0" applyNumberFormat="1" applyFont="1" applyFill="1" applyBorder="1" applyAlignment="1">
      <alignment horizontal="center" vertical="center"/>
    </xf>
    <xf numFmtId="182" fontId="26" fillId="7" borderId="58" xfId="0" applyNumberFormat="1" applyFont="1" applyFill="1" applyBorder="1" applyAlignment="1">
      <alignment horizontal="center" vertical="center"/>
    </xf>
    <xf numFmtId="182" fontId="9" fillId="0" borderId="59" xfId="0" applyNumberFormat="1" applyFont="1" applyBorder="1">
      <alignment vertical="center"/>
    </xf>
    <xf numFmtId="182" fontId="9" fillId="0" borderId="60" xfId="0" applyNumberFormat="1" applyFont="1" applyBorder="1">
      <alignment vertical="center"/>
    </xf>
    <xf numFmtId="182" fontId="22" fillId="2" borderId="52" xfId="0" applyNumberFormat="1" applyFont="1" applyFill="1" applyBorder="1" applyAlignment="1">
      <alignment horizontal="center" vertical="center"/>
    </xf>
    <xf numFmtId="181" fontId="32" fillId="6" borderId="57" xfId="0" applyNumberFormat="1" applyFont="1" applyFill="1" applyBorder="1" applyAlignment="1">
      <alignment horizontal="center" vertical="center"/>
    </xf>
    <xf numFmtId="181" fontId="32" fillId="6" borderId="58" xfId="0" applyNumberFormat="1" applyFont="1" applyFill="1" applyBorder="1" applyAlignment="1">
      <alignment horizontal="center" vertical="center"/>
    </xf>
    <xf numFmtId="181" fontId="9" fillId="0" borderId="59" xfId="0" applyNumberFormat="1" applyFont="1" applyBorder="1">
      <alignment vertical="center"/>
    </xf>
    <xf numFmtId="181" fontId="9" fillId="0" borderId="60" xfId="0" applyNumberFormat="1" applyFont="1" applyBorder="1">
      <alignment vertical="center"/>
    </xf>
    <xf numFmtId="181" fontId="26" fillId="7" borderId="61" xfId="0" applyNumberFormat="1" applyFont="1" applyFill="1" applyBorder="1" applyAlignment="1">
      <alignment horizontal="center" vertical="center"/>
    </xf>
    <xf numFmtId="182" fontId="9" fillId="0" borderId="30" xfId="0" applyNumberFormat="1" applyFont="1" applyBorder="1">
      <alignment vertical="center"/>
    </xf>
    <xf numFmtId="182" fontId="9" fillId="0" borderId="62" xfId="0" applyNumberFormat="1" applyFont="1" applyBorder="1">
      <alignment vertical="center"/>
    </xf>
    <xf numFmtId="181" fontId="9" fillId="0" borderId="51" xfId="0" applyNumberFormat="1" applyFont="1" applyBorder="1">
      <alignment vertical="center"/>
    </xf>
    <xf numFmtId="181" fontId="9" fillId="0" borderId="62" xfId="0" applyNumberFormat="1" applyFont="1" applyBorder="1">
      <alignment vertical="center"/>
    </xf>
    <xf numFmtId="182" fontId="9" fillId="0" borderId="32" xfId="0" applyNumberFormat="1" applyFont="1" applyBorder="1">
      <alignment vertical="center"/>
    </xf>
    <xf numFmtId="181" fontId="26" fillId="7" borderId="63" xfId="0" applyNumberFormat="1" applyFont="1" applyFill="1" applyBorder="1" applyAlignment="1">
      <alignment horizontal="center" vertical="center"/>
    </xf>
    <xf numFmtId="182" fontId="9" fillId="0" borderId="34" xfId="0" applyNumberFormat="1" applyFont="1" applyBorder="1">
      <alignment vertical="center"/>
    </xf>
    <xf numFmtId="182" fontId="9" fillId="0" borderId="64" xfId="0" applyNumberFormat="1" applyFont="1" applyBorder="1">
      <alignment vertical="center"/>
    </xf>
    <xf numFmtId="181" fontId="9" fillId="0" borderId="47" xfId="0" applyNumberFormat="1" applyFont="1" applyBorder="1">
      <alignment vertical="center"/>
    </xf>
    <xf numFmtId="181" fontId="9" fillId="0" borderId="64" xfId="0" applyNumberFormat="1" applyFont="1" applyBorder="1">
      <alignment vertical="center"/>
    </xf>
    <xf numFmtId="182" fontId="9" fillId="0" borderId="36" xfId="0" applyNumberFormat="1" applyFont="1" applyBorder="1">
      <alignment vertical="center"/>
    </xf>
    <xf numFmtId="181" fontId="9" fillId="0" borderId="36" xfId="0" applyNumberFormat="1" applyFont="1" applyBorder="1" applyAlignment="1">
      <alignment horizontal="center" vertical="center"/>
    </xf>
    <xf numFmtId="181" fontId="9" fillId="0" borderId="42" xfId="0" applyNumberFormat="1" applyFont="1" applyBorder="1" applyAlignment="1">
      <alignment horizontal="center" vertical="center"/>
    </xf>
    <xf numFmtId="184" fontId="9" fillId="0" borderId="42" xfId="0" applyNumberFormat="1" applyFont="1" applyBorder="1" applyAlignment="1">
      <alignment horizontal="center" vertical="center"/>
    </xf>
    <xf numFmtId="184" fontId="9" fillId="0" borderId="45" xfId="0" applyNumberFormat="1" applyFont="1" applyBorder="1" applyAlignment="1">
      <alignment horizontal="center" vertical="center"/>
    </xf>
    <xf numFmtId="0" fontId="9" fillId="0" borderId="52" xfId="0" applyFont="1" applyBorder="1" applyAlignment="1">
      <alignment horizontal="center" vertical="center"/>
    </xf>
    <xf numFmtId="0" fontId="9" fillId="0" borderId="67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70" xfId="0" applyFont="1" applyBorder="1" applyAlignment="1">
      <alignment horizontal="center" vertical="center"/>
    </xf>
    <xf numFmtId="176" fontId="9" fillId="0" borderId="34" xfId="0" applyNumberFormat="1" applyFont="1" applyBorder="1" applyAlignment="1">
      <alignment horizontal="center" vertical="center"/>
    </xf>
    <xf numFmtId="176" fontId="9" fillId="0" borderId="47" xfId="0" applyNumberFormat="1" applyFont="1" applyBorder="1" applyAlignment="1">
      <alignment horizontal="center" vertical="center"/>
    </xf>
    <xf numFmtId="176" fontId="9" fillId="0" borderId="36" xfId="0" applyNumberFormat="1" applyFont="1" applyBorder="1" applyAlignment="1">
      <alignment horizontal="center" vertical="center"/>
    </xf>
    <xf numFmtId="176" fontId="9" fillId="0" borderId="30" xfId="0" applyNumberFormat="1" applyFont="1" applyBorder="1" applyAlignment="1">
      <alignment horizontal="right" vertical="center"/>
    </xf>
    <xf numFmtId="176" fontId="9" fillId="0" borderId="51" xfId="0" applyNumberFormat="1" applyFont="1" applyBorder="1" applyAlignment="1">
      <alignment horizontal="right" vertical="center"/>
    </xf>
    <xf numFmtId="176" fontId="9" fillId="0" borderId="32" xfId="0" applyNumberFormat="1" applyFont="1" applyBorder="1" applyAlignment="1">
      <alignment horizontal="right" vertical="center"/>
    </xf>
    <xf numFmtId="176" fontId="9" fillId="0" borderId="21" xfId="0" applyNumberFormat="1" applyFont="1" applyBorder="1" applyAlignment="1">
      <alignment horizontal="right" vertical="center"/>
    </xf>
    <xf numFmtId="176" fontId="9" fillId="0" borderId="10" xfId="0" applyNumberFormat="1" applyFont="1" applyBorder="1" applyAlignment="1">
      <alignment horizontal="right" vertical="center"/>
    </xf>
    <xf numFmtId="176" fontId="9" fillId="0" borderId="11" xfId="0" applyNumberFormat="1" applyFont="1" applyBorder="1" applyAlignment="1">
      <alignment horizontal="right" vertical="center"/>
    </xf>
    <xf numFmtId="176" fontId="9" fillId="0" borderId="34" xfId="0" applyNumberFormat="1" applyFont="1" applyBorder="1" applyAlignment="1">
      <alignment horizontal="right" vertical="center"/>
    </xf>
    <xf numFmtId="176" fontId="9" fillId="0" borderId="47" xfId="0" applyNumberFormat="1" applyFont="1" applyBorder="1" applyAlignment="1">
      <alignment horizontal="right" vertical="center"/>
    </xf>
    <xf numFmtId="176" fontId="9" fillId="0" borderId="36" xfId="0" applyNumberFormat="1" applyFont="1" applyBorder="1" applyAlignment="1">
      <alignment horizontal="right" vertical="center"/>
    </xf>
    <xf numFmtId="176" fontId="9" fillId="0" borderId="22" xfId="0" applyNumberFormat="1" applyFont="1" applyBorder="1" applyAlignment="1">
      <alignment horizontal="right" vertical="center"/>
    </xf>
    <xf numFmtId="176" fontId="9" fillId="0" borderId="12" xfId="0" applyNumberFormat="1" applyFont="1" applyBorder="1" applyAlignment="1">
      <alignment horizontal="right" vertical="center"/>
    </xf>
    <xf numFmtId="176" fontId="9" fillId="0" borderId="13" xfId="0" applyNumberFormat="1" applyFont="1" applyBorder="1" applyAlignment="1">
      <alignment horizontal="right" vertical="center"/>
    </xf>
    <xf numFmtId="181" fontId="22" fillId="2" borderId="46" xfId="0" applyNumberFormat="1" applyFont="1" applyFill="1" applyBorder="1" applyAlignment="1">
      <alignment horizontal="center" vertical="center"/>
    </xf>
    <xf numFmtId="181" fontId="22" fillId="2" borderId="40" xfId="0" applyNumberFormat="1" applyFont="1" applyFill="1" applyBorder="1" applyAlignment="1">
      <alignment horizontal="center" vertical="center"/>
    </xf>
    <xf numFmtId="181" fontId="22" fillId="2" borderId="43" xfId="0" applyNumberFormat="1" applyFont="1" applyFill="1" applyBorder="1" applyAlignment="1">
      <alignment horizontal="center" vertical="center"/>
    </xf>
    <xf numFmtId="184" fontId="12" fillId="2" borderId="46" xfId="0" applyNumberFormat="1" applyFont="1" applyFill="1" applyBorder="1" applyAlignment="1">
      <alignment horizontal="center" vertical="center"/>
    </xf>
    <xf numFmtId="184" fontId="12" fillId="2" borderId="40" xfId="0" applyNumberFormat="1" applyFont="1" applyFill="1" applyBorder="1" applyAlignment="1">
      <alignment horizontal="center" vertical="center"/>
    </xf>
    <xf numFmtId="184" fontId="32" fillId="6" borderId="40" xfId="0" applyNumberFormat="1" applyFont="1" applyFill="1" applyBorder="1" applyAlignment="1">
      <alignment horizontal="center" vertical="center"/>
    </xf>
    <xf numFmtId="184" fontId="13" fillId="3" borderId="43" xfId="0" applyNumberFormat="1" applyFont="1" applyFill="1" applyBorder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0" fillId="5" borderId="65" xfId="0" applyFont="1" applyFill="1" applyBorder="1" applyAlignment="1">
      <alignment horizontal="center" vertical="center"/>
    </xf>
    <xf numFmtId="0" fontId="20" fillId="5" borderId="66" xfId="0" applyFont="1" applyFill="1" applyBorder="1" applyAlignment="1">
      <alignment horizontal="center" vertical="center"/>
    </xf>
    <xf numFmtId="0" fontId="20" fillId="5" borderId="29" xfId="0" applyFont="1" applyFill="1" applyBorder="1" applyAlignment="1">
      <alignment horizontal="center" vertical="center"/>
    </xf>
    <xf numFmtId="0" fontId="20" fillId="5" borderId="69" xfId="0" applyFont="1" applyFill="1" applyBorder="1" applyAlignment="1">
      <alignment horizontal="center" vertical="center"/>
    </xf>
    <xf numFmtId="0" fontId="20" fillId="5" borderId="67" xfId="0" applyFont="1" applyFill="1" applyBorder="1" applyAlignment="1">
      <alignment horizontal="center" vertical="center"/>
    </xf>
    <xf numFmtId="0" fontId="20" fillId="5" borderId="33" xfId="0" applyFont="1" applyFill="1" applyBorder="1" applyAlignment="1">
      <alignment horizontal="center" vertical="center"/>
    </xf>
    <xf numFmtId="0" fontId="20" fillId="5" borderId="70" xfId="0" applyFont="1" applyFill="1" applyBorder="1" applyAlignment="1">
      <alignment horizontal="center" vertical="center"/>
    </xf>
    <xf numFmtId="0" fontId="20" fillId="5" borderId="68" xfId="0" applyFont="1" applyFill="1" applyBorder="1" applyAlignment="1">
      <alignment horizontal="center" vertical="center"/>
    </xf>
    <xf numFmtId="0" fontId="9" fillId="8" borderId="52" xfId="0" applyFont="1" applyFill="1" applyBorder="1" applyAlignment="1">
      <alignment horizontal="center" vertical="center"/>
    </xf>
    <xf numFmtId="0" fontId="9" fillId="8" borderId="49" xfId="0" applyFont="1" applyFill="1" applyBorder="1" applyAlignment="1">
      <alignment horizontal="center" vertical="center"/>
    </xf>
    <xf numFmtId="0" fontId="9" fillId="8" borderId="49" xfId="0" applyFont="1" applyFill="1" applyBorder="1" applyAlignment="1">
      <alignment horizontal="center" vertical="center" wrapText="1"/>
    </xf>
    <xf numFmtId="0" fontId="9" fillId="8" borderId="50" xfId="0" applyFont="1" applyFill="1" applyBorder="1" applyAlignment="1">
      <alignment horizontal="center" vertical="center"/>
    </xf>
    <xf numFmtId="183" fontId="9" fillId="0" borderId="36" xfId="0" applyNumberFormat="1" applyFont="1" applyBorder="1" applyAlignment="1">
      <alignment horizontal="center" vertical="center"/>
    </xf>
    <xf numFmtId="183" fontId="9" fillId="0" borderId="42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83" fontId="38" fillId="0" borderId="0" xfId="0" applyNumberFormat="1" applyFont="1" applyAlignment="1">
      <alignment horizontal="center" vertical="center"/>
    </xf>
    <xf numFmtId="184" fontId="12" fillId="2" borderId="76" xfId="0" applyNumberFormat="1" applyFont="1" applyFill="1" applyBorder="1" applyAlignment="1">
      <alignment horizontal="center" vertical="center"/>
    </xf>
    <xf numFmtId="184" fontId="9" fillId="0" borderId="77" xfId="0" applyNumberFormat="1" applyFont="1" applyBorder="1" applyAlignment="1">
      <alignment horizontal="center" vertical="center"/>
    </xf>
    <xf numFmtId="184" fontId="32" fillId="6" borderId="76" xfId="0" applyNumberFormat="1" applyFont="1" applyFill="1" applyBorder="1" applyAlignment="1">
      <alignment horizontal="center" vertical="center"/>
    </xf>
    <xf numFmtId="0" fontId="9" fillId="9" borderId="52" xfId="0" applyFont="1" applyFill="1" applyBorder="1" applyAlignment="1">
      <alignment horizontal="center" vertical="center"/>
    </xf>
    <xf numFmtId="0" fontId="9" fillId="9" borderId="49" xfId="0" applyFont="1" applyFill="1" applyBorder="1" applyAlignment="1">
      <alignment horizontal="center" vertical="center"/>
    </xf>
    <xf numFmtId="0" fontId="9" fillId="9" borderId="49" xfId="0" applyFont="1" applyFill="1" applyBorder="1" applyAlignment="1">
      <alignment horizontal="center" vertical="center" wrapText="1"/>
    </xf>
    <xf numFmtId="0" fontId="9" fillId="9" borderId="50" xfId="0" applyFont="1" applyFill="1" applyBorder="1" applyAlignment="1">
      <alignment horizontal="center" vertical="center"/>
    </xf>
    <xf numFmtId="183" fontId="9" fillId="0" borderId="45" xfId="0" applyNumberFormat="1" applyFont="1" applyBorder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83" fontId="9" fillId="0" borderId="41" xfId="0" applyNumberFormat="1" applyFont="1" applyBorder="1" applyAlignment="1">
      <alignment horizontal="center" vertical="center"/>
    </xf>
    <xf numFmtId="0" fontId="41" fillId="2" borderId="46" xfId="0" applyFont="1" applyFill="1" applyBorder="1" applyAlignment="1">
      <alignment horizontal="center" vertical="center"/>
    </xf>
    <xf numFmtId="0" fontId="41" fillId="2" borderId="40" xfId="0" applyFont="1" applyFill="1" applyBorder="1" applyAlignment="1">
      <alignment horizontal="center" vertical="center"/>
    </xf>
    <xf numFmtId="0" fontId="41" fillId="2" borderId="43" xfId="0" applyFont="1" applyFill="1" applyBorder="1" applyAlignment="1">
      <alignment horizontal="center" vertical="center"/>
    </xf>
    <xf numFmtId="0" fontId="30" fillId="6" borderId="46" xfId="0" applyFont="1" applyFill="1" applyBorder="1" applyAlignment="1">
      <alignment horizontal="center" vertical="center"/>
    </xf>
    <xf numFmtId="0" fontId="30" fillId="6" borderId="40" xfId="0" applyFont="1" applyFill="1" applyBorder="1" applyAlignment="1">
      <alignment horizontal="center" vertical="center"/>
    </xf>
    <xf numFmtId="0" fontId="30" fillId="6" borderId="43" xfId="0" applyFont="1" applyFill="1" applyBorder="1" applyAlignment="1">
      <alignment horizontal="center" vertical="center"/>
    </xf>
    <xf numFmtId="0" fontId="13" fillId="3" borderId="46" xfId="0" applyFont="1" applyFill="1" applyBorder="1" applyAlignment="1">
      <alignment horizontal="center" vertical="center"/>
    </xf>
    <xf numFmtId="0" fontId="13" fillId="3" borderId="40" xfId="0" applyFont="1" applyFill="1" applyBorder="1" applyAlignment="1">
      <alignment horizontal="center" vertical="center"/>
    </xf>
    <xf numFmtId="0" fontId="13" fillId="3" borderId="43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176" fontId="9" fillId="0" borderId="8" xfId="0" applyNumberFormat="1" applyFont="1" applyBorder="1" applyAlignment="1">
      <alignment horizontal="right" vertical="center"/>
    </xf>
    <xf numFmtId="0" fontId="12" fillId="5" borderId="9" xfId="0" applyFont="1" applyFill="1" applyBorder="1" applyAlignment="1">
      <alignment horizontal="center" vertical="center"/>
    </xf>
    <xf numFmtId="177" fontId="9" fillId="0" borderId="10" xfId="0" applyNumberFormat="1" applyFont="1" applyBorder="1" applyAlignment="1">
      <alignment horizontal="right" vertical="center"/>
    </xf>
    <xf numFmtId="177" fontId="9" fillId="0" borderId="12" xfId="0" applyNumberFormat="1" applyFont="1" applyBorder="1" applyAlignment="1">
      <alignment horizontal="right" vertical="center"/>
    </xf>
    <xf numFmtId="0" fontId="9" fillId="10" borderId="49" xfId="0" applyFont="1" applyFill="1" applyBorder="1" applyAlignment="1">
      <alignment horizontal="center" vertical="center" wrapText="1"/>
    </xf>
    <xf numFmtId="0" fontId="9" fillId="10" borderId="49" xfId="0" applyFont="1" applyFill="1" applyBorder="1" applyAlignment="1">
      <alignment horizontal="center" vertical="center"/>
    </xf>
    <xf numFmtId="0" fontId="9" fillId="10" borderId="50" xfId="0" applyFont="1" applyFill="1" applyBorder="1" applyAlignment="1">
      <alignment horizontal="center" vertical="center" wrapText="1"/>
    </xf>
    <xf numFmtId="0" fontId="12" fillId="5" borderId="65" xfId="0" applyFont="1" applyFill="1" applyBorder="1" applyAlignment="1">
      <alignment horizontal="center" vertical="center"/>
    </xf>
    <xf numFmtId="0" fontId="9" fillId="10" borderId="52" xfId="0" applyFont="1" applyFill="1" applyBorder="1" applyAlignment="1">
      <alignment horizontal="center" vertical="center" wrapText="1"/>
    </xf>
    <xf numFmtId="0" fontId="12" fillId="5" borderId="66" xfId="0" applyFont="1" applyFill="1" applyBorder="1" applyAlignment="1">
      <alignment horizontal="center" vertical="center"/>
    </xf>
    <xf numFmtId="0" fontId="12" fillId="5" borderId="67" xfId="0" applyFont="1" applyFill="1" applyBorder="1" applyAlignment="1">
      <alignment horizontal="center" vertical="center"/>
    </xf>
    <xf numFmtId="0" fontId="12" fillId="5" borderId="68" xfId="0" applyFont="1" applyFill="1" applyBorder="1" applyAlignment="1">
      <alignment horizontal="center" vertical="center"/>
    </xf>
    <xf numFmtId="0" fontId="12" fillId="5" borderId="29" xfId="0" applyFont="1" applyFill="1" applyBorder="1" applyAlignment="1">
      <alignment horizontal="center" vertical="center"/>
    </xf>
    <xf numFmtId="0" fontId="12" fillId="5" borderId="69" xfId="0" applyFont="1" applyFill="1" applyBorder="1" applyAlignment="1">
      <alignment horizontal="center" vertical="center"/>
    </xf>
    <xf numFmtId="177" fontId="9" fillId="0" borderId="51" xfId="0" applyNumberFormat="1" applyFont="1" applyBorder="1" applyAlignment="1">
      <alignment horizontal="right" vertical="center"/>
    </xf>
    <xf numFmtId="0" fontId="12" fillId="5" borderId="33" xfId="0" applyFont="1" applyFill="1" applyBorder="1" applyAlignment="1">
      <alignment horizontal="center" vertical="center"/>
    </xf>
    <xf numFmtId="0" fontId="12" fillId="5" borderId="70" xfId="0" applyFont="1" applyFill="1" applyBorder="1" applyAlignment="1">
      <alignment horizontal="center" vertical="center"/>
    </xf>
    <xf numFmtId="177" fontId="9" fillId="0" borderId="47" xfId="0" applyNumberFormat="1" applyFont="1" applyBorder="1" applyAlignment="1">
      <alignment horizontal="right" vertical="center"/>
    </xf>
    <xf numFmtId="0" fontId="25" fillId="0" borderId="0" xfId="0" applyFont="1" applyAlignment="1">
      <alignment horizontal="center" vertical="center"/>
    </xf>
    <xf numFmtId="183" fontId="9" fillId="0" borderId="46" xfId="0" applyNumberFormat="1" applyFont="1" applyBorder="1" applyAlignment="1">
      <alignment horizontal="center" vertical="center"/>
    </xf>
    <xf numFmtId="183" fontId="9" fillId="0" borderId="47" xfId="0" applyNumberFormat="1" applyFont="1" applyBorder="1" applyAlignment="1">
      <alignment horizontal="center" vertical="center"/>
    </xf>
    <xf numFmtId="183" fontId="9" fillId="0" borderId="40" xfId="0" applyNumberFormat="1" applyFont="1" applyBorder="1" applyAlignment="1">
      <alignment horizontal="center" vertical="center"/>
    </xf>
    <xf numFmtId="183" fontId="9" fillId="0" borderId="43" xfId="0" applyNumberFormat="1" applyFont="1" applyBorder="1" applyAlignment="1">
      <alignment horizontal="center" vertical="center"/>
    </xf>
    <xf numFmtId="183" fontId="9" fillId="0" borderId="44" xfId="0" applyNumberFormat="1" applyFont="1" applyBorder="1" applyAlignment="1">
      <alignment horizontal="center" vertical="center"/>
    </xf>
    <xf numFmtId="0" fontId="9" fillId="0" borderId="79" xfId="0" applyFont="1" applyBorder="1" applyAlignment="1">
      <alignment horizontal="center" vertical="center"/>
    </xf>
    <xf numFmtId="0" fontId="9" fillId="0" borderId="80" xfId="0" applyFont="1" applyBorder="1" applyAlignment="1">
      <alignment horizontal="center" vertical="center"/>
    </xf>
    <xf numFmtId="177" fontId="9" fillId="0" borderId="78" xfId="0" applyNumberFormat="1" applyFont="1" applyBorder="1" applyAlignment="1">
      <alignment horizontal="center" vertical="center"/>
    </xf>
    <xf numFmtId="177" fontId="9" fillId="0" borderId="72" xfId="0" applyNumberFormat="1" applyFont="1" applyBorder="1" applyAlignment="1">
      <alignment horizontal="center" vertical="center"/>
    </xf>
    <xf numFmtId="176" fontId="9" fillId="0" borderId="73" xfId="0" applyNumberFormat="1" applyFont="1" applyBorder="1" applyAlignment="1">
      <alignment horizontal="center" vertical="center"/>
    </xf>
    <xf numFmtId="0" fontId="9" fillId="0" borderId="82" xfId="0" applyFont="1" applyBorder="1" applyAlignment="1">
      <alignment horizontal="center" vertical="center"/>
    </xf>
    <xf numFmtId="0" fontId="9" fillId="0" borderId="83" xfId="0" applyFont="1" applyBorder="1" applyAlignment="1">
      <alignment horizontal="center" vertical="center"/>
    </xf>
    <xf numFmtId="183" fontId="9" fillId="0" borderId="34" xfId="0" applyNumberFormat="1" applyFont="1" applyBorder="1" applyAlignment="1">
      <alignment horizontal="center" vertical="center"/>
    </xf>
    <xf numFmtId="183" fontId="9" fillId="0" borderId="82" xfId="0" applyNumberFormat="1" applyFont="1" applyBorder="1" applyAlignment="1">
      <alignment horizontal="center" vertical="center"/>
    </xf>
    <xf numFmtId="181" fontId="9" fillId="0" borderId="34" xfId="0" applyNumberFormat="1" applyFont="1" applyBorder="1" applyAlignment="1">
      <alignment horizontal="center" vertical="center"/>
    </xf>
    <xf numFmtId="181" fontId="9" fillId="0" borderId="82" xfId="0" applyNumberFormat="1" applyFont="1" applyBorder="1" applyAlignment="1">
      <alignment horizontal="center" vertical="center"/>
    </xf>
    <xf numFmtId="185" fontId="9" fillId="0" borderId="36" xfId="0" applyNumberFormat="1" applyFont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181" fontId="9" fillId="0" borderId="86" xfId="0" applyNumberFormat="1" applyFont="1" applyBorder="1" applyAlignment="1">
      <alignment horizontal="center" vertical="center"/>
    </xf>
    <xf numFmtId="183" fontId="9" fillId="0" borderId="86" xfId="0" applyNumberFormat="1" applyFont="1" applyBorder="1" applyAlignment="1">
      <alignment horizontal="center" vertical="center"/>
    </xf>
    <xf numFmtId="183" fontId="9" fillId="0" borderId="22" xfId="0" applyNumberFormat="1" applyFont="1" applyBorder="1" applyAlignment="1">
      <alignment horizontal="center" vertical="center"/>
    </xf>
    <xf numFmtId="183" fontId="9" fillId="0" borderId="13" xfId="0" applyNumberFormat="1" applyFont="1" applyBorder="1" applyAlignment="1">
      <alignment horizontal="center" vertical="center"/>
    </xf>
    <xf numFmtId="0" fontId="9" fillId="0" borderId="88" xfId="0" applyFont="1" applyBorder="1" applyAlignment="1">
      <alignment horizontal="center" vertical="center"/>
    </xf>
    <xf numFmtId="183" fontId="9" fillId="0" borderId="89" xfId="0" applyNumberFormat="1" applyFont="1" applyBorder="1" applyAlignment="1">
      <alignment horizontal="center" vertical="center"/>
    </xf>
    <xf numFmtId="183" fontId="9" fillId="0" borderId="90" xfId="0" applyNumberFormat="1" applyFont="1" applyBorder="1" applyAlignment="1">
      <alignment horizontal="center" vertical="center"/>
    </xf>
    <xf numFmtId="177" fontId="9" fillId="0" borderId="21" xfId="0" applyNumberFormat="1" applyFont="1" applyBorder="1" applyAlignment="1">
      <alignment horizontal="center" vertical="center"/>
    </xf>
    <xf numFmtId="177" fontId="9" fillId="0" borderId="10" xfId="0" applyNumberFormat="1" applyFont="1" applyBorder="1" applyAlignment="1">
      <alignment horizontal="center" vertical="center"/>
    </xf>
    <xf numFmtId="177" fontId="9" fillId="0" borderId="11" xfId="0" applyNumberFormat="1" applyFont="1" applyBorder="1" applyAlignment="1">
      <alignment horizontal="center" vertical="center"/>
    </xf>
    <xf numFmtId="177" fontId="9" fillId="0" borderId="34" xfId="0" applyNumberFormat="1" applyFont="1" applyBorder="1" applyAlignment="1">
      <alignment horizontal="center" vertical="center"/>
    </xf>
    <xf numFmtId="177" fontId="9" fillId="0" borderId="47" xfId="0" applyNumberFormat="1" applyFont="1" applyBorder="1" applyAlignment="1">
      <alignment horizontal="center" vertical="center"/>
    </xf>
    <xf numFmtId="177" fontId="9" fillId="0" borderId="36" xfId="0" applyNumberFormat="1" applyFont="1" applyBorder="1" applyAlignment="1">
      <alignment horizontal="center" vertical="center"/>
    </xf>
    <xf numFmtId="177" fontId="9" fillId="0" borderId="13" xfId="0" applyNumberFormat="1" applyFont="1" applyBorder="1" applyAlignment="1">
      <alignment horizontal="center" vertical="center"/>
    </xf>
    <xf numFmtId="186" fontId="9" fillId="0" borderId="0" xfId="0" applyNumberFormat="1" applyFont="1" applyAlignment="1">
      <alignment horizontal="center" vertical="center"/>
    </xf>
    <xf numFmtId="0" fontId="9" fillId="0" borderId="37" xfId="0" applyNumberFormat="1" applyFont="1" applyBorder="1" applyAlignment="1">
      <alignment horizontal="center" vertical="center"/>
    </xf>
    <xf numFmtId="0" fontId="9" fillId="0" borderId="38" xfId="0" applyNumberFormat="1" applyFont="1" applyBorder="1" applyAlignment="1">
      <alignment horizontal="center" vertical="center"/>
    </xf>
    <xf numFmtId="0" fontId="9" fillId="0" borderId="39" xfId="0" applyNumberFormat="1" applyFont="1" applyBorder="1" applyAlignment="1">
      <alignment horizontal="center" vertical="center"/>
    </xf>
    <xf numFmtId="0" fontId="45" fillId="0" borderId="24" xfId="0" applyFont="1" applyBorder="1" applyAlignment="1">
      <alignment horizontal="center" vertical="center"/>
    </xf>
    <xf numFmtId="0" fontId="9" fillId="0" borderId="91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177" fontId="9" fillId="0" borderId="35" xfId="0" applyNumberFormat="1" applyFont="1" applyBorder="1" applyAlignment="1">
      <alignment horizontal="center" vertical="center"/>
    </xf>
    <xf numFmtId="177" fontId="9" fillId="0" borderId="82" xfId="0" applyNumberFormat="1" applyFont="1" applyBorder="1" applyAlignment="1">
      <alignment horizontal="center" vertical="center"/>
    </xf>
    <xf numFmtId="177" fontId="9" fillId="0" borderId="98" xfId="0" applyNumberFormat="1" applyFont="1" applyBorder="1" applyAlignment="1">
      <alignment horizontal="center" vertical="center"/>
    </xf>
    <xf numFmtId="177" fontId="9" fillId="0" borderId="92" xfId="0" applyNumberFormat="1" applyFont="1" applyBorder="1" applyAlignment="1">
      <alignment horizontal="center" vertical="center"/>
    </xf>
    <xf numFmtId="177" fontId="9" fillId="0" borderId="93" xfId="0" applyNumberFormat="1" applyFont="1" applyBorder="1" applyAlignment="1">
      <alignment horizontal="center" vertical="center"/>
    </xf>
    <xf numFmtId="177" fontId="9" fillId="0" borderId="99" xfId="0" applyNumberFormat="1" applyFont="1" applyBorder="1" applyAlignment="1">
      <alignment horizontal="center" vertical="center"/>
    </xf>
    <xf numFmtId="177" fontId="9" fillId="0" borderId="97" xfId="0" applyNumberFormat="1" applyFont="1" applyBorder="1" applyAlignment="1">
      <alignment horizontal="center" vertical="center"/>
    </xf>
    <xf numFmtId="177" fontId="9" fillId="0" borderId="4" xfId="0" applyNumberFormat="1" applyFont="1" applyBorder="1" applyAlignment="1">
      <alignment horizontal="center" vertical="center"/>
    </xf>
    <xf numFmtId="176" fontId="9" fillId="0" borderId="82" xfId="0" applyNumberFormat="1" applyFont="1" applyBorder="1" applyAlignment="1">
      <alignment horizontal="center" vertical="center"/>
    </xf>
    <xf numFmtId="176" fontId="9" fillId="0" borderId="41" xfId="0" applyNumberFormat="1" applyFont="1" applyBorder="1" applyAlignment="1">
      <alignment horizontal="center" vertical="center"/>
    </xf>
    <xf numFmtId="176" fontId="9" fillId="0" borderId="42" xfId="0" applyNumberFormat="1" applyFont="1" applyBorder="1" applyAlignment="1">
      <alignment horizontal="center" vertical="center"/>
    </xf>
    <xf numFmtId="176" fontId="9" fillId="0" borderId="83" xfId="0" applyNumberFormat="1" applyFont="1" applyBorder="1" applyAlignment="1">
      <alignment horizontal="center" vertical="center"/>
    </xf>
    <xf numFmtId="176" fontId="9" fillId="0" borderId="44" xfId="0" applyNumberFormat="1" applyFont="1" applyBorder="1" applyAlignment="1">
      <alignment horizontal="center" vertical="center"/>
    </xf>
    <xf numFmtId="176" fontId="9" fillId="0" borderId="45" xfId="0" applyNumberFormat="1" applyFont="1" applyBorder="1" applyAlignment="1">
      <alignment horizontal="center" vertical="center"/>
    </xf>
    <xf numFmtId="0" fontId="9" fillId="0" borderId="34" xfId="0" applyNumberFormat="1" applyFont="1" applyBorder="1" applyAlignment="1">
      <alignment horizontal="center" vertical="center"/>
    </xf>
    <xf numFmtId="0" fontId="9" fillId="0" borderId="82" xfId="0" applyNumberFormat="1" applyFont="1" applyBorder="1" applyAlignment="1">
      <alignment horizontal="center" vertical="center"/>
    </xf>
    <xf numFmtId="0" fontId="9" fillId="0" borderId="83" xfId="0" applyNumberFormat="1" applyFont="1" applyBorder="1" applyAlignment="1">
      <alignment horizontal="center" vertical="center"/>
    </xf>
    <xf numFmtId="0" fontId="9" fillId="0" borderId="100" xfId="0" applyFont="1" applyBorder="1" applyAlignment="1">
      <alignment horizontal="center" vertical="center"/>
    </xf>
    <xf numFmtId="177" fontId="9" fillId="0" borderId="94" xfId="0" applyNumberFormat="1" applyFont="1" applyBorder="1" applyAlignment="1">
      <alignment horizontal="center" vertical="center"/>
    </xf>
    <xf numFmtId="176" fontId="9" fillId="0" borderId="35" xfId="0" applyNumberFormat="1" applyFont="1" applyBorder="1" applyAlignment="1">
      <alignment horizontal="center" vertical="center"/>
    </xf>
    <xf numFmtId="176" fontId="9" fillId="0" borderId="75" xfId="0" applyNumberFormat="1" applyFont="1" applyBorder="1" applyAlignment="1">
      <alignment horizontal="center" vertical="center"/>
    </xf>
    <xf numFmtId="176" fontId="9" fillId="0" borderId="98" xfId="0" applyNumberFormat="1" applyFont="1" applyBorder="1" applyAlignment="1">
      <alignment horizontal="center" vertical="center"/>
    </xf>
    <xf numFmtId="176" fontId="9" fillId="0" borderId="92" xfId="0" applyNumberFormat="1" applyFont="1" applyBorder="1" applyAlignment="1">
      <alignment horizontal="center" vertical="center"/>
    </xf>
    <xf numFmtId="176" fontId="9" fillId="0" borderId="93" xfId="0" applyNumberFormat="1" applyFont="1" applyBorder="1" applyAlignment="1">
      <alignment horizontal="center" vertical="center"/>
    </xf>
    <xf numFmtId="176" fontId="9" fillId="0" borderId="99" xfId="0" applyNumberFormat="1" applyFont="1" applyBorder="1" applyAlignment="1">
      <alignment horizontal="center" vertical="center"/>
    </xf>
    <xf numFmtId="176" fontId="9" fillId="0" borderId="97" xfId="0" applyNumberFormat="1" applyFont="1" applyBorder="1" applyAlignment="1">
      <alignment horizontal="center" vertical="center"/>
    </xf>
    <xf numFmtId="176" fontId="9" fillId="0" borderId="4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177" fontId="9" fillId="0" borderId="83" xfId="0" applyNumberFormat="1" applyFont="1" applyBorder="1" applyAlignment="1">
      <alignment horizontal="center" vertical="center"/>
    </xf>
    <xf numFmtId="177" fontId="9" fillId="0" borderId="2" xfId="0" applyNumberFormat="1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09" xfId="0" applyFont="1" applyBorder="1" applyAlignment="1">
      <alignment horizontal="center" vertical="center" wrapText="1"/>
    </xf>
    <xf numFmtId="0" fontId="9" fillId="0" borderId="113" xfId="0" applyFont="1" applyBorder="1" applyAlignment="1">
      <alignment horizontal="center" vertical="center"/>
    </xf>
    <xf numFmtId="0" fontId="9" fillId="0" borderId="114" xfId="0" applyFont="1" applyBorder="1" applyAlignment="1">
      <alignment horizontal="center" vertical="center"/>
    </xf>
    <xf numFmtId="176" fontId="9" fillId="0" borderId="114" xfId="0" applyNumberFormat="1" applyFont="1" applyBorder="1" applyAlignment="1">
      <alignment horizontal="center" vertical="center"/>
    </xf>
    <xf numFmtId="177" fontId="9" fillId="0" borderId="115" xfId="0" applyNumberFormat="1" applyFont="1" applyBorder="1" applyAlignment="1">
      <alignment horizontal="center" vertical="center"/>
    </xf>
    <xf numFmtId="177" fontId="9" fillId="0" borderId="113" xfId="0" applyNumberFormat="1" applyFont="1" applyBorder="1" applyAlignment="1">
      <alignment horizontal="center" vertical="center"/>
    </xf>
    <xf numFmtId="177" fontId="9" fillId="0" borderId="114" xfId="0" applyNumberFormat="1" applyFont="1" applyBorder="1" applyAlignment="1">
      <alignment horizontal="center" vertical="center"/>
    </xf>
    <xf numFmtId="184" fontId="9" fillId="0" borderId="82" xfId="0" applyNumberFormat="1" applyFont="1" applyBorder="1" applyAlignment="1">
      <alignment horizontal="center" vertical="center"/>
    </xf>
    <xf numFmtId="184" fontId="9" fillId="0" borderId="83" xfId="0" applyNumberFormat="1" applyFont="1" applyBorder="1" applyAlignment="1">
      <alignment horizontal="center" vertical="center"/>
    </xf>
    <xf numFmtId="177" fontId="9" fillId="0" borderId="0" xfId="0" applyNumberFormat="1" applyFont="1" applyAlignment="1">
      <alignment horizontal="center" vertical="center"/>
    </xf>
    <xf numFmtId="0" fontId="9" fillId="0" borderId="116" xfId="0" applyFont="1" applyBorder="1" applyAlignment="1">
      <alignment horizontal="center" vertical="center"/>
    </xf>
    <xf numFmtId="0" fontId="9" fillId="0" borderId="117" xfId="0" applyFont="1" applyBorder="1" applyAlignment="1">
      <alignment horizontal="center" vertical="center" wrapText="1"/>
    </xf>
    <xf numFmtId="0" fontId="9" fillId="0" borderId="74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 wrapText="1"/>
    </xf>
    <xf numFmtId="0" fontId="9" fillId="0" borderId="122" xfId="0" applyFont="1" applyBorder="1" applyAlignment="1">
      <alignment horizontal="center" vertical="center" wrapText="1"/>
    </xf>
    <xf numFmtId="176" fontId="9" fillId="0" borderId="123" xfId="0" applyNumberFormat="1" applyFont="1" applyBorder="1" applyAlignment="1">
      <alignment horizontal="right" vertical="center"/>
    </xf>
    <xf numFmtId="176" fontId="9" fillId="0" borderId="124" xfId="0" applyNumberFormat="1" applyFont="1" applyBorder="1" applyAlignment="1">
      <alignment horizontal="right" vertical="center"/>
    </xf>
    <xf numFmtId="176" fontId="9" fillId="0" borderId="125" xfId="0" applyNumberFormat="1" applyFont="1" applyBorder="1" applyAlignment="1">
      <alignment horizontal="right" vertical="center"/>
    </xf>
    <xf numFmtId="0" fontId="9" fillId="0" borderId="26" xfId="0" applyFont="1" applyBorder="1" applyAlignment="1">
      <alignment horizontal="center" vertical="center" wrapText="1"/>
    </xf>
    <xf numFmtId="176" fontId="9" fillId="0" borderId="27" xfId="0" applyNumberFormat="1" applyFont="1" applyBorder="1" applyAlignment="1">
      <alignment horizontal="right" vertical="center"/>
    </xf>
    <xf numFmtId="176" fontId="9" fillId="0" borderId="35" xfId="0" applyNumberFormat="1" applyFont="1" applyBorder="1" applyAlignment="1">
      <alignment horizontal="right" vertical="center"/>
    </xf>
    <xf numFmtId="176" fontId="9" fillId="0" borderId="28" xfId="0" applyNumberFormat="1" applyFont="1" applyBorder="1" applyAlignment="1">
      <alignment horizontal="right" vertical="center"/>
    </xf>
    <xf numFmtId="176" fontId="9" fillId="0" borderId="118" xfId="0" applyNumberFormat="1" applyFont="1" applyBorder="1" applyAlignment="1">
      <alignment horizontal="right" vertical="center"/>
    </xf>
    <xf numFmtId="177" fontId="9" fillId="0" borderId="27" xfId="0" applyNumberFormat="1" applyFont="1" applyBorder="1" applyAlignment="1">
      <alignment horizontal="right" vertical="center"/>
    </xf>
    <xf numFmtId="177" fontId="9" fillId="0" borderId="35" xfId="0" applyNumberFormat="1" applyFont="1" applyBorder="1" applyAlignment="1">
      <alignment horizontal="right" vertical="center"/>
    </xf>
    <xf numFmtId="177" fontId="9" fillId="0" borderId="28" xfId="0" applyNumberFormat="1" applyFont="1" applyBorder="1" applyAlignment="1">
      <alignment horizontal="right" vertical="center"/>
    </xf>
    <xf numFmtId="177" fontId="9" fillId="0" borderId="123" xfId="0" applyNumberFormat="1" applyFont="1" applyBorder="1" applyAlignment="1">
      <alignment horizontal="right" vertical="center"/>
    </xf>
    <xf numFmtId="177" fontId="9" fillId="0" borderId="124" xfId="0" applyNumberFormat="1" applyFont="1" applyBorder="1" applyAlignment="1">
      <alignment horizontal="right" vertical="center"/>
    </xf>
    <xf numFmtId="177" fontId="9" fillId="0" borderId="125" xfId="0" applyNumberFormat="1" applyFont="1" applyBorder="1" applyAlignment="1">
      <alignment horizontal="right" vertical="center"/>
    </xf>
    <xf numFmtId="0" fontId="9" fillId="0" borderId="1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7" fontId="9" fillId="0" borderId="22" xfId="0" applyNumberFormat="1" applyFont="1" applyBorder="1" applyAlignment="1">
      <alignment horizontal="center" vertical="center"/>
    </xf>
    <xf numFmtId="177" fontId="9" fillId="0" borderId="1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9" fillId="0" borderId="65" xfId="0" applyFont="1" applyBorder="1" applyAlignment="1">
      <alignment horizontal="center" vertical="center"/>
    </xf>
    <xf numFmtId="177" fontId="9" fillId="0" borderId="75" xfId="0" applyNumberFormat="1" applyFont="1" applyBorder="1" applyAlignment="1">
      <alignment horizontal="center" vertical="center"/>
    </xf>
    <xf numFmtId="177" fontId="9" fillId="0" borderId="73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181" fontId="22" fillId="2" borderId="126" xfId="0" applyNumberFormat="1" applyFont="1" applyFill="1" applyBorder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  <xf numFmtId="10" fontId="9" fillId="0" borderId="127" xfId="0" applyNumberFormat="1" applyFont="1" applyBorder="1" applyAlignment="1">
      <alignment horizontal="center" vertical="center"/>
    </xf>
    <xf numFmtId="178" fontId="13" fillId="3" borderId="37" xfId="0" applyNumberFormat="1" applyFont="1" applyFill="1" applyBorder="1" applyAlignment="1">
      <alignment horizontal="center" vertical="center"/>
    </xf>
    <xf numFmtId="178" fontId="13" fillId="3" borderId="40" xfId="0" applyNumberFormat="1" applyFont="1" applyFill="1" applyBorder="1" applyAlignment="1">
      <alignment horizontal="center" vertical="center"/>
    </xf>
    <xf numFmtId="178" fontId="13" fillId="3" borderId="43" xfId="0" applyNumberFormat="1" applyFont="1" applyFill="1" applyBorder="1" applyAlignment="1">
      <alignment horizontal="center" vertical="center"/>
    </xf>
    <xf numFmtId="177" fontId="14" fillId="4" borderId="37" xfId="0" applyNumberFormat="1" applyFont="1" applyFill="1" applyBorder="1" applyAlignment="1">
      <alignment horizontal="center" vertical="center"/>
    </xf>
    <xf numFmtId="185" fontId="9" fillId="0" borderId="42" xfId="0" applyNumberFormat="1" applyFont="1" applyBorder="1" applyAlignment="1">
      <alignment horizontal="center" vertical="center"/>
    </xf>
    <xf numFmtId="185" fontId="9" fillId="0" borderId="77" xfId="0" applyNumberFormat="1" applyFont="1" applyBorder="1" applyAlignment="1">
      <alignment horizontal="center" vertical="center"/>
    </xf>
    <xf numFmtId="187" fontId="9" fillId="0" borderId="36" xfId="0" applyNumberFormat="1" applyFont="1" applyBorder="1" applyAlignment="1">
      <alignment horizontal="center" vertical="center"/>
    </xf>
    <xf numFmtId="188" fontId="9" fillId="0" borderId="47" xfId="0" applyNumberFormat="1" applyFont="1" applyBorder="1" applyAlignment="1">
      <alignment horizontal="center" vertical="center"/>
    </xf>
    <xf numFmtId="188" fontId="9" fillId="0" borderId="41" xfId="0" applyNumberFormat="1" applyFont="1" applyBorder="1" applyAlignment="1">
      <alignment horizontal="center" vertical="center"/>
    </xf>
    <xf numFmtId="188" fontId="9" fillId="0" borderId="93" xfId="0" applyNumberFormat="1" applyFont="1" applyBorder="1" applyAlignment="1">
      <alignment horizontal="center" vertical="center"/>
    </xf>
    <xf numFmtId="188" fontId="9" fillId="0" borderId="12" xfId="0" applyNumberFormat="1" applyFont="1" applyBorder="1" applyAlignment="1">
      <alignment horizontal="center" vertical="center"/>
    </xf>
    <xf numFmtId="189" fontId="9" fillId="0" borderId="0" xfId="0" applyNumberFormat="1" applyFont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177" fontId="9" fillId="0" borderId="75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10" fontId="9" fillId="0" borderId="0" xfId="0" applyNumberFormat="1" applyFont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10" fontId="9" fillId="0" borderId="38" xfId="0" applyNumberFormat="1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10" fontId="9" fillId="0" borderId="41" xfId="0" applyNumberFormat="1" applyFont="1" applyBorder="1" applyAlignment="1">
      <alignment horizontal="center" vertical="center"/>
    </xf>
    <xf numFmtId="10" fontId="9" fillId="0" borderId="42" xfId="0" applyNumberFormat="1" applyFont="1" applyBorder="1" applyAlignment="1">
      <alignment horizontal="center" vertical="center"/>
    </xf>
    <xf numFmtId="10" fontId="9" fillId="0" borderId="44" xfId="0" applyNumberFormat="1" applyFont="1" applyBorder="1" applyAlignment="1">
      <alignment horizontal="center" vertical="center"/>
    </xf>
    <xf numFmtId="10" fontId="9" fillId="0" borderId="45" xfId="0" applyNumberFormat="1" applyFont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130" xfId="0" applyFont="1" applyBorder="1" applyAlignment="1">
      <alignment horizontal="center" vertical="center" wrapText="1"/>
    </xf>
    <xf numFmtId="0" fontId="9" fillId="0" borderId="131" xfId="0" applyFont="1" applyBorder="1" applyAlignment="1">
      <alignment horizontal="center" vertical="center" wrapText="1"/>
    </xf>
    <xf numFmtId="0" fontId="9" fillId="0" borderId="129" xfId="0" applyFont="1" applyBorder="1" applyAlignment="1">
      <alignment horizontal="center" vertical="center" wrapText="1"/>
    </xf>
    <xf numFmtId="0" fontId="8" fillId="0" borderId="82" xfId="0" applyNumberFormat="1" applyFont="1" applyBorder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46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9" fillId="0" borderId="65" xfId="0" applyFont="1" applyFill="1" applyBorder="1" applyAlignment="1">
      <alignment horizontal="center" vertical="center"/>
    </xf>
    <xf numFmtId="0" fontId="9" fillId="0" borderId="52" xfId="0" applyFont="1" applyFill="1" applyBorder="1" applyAlignment="1">
      <alignment horizontal="center" vertical="center"/>
    </xf>
    <xf numFmtId="0" fontId="9" fillId="0" borderId="50" xfId="0" applyFont="1" applyFill="1" applyBorder="1" applyAlignment="1">
      <alignment horizontal="center" vertical="center"/>
    </xf>
    <xf numFmtId="0" fontId="9" fillId="0" borderId="63" xfId="0" applyFont="1" applyFill="1" applyBorder="1" applyAlignment="1">
      <alignment horizontal="center" vertical="center"/>
    </xf>
    <xf numFmtId="181" fontId="9" fillId="0" borderId="34" xfId="0" applyNumberFormat="1" applyFont="1" applyFill="1" applyBorder="1" applyAlignment="1">
      <alignment horizontal="center" vertical="center"/>
    </xf>
    <xf numFmtId="185" fontId="9" fillId="0" borderId="36" xfId="0" applyNumberFormat="1" applyFont="1" applyFill="1" applyBorder="1" applyAlignment="1">
      <alignment horizontal="center" vertical="center"/>
    </xf>
    <xf numFmtId="0" fontId="9" fillId="0" borderId="79" xfId="0" applyFont="1" applyFill="1" applyBorder="1" applyAlignment="1">
      <alignment horizontal="center" vertical="center"/>
    </xf>
    <xf numFmtId="181" fontId="9" fillId="0" borderId="82" xfId="0" applyNumberFormat="1" applyFont="1" applyFill="1" applyBorder="1" applyAlignment="1">
      <alignment horizontal="center" vertical="center"/>
    </xf>
    <xf numFmtId="185" fontId="9" fillId="0" borderId="42" xfId="0" applyNumberFormat="1" applyFont="1" applyFill="1" applyBorder="1" applyAlignment="1">
      <alignment horizontal="center" vertical="center"/>
    </xf>
    <xf numFmtId="0" fontId="9" fillId="0" borderId="85" xfId="0" applyFont="1" applyFill="1" applyBorder="1" applyAlignment="1">
      <alignment horizontal="center" vertical="center"/>
    </xf>
    <xf numFmtId="181" fontId="9" fillId="0" borderId="86" xfId="0" applyNumberFormat="1" applyFont="1" applyFill="1" applyBorder="1" applyAlignment="1">
      <alignment horizontal="center" vertical="center"/>
    </xf>
    <xf numFmtId="185" fontId="9" fillId="0" borderId="77" xfId="0" applyNumberFormat="1" applyFont="1" applyFill="1" applyBorder="1" applyAlignment="1">
      <alignment horizontal="center" vertical="center"/>
    </xf>
    <xf numFmtId="183" fontId="9" fillId="0" borderId="34" xfId="0" applyNumberFormat="1" applyFont="1" applyFill="1" applyBorder="1" applyAlignment="1">
      <alignment horizontal="center" vertical="center"/>
    </xf>
    <xf numFmtId="187" fontId="9" fillId="0" borderId="36" xfId="0" applyNumberFormat="1" applyFont="1" applyFill="1" applyBorder="1" applyAlignment="1">
      <alignment horizontal="center" vertical="center"/>
    </xf>
    <xf numFmtId="183" fontId="9" fillId="0" borderId="82" xfId="0" applyNumberFormat="1" applyFont="1" applyFill="1" applyBorder="1" applyAlignment="1">
      <alignment horizontal="center" vertical="center"/>
    </xf>
    <xf numFmtId="183" fontId="9" fillId="0" borderId="42" xfId="0" applyNumberFormat="1" applyFont="1" applyFill="1" applyBorder="1" applyAlignment="1">
      <alignment horizontal="center" vertical="center"/>
    </xf>
    <xf numFmtId="183" fontId="9" fillId="0" borderId="86" xfId="0" applyNumberFormat="1" applyFont="1" applyFill="1" applyBorder="1" applyAlignment="1">
      <alignment horizontal="center" vertical="center"/>
    </xf>
    <xf numFmtId="184" fontId="9" fillId="0" borderId="77" xfId="0" applyNumberFormat="1" applyFont="1" applyFill="1" applyBorder="1" applyAlignment="1">
      <alignment horizontal="center" vertical="center"/>
    </xf>
    <xf numFmtId="0" fontId="9" fillId="0" borderId="88" xfId="0" applyFont="1" applyFill="1" applyBorder="1" applyAlignment="1">
      <alignment horizontal="center" vertical="center"/>
    </xf>
    <xf numFmtId="183" fontId="9" fillId="0" borderId="89" xfId="0" applyNumberFormat="1" applyFont="1" applyFill="1" applyBorder="1" applyAlignment="1">
      <alignment horizontal="center" vertical="center"/>
    </xf>
    <xf numFmtId="183" fontId="9" fillId="0" borderId="90" xfId="0" applyNumberFormat="1" applyFont="1" applyFill="1" applyBorder="1" applyAlignment="1">
      <alignment horizontal="center" vertical="center"/>
    </xf>
    <xf numFmtId="0" fontId="9" fillId="0" borderId="55" xfId="0" applyFont="1" applyFill="1" applyBorder="1" applyAlignment="1">
      <alignment horizontal="center" vertical="center"/>
    </xf>
    <xf numFmtId="183" fontId="9" fillId="0" borderId="22" xfId="0" applyNumberFormat="1" applyFont="1" applyFill="1" applyBorder="1" applyAlignment="1">
      <alignment horizontal="center" vertical="center"/>
    </xf>
    <xf numFmtId="183" fontId="9" fillId="0" borderId="13" xfId="0" applyNumberFormat="1" applyFont="1" applyFill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37" xfId="0" applyFont="1" applyFill="1" applyBorder="1" applyAlignment="1">
      <alignment horizontal="center" vertical="center"/>
    </xf>
    <xf numFmtId="10" fontId="9" fillId="0" borderId="38" xfId="0" applyNumberFormat="1" applyFont="1" applyFill="1" applyBorder="1" applyAlignment="1">
      <alignment horizontal="center" vertical="center"/>
    </xf>
    <xf numFmtId="0" fontId="9" fillId="0" borderId="39" xfId="0" applyFont="1" applyFill="1" applyBorder="1" applyAlignment="1">
      <alignment horizontal="center" vertical="center"/>
    </xf>
    <xf numFmtId="0" fontId="9" fillId="0" borderId="40" xfId="0" applyFont="1" applyFill="1" applyBorder="1" applyAlignment="1">
      <alignment horizontal="center" vertical="center"/>
    </xf>
    <xf numFmtId="10" fontId="9" fillId="0" borderId="41" xfId="0" applyNumberFormat="1" applyFont="1" applyFill="1" applyBorder="1" applyAlignment="1">
      <alignment horizontal="center" vertical="center"/>
    </xf>
    <xf numFmtId="10" fontId="9" fillId="0" borderId="42" xfId="0" applyNumberFormat="1" applyFont="1" applyFill="1" applyBorder="1" applyAlignment="1">
      <alignment horizontal="center" vertical="center"/>
    </xf>
    <xf numFmtId="0" fontId="9" fillId="0" borderId="43" xfId="0" applyFont="1" applyFill="1" applyBorder="1" applyAlignment="1">
      <alignment horizontal="center" vertical="center"/>
    </xf>
    <xf numFmtId="10" fontId="9" fillId="0" borderId="44" xfId="0" applyNumberFormat="1" applyFont="1" applyFill="1" applyBorder="1" applyAlignment="1">
      <alignment horizontal="center" vertical="center"/>
    </xf>
    <xf numFmtId="10" fontId="9" fillId="0" borderId="45" xfId="0" applyNumberFormat="1" applyFont="1" applyFill="1" applyBorder="1" applyAlignment="1">
      <alignment horizontal="center" vertical="center"/>
    </xf>
    <xf numFmtId="190" fontId="9" fillId="0" borderId="51" xfId="0" applyNumberFormat="1" applyFont="1" applyBorder="1" applyAlignment="1">
      <alignment horizontal="right" vertical="center"/>
    </xf>
    <xf numFmtId="191" fontId="9" fillId="0" borderId="0" xfId="0" applyNumberFormat="1" applyFont="1" applyAlignment="1">
      <alignment horizontal="center" vertical="center"/>
    </xf>
    <xf numFmtId="188" fontId="9" fillId="0" borderId="0" xfId="0" applyNumberFormat="1" applyFont="1" applyAlignment="1">
      <alignment horizontal="center" vertical="center"/>
    </xf>
    <xf numFmtId="190" fontId="9" fillId="0" borderId="10" xfId="0" applyNumberFormat="1" applyFont="1" applyBorder="1" applyAlignment="1">
      <alignment horizontal="right" vertical="center"/>
    </xf>
    <xf numFmtId="192" fontId="9" fillId="0" borderId="0" xfId="0" applyNumberFormat="1" applyFont="1" applyAlignment="1">
      <alignment horizontal="center" vertical="center"/>
    </xf>
    <xf numFmtId="190" fontId="9" fillId="0" borderId="47" xfId="0" applyNumberFormat="1" applyFont="1" applyBorder="1" applyAlignment="1">
      <alignment horizontal="right" vertical="center"/>
    </xf>
    <xf numFmtId="190" fontId="9" fillId="0" borderId="12" xfId="0" applyNumberFormat="1" applyFont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22" fillId="2" borderId="71" xfId="0" applyFont="1" applyFill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184" fontId="32" fillId="6" borderId="74" xfId="0" applyNumberFormat="1" applyFont="1" applyFill="1" applyBorder="1" applyAlignment="1">
      <alignment horizontal="center" vertical="center"/>
    </xf>
    <xf numFmtId="0" fontId="6" fillId="0" borderId="75" xfId="0" applyFont="1" applyBorder="1" applyAlignment="1">
      <alignment horizontal="center" vertical="center"/>
    </xf>
    <xf numFmtId="184" fontId="13" fillId="3" borderId="74" xfId="0" applyNumberFormat="1" applyFont="1" applyFill="1" applyBorder="1" applyAlignment="1">
      <alignment horizontal="center" vertical="center"/>
    </xf>
    <xf numFmtId="0" fontId="41" fillId="2" borderId="48" xfId="0" applyFont="1" applyFill="1" applyBorder="1" applyAlignment="1">
      <alignment horizontal="center" vertical="center"/>
    </xf>
    <xf numFmtId="0" fontId="41" fillId="2" borderId="50" xfId="0" applyFont="1" applyFill="1" applyBorder="1" applyAlignment="1">
      <alignment horizontal="center" vertical="center"/>
    </xf>
    <xf numFmtId="0" fontId="30" fillId="6" borderId="48" xfId="0" applyFont="1" applyFill="1" applyBorder="1" applyAlignment="1">
      <alignment horizontal="center" vertical="center"/>
    </xf>
    <xf numFmtId="0" fontId="30" fillId="6" borderId="50" xfId="0" applyFont="1" applyFill="1" applyBorder="1" applyAlignment="1">
      <alignment horizontal="center" vertical="center"/>
    </xf>
    <xf numFmtId="0" fontId="13" fillId="3" borderId="48" xfId="0" applyFont="1" applyFill="1" applyBorder="1" applyAlignment="1">
      <alignment horizontal="center" vertical="center"/>
    </xf>
    <xf numFmtId="0" fontId="13" fillId="3" borderId="50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0" borderId="87" xfId="0" applyFont="1" applyBorder="1" applyAlignment="1">
      <alignment horizontal="center" vertical="center"/>
    </xf>
    <xf numFmtId="177" fontId="9" fillId="0" borderId="22" xfId="0" applyNumberFormat="1" applyFont="1" applyBorder="1" applyAlignment="1">
      <alignment horizontal="center" vertical="center"/>
    </xf>
    <xf numFmtId="177" fontId="9" fillId="0" borderId="12" xfId="0" applyNumberFormat="1" applyFont="1" applyBorder="1" applyAlignment="1">
      <alignment horizontal="center" vertical="center"/>
    </xf>
    <xf numFmtId="177" fontId="9" fillId="0" borderId="28" xfId="0" applyNumberFormat="1" applyFont="1" applyBorder="1" applyAlignment="1">
      <alignment horizontal="center" vertical="center"/>
    </xf>
    <xf numFmtId="0" fontId="44" fillId="0" borderId="0" xfId="0" applyFont="1" applyAlignment="1">
      <alignment horizontal="left" vertical="center"/>
    </xf>
    <xf numFmtId="0" fontId="9" fillId="0" borderId="5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177" fontId="9" fillId="0" borderId="6" xfId="0" applyNumberFormat="1" applyFont="1" applyBorder="1" applyAlignment="1">
      <alignment horizontal="center" vertical="center"/>
    </xf>
    <xf numFmtId="0" fontId="6" fillId="0" borderId="81" xfId="0" applyFont="1" applyBorder="1" applyAlignment="1">
      <alignment horizontal="center" vertical="center"/>
    </xf>
    <xf numFmtId="0" fontId="9" fillId="0" borderId="54" xfId="0" applyFont="1" applyFill="1" applyBorder="1" applyAlignment="1">
      <alignment horizontal="center" vertical="center"/>
    </xf>
    <xf numFmtId="0" fontId="9" fillId="0" borderId="87" xfId="0" applyFont="1" applyFill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0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177" fontId="9" fillId="0" borderId="102" xfId="0" applyNumberFormat="1" applyFont="1" applyBorder="1" applyAlignment="1">
      <alignment horizontal="center" vertical="center"/>
    </xf>
    <xf numFmtId="0" fontId="6" fillId="0" borderId="103" xfId="0" applyFont="1" applyBorder="1" applyAlignment="1">
      <alignment horizontal="center" vertical="center"/>
    </xf>
    <xf numFmtId="0" fontId="9" fillId="0" borderId="104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177" fontId="9" fillId="0" borderId="105" xfId="0" applyNumberFormat="1" applyFont="1" applyBorder="1" applyAlignment="1">
      <alignment horizontal="center" vertical="center"/>
    </xf>
    <xf numFmtId="177" fontId="9" fillId="0" borderId="103" xfId="0" applyNumberFormat="1" applyFont="1" applyBorder="1" applyAlignment="1">
      <alignment horizontal="center" vertical="center"/>
    </xf>
    <xf numFmtId="0" fontId="6" fillId="0" borderId="106" xfId="0" applyFont="1" applyBorder="1" applyAlignment="1">
      <alignment horizontal="center" vertical="center"/>
    </xf>
    <xf numFmtId="0" fontId="6" fillId="0" borderId="107" xfId="0" applyFont="1" applyBorder="1" applyAlignment="1">
      <alignment horizontal="center" vertical="center"/>
    </xf>
    <xf numFmtId="0" fontId="9" fillId="0" borderId="95" xfId="0" applyFont="1" applyBorder="1" applyAlignment="1">
      <alignment horizontal="center" vertical="center"/>
    </xf>
    <xf numFmtId="0" fontId="9" fillId="0" borderId="96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6" fillId="0" borderId="108" xfId="0" applyFont="1" applyBorder="1" applyAlignment="1">
      <alignment horizontal="center" vertical="center"/>
    </xf>
    <xf numFmtId="176" fontId="9" fillId="0" borderId="102" xfId="0" applyNumberFormat="1" applyFont="1" applyBorder="1" applyAlignment="1">
      <alignment horizontal="center" vertical="center"/>
    </xf>
    <xf numFmtId="176" fontId="9" fillId="0" borderId="105" xfId="0" applyNumberFormat="1" applyFont="1" applyBorder="1" applyAlignment="1">
      <alignment horizontal="center" vertical="center"/>
    </xf>
    <xf numFmtId="176" fontId="9" fillId="0" borderId="103" xfId="0" applyNumberFormat="1" applyFont="1" applyBorder="1" applyAlignment="1">
      <alignment horizontal="center" vertical="center"/>
    </xf>
    <xf numFmtId="0" fontId="9" fillId="0" borderId="128" xfId="0" applyFont="1" applyBorder="1" applyAlignment="1">
      <alignment horizontal="center" vertical="center"/>
    </xf>
    <xf numFmtId="0" fontId="9" fillId="0" borderId="119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12" xfId="0" applyFont="1" applyBorder="1" applyAlignment="1">
      <alignment horizontal="center" vertical="center"/>
    </xf>
    <xf numFmtId="0" fontId="9" fillId="0" borderId="111" xfId="0" applyFont="1" applyBorder="1" applyAlignment="1">
      <alignment horizontal="center" vertical="center"/>
    </xf>
    <xf numFmtId="0" fontId="9" fillId="0" borderId="110" xfId="0" applyFont="1" applyBorder="1" applyAlignment="1">
      <alignment horizontal="center" vertical="center"/>
    </xf>
    <xf numFmtId="0" fontId="6" fillId="0" borderId="121" xfId="0" applyFont="1" applyBorder="1" applyAlignment="1">
      <alignment horizontal="center" vertical="center"/>
    </xf>
    <xf numFmtId="0" fontId="6" fillId="0" borderId="95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 wrapText="1"/>
    </xf>
    <xf numFmtId="0" fontId="6" fillId="0" borderId="79" xfId="0" applyFont="1" applyBorder="1" applyAlignment="1">
      <alignment horizontal="center" vertical="center"/>
    </xf>
    <xf numFmtId="177" fontId="9" fillId="0" borderId="75" xfId="0" applyNumberFormat="1" applyFont="1" applyBorder="1" applyAlignment="1">
      <alignment horizontal="center" vertical="center"/>
    </xf>
    <xf numFmtId="177" fontId="9" fillId="0" borderId="73" xfId="0" applyNumberFormat="1" applyFont="1" applyBorder="1" applyAlignment="1">
      <alignment horizontal="center" vertical="center"/>
    </xf>
    <xf numFmtId="0" fontId="9" fillId="0" borderId="120" xfId="0" applyFont="1" applyBorder="1" applyAlignment="1">
      <alignment horizontal="center" vertical="center"/>
    </xf>
    <xf numFmtId="0" fontId="9" fillId="0" borderId="84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Style="combo" dx="26" fmlaLink="Code!$B$4" fmlaRange="Code!$B$6:$B$7" noThreeD="1" sel="1" val="0"/>
</file>

<file path=xl/ctrlProps/ctrlProp2.xml><?xml version="1.0" encoding="utf-8"?>
<formControlPr xmlns="http://schemas.microsoft.com/office/spreadsheetml/2009/9/main" objectType="Drop" dropStyle="combo" dx="26" fmlaLink="Code!$C$4" fmlaRange="Code!$C$6:$C$85" noThreeD="1" sel="36" val="0"/>
</file>

<file path=xl/ctrlProps/ctrlProp3.xml><?xml version="1.0" encoding="utf-8"?>
<formControlPr xmlns="http://schemas.microsoft.com/office/spreadsheetml/2009/9/main" objectType="Drop" dropStyle="combo" dx="26" fmlaLink="Code!$D$4" fmlaRange="Code!$D$6:$D$9" noThreeD="1" sel="4" val="0"/>
</file>

<file path=xl/ctrlProps/ctrlProp4.xml><?xml version="1.0" encoding="utf-8"?>
<formControlPr xmlns="http://schemas.microsoft.com/office/spreadsheetml/2009/9/main" objectType="Drop" dropStyle="combo" dx="26" fmlaLink="Code!$E$4" fmlaRange="Code!$E$6:$E$8" noThreeD="1" sel="1" val="0"/>
</file>

<file path=xl/ctrlProps/ctrlProp5.xml><?xml version="1.0" encoding="utf-8"?>
<formControlPr xmlns="http://schemas.microsoft.com/office/spreadsheetml/2009/9/main" objectType="Drop" dropStyle="combo" dx="26" fmlaLink="Code!$F$4" fmlaRange="Code!$F$6:$F$46" noThreeD="1" sel="1" val="0"/>
</file>

<file path=xl/ctrlProps/ctrlProp6.xml><?xml version="1.0" encoding="utf-8"?>
<formControlPr xmlns="http://schemas.microsoft.com/office/spreadsheetml/2009/9/main" objectType="Drop" dropStyle="combo" dx="26" fmlaLink="Code!$G$4" fmlaRange="Code!$G$6:$G$9" noThreeD="1" sel="1" val="0"/>
</file>

<file path=xl/ctrlProps/ctrlProp7.xml><?xml version="1.0" encoding="utf-8"?>
<formControlPr xmlns="http://schemas.microsoft.com/office/spreadsheetml/2009/9/main" objectType="Drop" dropStyle="combo" dx="26" fmlaLink="Code!$H$4" fmlaRange="Code!$H$6:$H$7" noThreeD="1" sel="1" val="0"/>
</file>

<file path=xl/ctrlProps/ctrlProp8.xml><?xml version="1.0" encoding="utf-8"?>
<formControlPr xmlns="http://schemas.microsoft.com/office/spreadsheetml/2009/9/main" objectType="Drop" dropStyle="combo" dx="26" fmlaLink="Code!$I$4" fmlaRange="Code!$I$6:$I$8" noThreeD="1" sel="2" val="0"/>
</file>

<file path=xl/ctrlProps/ctrlProp9.xml><?xml version="1.0" encoding="utf-8"?>
<formControlPr xmlns="http://schemas.microsoft.com/office/spreadsheetml/2009/9/main" objectType="Drop" dropStyle="combo" dx="26" fmlaLink="Code!$J$4" fmlaRange="Code!$J$6:$J$8" noThreeD="1" sel="2" val="0"/>
</file>

<file path=xl/ctrlProps/ctrlProp10.xml><?xml version="1.0" encoding="utf-8"?>
<formControlPr xmlns="http://schemas.microsoft.com/office/spreadsheetml/2009/9/main" objectType="Drop" dropStyle="combo" dx="26" fmlaLink="Code!$K$4" fmlaRange="Code!$K$6:$K$7" noThreeD="1" sel="2" val="0"/>
</file>

<file path=xl/ctrlProps/ctrlProp11.xml><?xml version="1.0" encoding="utf-8"?>
<formControlPr xmlns="http://schemas.microsoft.com/office/spreadsheetml/2009/9/main" objectType="Drop" dropStyle="combo" dx="26" fmlaLink="Code!$B$4" fmlaRange="Code!$B$6:$B$7" noThreeD="1" sel="1" val="0"/>
</file>

<file path=xl/ctrlProps/ctrlProp12.xml><?xml version="1.0" encoding="utf-8"?>
<formControlPr xmlns="http://schemas.microsoft.com/office/spreadsheetml/2009/9/main" objectType="Drop" dropStyle="combo" dx="26" fmlaLink="Code!$C$4" fmlaRange="Code!$C$6:$C$85" noThreeD="1" sel="36" val="0"/>
</file>

<file path=xl/ctrlProps/ctrlProp13.xml><?xml version="1.0" encoding="utf-8"?>
<formControlPr xmlns="http://schemas.microsoft.com/office/spreadsheetml/2009/9/main" objectType="Drop" dropStyle="combo" dx="26" fmlaLink="Code!$D$4" fmlaRange="Code!$D$6:$D$9" noThreeD="1" sel="4" val="0"/>
</file>

<file path=xl/ctrlProps/ctrlProp14.xml><?xml version="1.0" encoding="utf-8"?>
<formControlPr xmlns="http://schemas.microsoft.com/office/spreadsheetml/2009/9/main" objectType="Drop" dropStyle="combo" dx="26" fmlaLink="Code!$J$4" fmlaRange="Code!$J$6:$J$8" noThreeD="1" sel="2" val="0"/>
</file>

<file path=xl/ctrlProps/ctrlProp15.xml><?xml version="1.0" encoding="utf-8"?>
<formControlPr xmlns="http://schemas.microsoft.com/office/spreadsheetml/2009/9/main" objectType="Drop" dropStyle="combo" dx="26" fmlaLink="Code!$K$4" fmlaRange="Code!$K$6:$K$7" noThreeD="1" sel="2" val="0"/>
</file>

<file path=xl/ctrlProps/ctrlProp16.xml><?xml version="1.0" encoding="utf-8"?>
<formControlPr xmlns="http://schemas.microsoft.com/office/spreadsheetml/2009/9/main" objectType="Drop" dropStyle="combo" dx="26" fmlaLink="Code!$B$4" fmlaRange="Code!$B$6:$B$7" noThreeD="1" sel="1" val="0"/>
</file>

<file path=xl/ctrlProps/ctrlProp17.xml><?xml version="1.0" encoding="utf-8"?>
<formControlPr xmlns="http://schemas.microsoft.com/office/spreadsheetml/2009/9/main" objectType="Drop" dropStyle="combo" dx="26" fmlaLink="Code!$C$4" fmlaRange="Code!$C$6:$C$85" noThreeD="1" sel="36" val="4"/>
</file>

<file path=xl/ctrlProps/ctrlProp18.xml><?xml version="1.0" encoding="utf-8"?>
<formControlPr xmlns="http://schemas.microsoft.com/office/spreadsheetml/2009/9/main" objectType="Drop" dropStyle="combo" dx="26" fmlaLink="Code!$D$4" fmlaRange="Code!$D$6:$D$9" noThreeD="1" sel="4" val="0"/>
</file>

<file path=xl/ctrlProps/ctrlProp19.xml><?xml version="1.0" encoding="utf-8"?>
<formControlPr xmlns="http://schemas.microsoft.com/office/spreadsheetml/2009/9/main" objectType="Drop" dropStyle="combo" dx="26" fmlaLink="Code!$F$4" fmlaRange="Code!$F$6:$F$46" noThreeD="1" sel="1" val="0"/>
</file>

<file path=xl/ctrlProps/ctrlProp20.xml><?xml version="1.0" encoding="utf-8"?>
<formControlPr xmlns="http://schemas.microsoft.com/office/spreadsheetml/2009/9/main" objectType="CheckBox" fmlaLink="$B$17" lockText="1" noThreeD="1"/>
</file>

<file path=xl/ctrlProps/ctrlProp21.xml><?xml version="1.0" encoding="utf-8"?>
<formControlPr xmlns="http://schemas.microsoft.com/office/spreadsheetml/2009/9/main" objectType="CheckBox" checked="Checked" fmlaLink="$B$19" lockText="1" noThreeD="1"/>
</file>

<file path=xl/ctrlProps/ctrlProp22.xml><?xml version="1.0" encoding="utf-8"?>
<formControlPr xmlns="http://schemas.microsoft.com/office/spreadsheetml/2009/9/main" objectType="Drop" dropStyle="combo" dx="26" fmlaLink="Code!$B$4" fmlaRange="Code!$B$6:$B$7" noThreeD="1" sel="1" val="0"/>
</file>

<file path=xl/ctrlProps/ctrlProp23.xml><?xml version="1.0" encoding="utf-8"?>
<formControlPr xmlns="http://schemas.microsoft.com/office/spreadsheetml/2009/9/main" objectType="Drop" dropStyle="combo" dx="26" fmlaLink="Code!$C$4" fmlaRange="Code!$C$6:$C$85" noThreeD="1" sel="36" val="0"/>
</file>

<file path=xl/ctrlProps/ctrlProp24.xml><?xml version="1.0" encoding="utf-8"?>
<formControlPr xmlns="http://schemas.microsoft.com/office/spreadsheetml/2009/9/main" objectType="Drop" dropStyle="combo" dx="26" fmlaLink="Code!$D$4" fmlaRange="Code!$D$6:$D$9" noThreeD="1" sel="4" val="0"/>
</file>

<file path=xl/ctrlProps/ctrlProp25.xml><?xml version="1.0" encoding="utf-8"?>
<formControlPr xmlns="http://schemas.microsoft.com/office/spreadsheetml/2009/9/main" objectType="Drop" dropStyle="combo" dx="26" fmlaLink="Code!$E$4" fmlaRange="Code!$E$6:$E$8" noThreeD="1" sel="1" val="0"/>
</file>

<file path=xl/ctrlProps/ctrlProp26.xml><?xml version="1.0" encoding="utf-8"?>
<formControlPr xmlns="http://schemas.microsoft.com/office/spreadsheetml/2009/9/main" objectType="Drop" dropStyle="combo" dx="26" fmlaLink="Code!$B$4" fmlaRange="Code!$B$6:$B$7" noThreeD="1" sel="1" val="0"/>
</file>

<file path=xl/ctrlProps/ctrlProp27.xml><?xml version="1.0" encoding="utf-8"?>
<formControlPr xmlns="http://schemas.microsoft.com/office/spreadsheetml/2009/9/main" objectType="Drop" dropStyle="combo" dx="26" fmlaLink="Code!$C$4" fmlaRange="Code!$C$6:$C$85" noThreeD="1" sel="36" val="29"/>
</file>

<file path=xl/ctrlProps/ctrlProp28.xml><?xml version="1.0" encoding="utf-8"?>
<formControlPr xmlns="http://schemas.microsoft.com/office/spreadsheetml/2009/9/main" objectType="Drop" dropStyle="combo" dx="26" fmlaLink="Code!$F$4" fmlaRange="Code!$F$6:$F$46" noThreeD="1" sel="1" val="0"/>
</file>

<file path=xl/ctrlProps/ctrlProp29.xml><?xml version="1.0" encoding="utf-8"?>
<formControlPr xmlns="http://schemas.microsoft.com/office/spreadsheetml/2009/9/main" objectType="Drop" dropStyle="combo" dx="26" fmlaLink="Code!$G$4" fmlaRange="Code!$G$6:$G$9" noThreeD="1" sel="1" val="0"/>
</file>

<file path=xl/ctrlProps/ctrlProp30.xml><?xml version="1.0" encoding="utf-8"?>
<formControlPr xmlns="http://schemas.microsoft.com/office/spreadsheetml/2009/9/main" objectType="Drop" dropStyle="combo" dx="26" fmlaLink="Code!$H$4" fmlaRange="Code!$H$6:$H$7" noThreeD="1" sel="1" val="0"/>
</file>

<file path=xl/ctrlProps/ctrlProp31.xml><?xml version="1.0" encoding="utf-8"?>
<formControlPr xmlns="http://schemas.microsoft.com/office/spreadsheetml/2009/9/main" objectType="Drop" dropStyle="combo" dx="26" fmlaLink="Code!$I$4" fmlaRange="Code!$I$6:$I$8" noThreeD="1" sel="2" val="0"/>
</file>

<file path=xl/ctrlProps/ctrlProp32.xml><?xml version="1.0" encoding="utf-8"?>
<formControlPr xmlns="http://schemas.microsoft.com/office/spreadsheetml/2009/9/main" objectType="Drop" dropStyle="combo" dx="26" fmlaLink="Code!$B$4" fmlaRange="Code!$B$6:$B$7" noThreeD="1" sel="1" val="0"/>
</file>

<file path=xl/ctrlProps/ctrlProp33.xml><?xml version="1.0" encoding="utf-8"?>
<formControlPr xmlns="http://schemas.microsoft.com/office/spreadsheetml/2009/9/main" objectType="Drop" dropStyle="combo" dx="26" fmlaLink="Code!$C$4" fmlaRange="Code!$C$6:$C$85" noThreeD="1" sel="36" val="32"/>
</file>

<file path=xl/ctrlProps/ctrlProp34.xml><?xml version="1.0" encoding="utf-8"?>
<formControlPr xmlns="http://schemas.microsoft.com/office/spreadsheetml/2009/9/main" objectType="Drop" dropStyle="combo" dx="26" fmlaLink="Code!$D$4" fmlaRange="Code!$D$6:$D$9" noThreeD="1" sel="4" val="0"/>
</file>

<file path=xl/ctrlProps/ctrlProp35.xml><?xml version="1.0" encoding="utf-8"?>
<formControlPr xmlns="http://schemas.microsoft.com/office/spreadsheetml/2009/9/main" objectType="Drop" dropStyle="combo" dx="26" fmlaLink="Code!$F$4" fmlaRange="Code!$F$6:$F$46" noThreeD="1" sel="1" val="0"/>
</file>

<file path=xl/ctrlProps/ctrlProp36.xml><?xml version="1.0" encoding="utf-8"?>
<formControlPr xmlns="http://schemas.microsoft.com/office/spreadsheetml/2009/9/main" objectType="Drop" dropStyle="combo" dx="26" fmlaLink="Code!$G$4" fmlaRange="Code!$G$6:$G$9" noThreeD="1" sel="1" val="0"/>
</file>

<file path=xl/ctrlProps/ctrlProp37.xml><?xml version="1.0" encoding="utf-8"?>
<formControlPr xmlns="http://schemas.microsoft.com/office/spreadsheetml/2009/9/main" objectType="Drop" dropStyle="combo" dx="26" fmlaLink="Code!$I$4" fmlaRange="Code!$I$6:$I$8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487680</xdr:colOff>
          <xdr:row>3</xdr:row>
          <xdr:rowOff>137160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480060</xdr:colOff>
          <xdr:row>3</xdr:row>
          <xdr:rowOff>137160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487680</xdr:colOff>
          <xdr:row>3</xdr:row>
          <xdr:rowOff>0</xdr:rowOff>
        </xdr:from>
        <xdr:to>
          <xdr:col>3</xdr:col>
          <xdr:colOff>502920</xdr:colOff>
          <xdr:row>3</xdr:row>
          <xdr:rowOff>137160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480060</xdr:colOff>
          <xdr:row>3</xdr:row>
          <xdr:rowOff>137160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487680</xdr:colOff>
          <xdr:row>3</xdr:row>
          <xdr:rowOff>0</xdr:rowOff>
        </xdr:from>
        <xdr:to>
          <xdr:col>5</xdr:col>
          <xdr:colOff>502920</xdr:colOff>
          <xdr:row>3</xdr:row>
          <xdr:rowOff>137160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510540</xdr:colOff>
          <xdr:row>3</xdr:row>
          <xdr:rowOff>0</xdr:rowOff>
        </xdr:from>
        <xdr:to>
          <xdr:col>6</xdr:col>
          <xdr:colOff>1143000</xdr:colOff>
          <xdr:row>3</xdr:row>
          <xdr:rowOff>137160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1150620</xdr:colOff>
          <xdr:row>3</xdr:row>
          <xdr:rowOff>0</xdr:rowOff>
        </xdr:from>
        <xdr:to>
          <xdr:col>7</xdr:col>
          <xdr:colOff>502920</xdr:colOff>
          <xdr:row>3</xdr:row>
          <xdr:rowOff>137160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510540</xdr:colOff>
          <xdr:row>3</xdr:row>
          <xdr:rowOff>0</xdr:rowOff>
        </xdr:from>
        <xdr:to>
          <xdr:col>8</xdr:col>
          <xdr:colOff>815340</xdr:colOff>
          <xdr:row>3</xdr:row>
          <xdr:rowOff>137160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510540</xdr:colOff>
          <xdr:row>3</xdr:row>
          <xdr:rowOff>137160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10</xdr:col>
          <xdr:colOff>609600</xdr:colOff>
          <xdr:row>3</xdr:row>
          <xdr:rowOff>137160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7620</xdr:rowOff>
        </xdr:from>
        <xdr:to>
          <xdr:col>1</xdr:col>
          <xdr:colOff>533400</xdr:colOff>
          <xdr:row>5</xdr:row>
          <xdr:rowOff>152400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533400</xdr:colOff>
          <xdr:row>6</xdr:row>
          <xdr:rowOff>144780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533400</xdr:colOff>
          <xdr:row>7</xdr:row>
          <xdr:rowOff>144780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</xdr:rowOff>
        </xdr:from>
        <xdr:to>
          <xdr:col>1</xdr:col>
          <xdr:colOff>533400</xdr:colOff>
          <xdr:row>16</xdr:row>
          <xdr:rowOff>137160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</xdr:row>
          <xdr:rowOff>7620</xdr:rowOff>
        </xdr:from>
        <xdr:to>
          <xdr:col>12</xdr:col>
          <xdr:colOff>0</xdr:colOff>
          <xdr:row>2</xdr:row>
          <xdr:rowOff>144780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7620</xdr:rowOff>
        </xdr:from>
        <xdr:to>
          <xdr:col>1</xdr:col>
          <xdr:colOff>533400</xdr:colOff>
          <xdr:row>5</xdr:row>
          <xdr:rowOff>152400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533400</xdr:colOff>
          <xdr:row>6</xdr:row>
          <xdr:rowOff>144780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533400</xdr:colOff>
          <xdr:row>7</xdr:row>
          <xdr:rowOff>144780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533400</xdr:colOff>
          <xdr:row>12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1</xdr:col>
          <xdr:colOff>533400</xdr:colOff>
          <xdr:row>17</xdr:row>
          <xdr:rowOff>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1">
              <a:solidFill>
                <a:srgbClr val="FFFF00" mc:Ignorable="a14" a14:legacySpreadsheetColorIndex="1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有展期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17</xdr:row>
          <xdr:rowOff>144780</xdr:rowOff>
        </xdr:from>
        <xdr:to>
          <xdr:col>1</xdr:col>
          <xdr:colOff>533400</xdr:colOff>
          <xdr:row>18</xdr:row>
          <xdr:rowOff>152400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1">
              <a:solidFill>
                <a:srgbClr val="FFFF00" mc:Ignorable="a14" a14:legacySpreadsheetColorIndex="1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有開放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7620</xdr:rowOff>
        </xdr:from>
        <xdr:to>
          <xdr:col>1</xdr:col>
          <xdr:colOff>533400</xdr:colOff>
          <xdr:row>5</xdr:row>
          <xdr:rowOff>152400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533400</xdr:colOff>
          <xdr:row>6</xdr:row>
          <xdr:rowOff>144780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533400</xdr:colOff>
          <xdr:row>7</xdr:row>
          <xdr:rowOff>144780</xdr:rowOff>
        </xdr:to>
        <xdr:sp macro="" textlink="">
          <xdr:nvSpPr>
            <xdr:cNvPr id="6149" name="Drop Dow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533400</xdr:colOff>
          <xdr:row>17</xdr:row>
          <xdr:rowOff>144780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719668</xdr:colOff>
      <xdr:row>2</xdr:row>
      <xdr:rowOff>127000</xdr:rowOff>
    </xdr:from>
    <xdr:to>
      <xdr:col>4</xdr:col>
      <xdr:colOff>3</xdr:colOff>
      <xdr:row>3</xdr:row>
      <xdr:rowOff>179917</xdr:rowOff>
    </xdr:to>
    <xdr:sp macro="[0]!RunASA" textlink="">
      <xdr:nvSpPr>
        <xdr:cNvPr id="2" name="圓角矩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92251" y="603250"/>
          <a:ext cx="1651002" cy="24341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/>
            <a:t>Run Asset Share Analysis </a:t>
          </a:r>
          <a:endParaRPr lang="zh-TW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7620</xdr:rowOff>
        </xdr:from>
        <xdr:to>
          <xdr:col>1</xdr:col>
          <xdr:colOff>640080</xdr:colOff>
          <xdr:row>4</xdr:row>
          <xdr:rowOff>144780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7620</xdr:rowOff>
        </xdr:from>
        <xdr:to>
          <xdr:col>3</xdr:col>
          <xdr:colOff>609600</xdr:colOff>
          <xdr:row>4</xdr:row>
          <xdr:rowOff>144780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609600</xdr:colOff>
          <xdr:row>8</xdr:row>
          <xdr:rowOff>144780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0</xdr:rowOff>
        </xdr:from>
        <xdr:to>
          <xdr:col>1</xdr:col>
          <xdr:colOff>640080</xdr:colOff>
          <xdr:row>9</xdr:row>
          <xdr:rowOff>144780</xdr:rowOff>
        </xdr:to>
        <xdr:sp macro="" textlink="">
          <xdr:nvSpPr>
            <xdr:cNvPr id="7172" name="Drop Dow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68</xdr:row>
          <xdr:rowOff>0</xdr:rowOff>
        </xdr:from>
        <xdr:to>
          <xdr:col>13</xdr:col>
          <xdr:colOff>609600</xdr:colOff>
          <xdr:row>68</xdr:row>
          <xdr:rowOff>144780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84</xdr:row>
          <xdr:rowOff>0</xdr:rowOff>
        </xdr:from>
        <xdr:to>
          <xdr:col>0</xdr:col>
          <xdr:colOff>609600</xdr:colOff>
          <xdr:row>84</xdr:row>
          <xdr:rowOff>144780</xdr:rowOff>
        </xdr:to>
        <xdr:sp macro="" textlink="">
          <xdr:nvSpPr>
            <xdr:cNvPr id="7174" name="Drop Dow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0</xdr:rowOff>
        </xdr:from>
        <xdr:to>
          <xdr:col>1</xdr:col>
          <xdr:colOff>609600</xdr:colOff>
          <xdr:row>5</xdr:row>
          <xdr:rowOff>144780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</xdr:row>
          <xdr:rowOff>0</xdr:rowOff>
        </xdr:from>
        <xdr:to>
          <xdr:col>1</xdr:col>
          <xdr:colOff>609600</xdr:colOff>
          <xdr:row>6</xdr:row>
          <xdr:rowOff>144780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0</xdr:rowOff>
        </xdr:from>
        <xdr:to>
          <xdr:col>1</xdr:col>
          <xdr:colOff>609600</xdr:colOff>
          <xdr:row>7</xdr:row>
          <xdr:rowOff>144780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609600</xdr:colOff>
          <xdr:row>12</xdr:row>
          <xdr:rowOff>144780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609600</xdr:colOff>
          <xdr:row>13</xdr:row>
          <xdr:rowOff>144780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</xdr:colOff>
          <xdr:row>3</xdr:row>
          <xdr:rowOff>76200</xdr:rowOff>
        </xdr:from>
        <xdr:to>
          <xdr:col>29</xdr:col>
          <xdr:colOff>0</xdr:colOff>
          <xdr:row>3</xdr:row>
          <xdr:rowOff>228600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8"/>
  <sheetViews>
    <sheetView showGridLines="0" zoomScale="90" zoomScaleNormal="90" workbookViewId="0">
      <pane xSplit="1" ySplit="4" topLeftCell="B5" activePane="bottomRight" state="frozenSplit"/>
      <selection activeCell="A2" sqref="A2:I2"/>
      <selection pane="topRight" activeCell="A2" sqref="A2:I2"/>
      <selection pane="bottomLeft" activeCell="A2" sqref="A2:I2"/>
      <selection pane="bottomRight" activeCell="F19" sqref="F19"/>
    </sheetView>
  </sheetViews>
  <sheetFormatPr defaultColWidth="10.6640625" defaultRowHeight="14.4" x14ac:dyDescent="0.3"/>
  <cols>
    <col min="1" max="16384" width="10.6640625" style="35"/>
  </cols>
  <sheetData>
    <row r="1" spans="1:5" ht="19.8" x14ac:dyDescent="0.3">
      <c r="A1" s="431" t="s">
        <v>14</v>
      </c>
      <c r="B1" s="431"/>
      <c r="C1" s="431"/>
      <c r="D1" s="431"/>
      <c r="E1" s="431"/>
    </row>
    <row r="2" spans="1:5" ht="16.2" x14ac:dyDescent="0.3">
      <c r="A2" s="432" t="s">
        <v>15</v>
      </c>
      <c r="B2" s="432"/>
      <c r="C2" s="432"/>
      <c r="D2" s="432"/>
      <c r="E2" s="432"/>
    </row>
    <row r="3" spans="1:5" ht="15" thickBot="1" x14ac:dyDescent="0.35"/>
    <row r="4" spans="1:5" ht="15" thickBot="1" x14ac:dyDescent="0.35">
      <c r="A4" s="65" t="s">
        <v>16</v>
      </c>
      <c r="B4" s="66">
        <v>1</v>
      </c>
      <c r="C4" s="66">
        <v>2</v>
      </c>
      <c r="D4" s="66">
        <v>3</v>
      </c>
      <c r="E4" s="67">
        <v>4</v>
      </c>
    </row>
    <row r="5" spans="1:5" ht="15" thickTop="1" x14ac:dyDescent="0.3">
      <c r="A5" s="68" t="s">
        <v>17</v>
      </c>
      <c r="B5" s="48" t="s">
        <v>18</v>
      </c>
      <c r="C5" s="48" t="s">
        <v>19</v>
      </c>
      <c r="D5" s="48" t="s">
        <v>20</v>
      </c>
      <c r="E5" s="49" t="s">
        <v>21</v>
      </c>
    </row>
    <row r="6" spans="1:5" x14ac:dyDescent="0.3">
      <c r="A6" s="69" t="s">
        <v>22</v>
      </c>
      <c r="B6" s="50">
        <v>6</v>
      </c>
      <c r="C6" s="50">
        <v>8</v>
      </c>
      <c r="D6" s="50">
        <v>10</v>
      </c>
      <c r="E6" s="51">
        <v>20</v>
      </c>
    </row>
    <row r="7" spans="1:5" x14ac:dyDescent="0.3">
      <c r="A7" s="69" t="s">
        <v>23</v>
      </c>
      <c r="B7" s="50" t="b">
        <v>1</v>
      </c>
      <c r="C7" s="50" t="b">
        <v>1</v>
      </c>
      <c r="D7" s="50" t="b">
        <v>1</v>
      </c>
      <c r="E7" s="51" t="b">
        <v>1</v>
      </c>
    </row>
    <row r="8" spans="1:5" x14ac:dyDescent="0.3">
      <c r="A8" s="69" t="s">
        <v>24</v>
      </c>
      <c r="B8" s="50">
        <v>110</v>
      </c>
      <c r="C8" s="50">
        <v>110</v>
      </c>
      <c r="D8" s="50">
        <v>110</v>
      </c>
      <c r="E8" s="51">
        <v>110</v>
      </c>
    </row>
    <row r="9" spans="1:5" x14ac:dyDescent="0.3">
      <c r="A9" s="69" t="s">
        <v>25</v>
      </c>
      <c r="B9" s="50" t="b">
        <v>0</v>
      </c>
      <c r="C9" s="50" t="b">
        <v>0</v>
      </c>
      <c r="D9" s="50" t="b">
        <v>0</v>
      </c>
      <c r="E9" s="51" t="b">
        <v>0</v>
      </c>
    </row>
    <row r="10" spans="1:5" x14ac:dyDescent="0.3">
      <c r="A10" s="69" t="s">
        <v>26</v>
      </c>
      <c r="B10" s="50">
        <v>0</v>
      </c>
      <c r="C10" s="50">
        <v>0</v>
      </c>
      <c r="D10" s="50">
        <v>0</v>
      </c>
      <c r="E10" s="51">
        <v>0</v>
      </c>
    </row>
    <row r="11" spans="1:5" x14ac:dyDescent="0.3">
      <c r="A11" s="69" t="s">
        <v>27</v>
      </c>
      <c r="B11" s="50">
        <v>79</v>
      </c>
      <c r="C11" s="50">
        <v>77</v>
      </c>
      <c r="D11" s="50">
        <v>75</v>
      </c>
      <c r="E11" s="51">
        <v>65</v>
      </c>
    </row>
    <row r="12" spans="1:5" x14ac:dyDescent="0.3">
      <c r="A12" s="69" t="s">
        <v>28</v>
      </c>
      <c r="B12" s="61">
        <v>2.2499999999999999E-2</v>
      </c>
      <c r="C12" s="61">
        <v>2.2499999999999999E-2</v>
      </c>
      <c r="D12" s="61">
        <v>2.2499999999999999E-2</v>
      </c>
      <c r="E12" s="62">
        <v>2.2499999999999999E-2</v>
      </c>
    </row>
    <row r="13" spans="1:5" x14ac:dyDescent="0.3">
      <c r="A13" s="69" t="s">
        <v>29</v>
      </c>
      <c r="B13" s="61">
        <v>0.9</v>
      </c>
      <c r="C13" s="61">
        <v>0.9</v>
      </c>
      <c r="D13" s="61">
        <v>0.9</v>
      </c>
      <c r="E13" s="62">
        <v>0.9</v>
      </c>
    </row>
    <row r="14" spans="1:5" x14ac:dyDescent="0.3">
      <c r="A14" s="69" t="s">
        <v>30</v>
      </c>
      <c r="B14" s="57">
        <f>AVERAGE(B19:B24)</f>
        <v>41.562121997064217</v>
      </c>
      <c r="C14" s="57">
        <f>AVERAGE(C19:C24)</f>
        <v>41.746753732161935</v>
      </c>
      <c r="D14" s="57">
        <f>AVERAGE(D19:D24)</f>
        <v>41.930447109348826</v>
      </c>
      <c r="E14" s="58">
        <f>AVERAGE(E19:E24)</f>
        <v>42.856537287838343</v>
      </c>
    </row>
    <row r="15" spans="1:5" ht="43.2" x14ac:dyDescent="0.3">
      <c r="A15" s="70" t="s">
        <v>31</v>
      </c>
      <c r="B15" s="61">
        <f>INDEX($B$27:$E$27,1,IF(B14&lt;=6,1,IF(B14&lt;=10,2,IF(B14&lt;20,3,4))))</f>
        <v>2.2499999999999999E-2</v>
      </c>
      <c r="C15" s="61">
        <f>INDEX($B$27:$E$27,1,IF(C14&lt;=6,1,IF(C14&lt;=10,2,IF(C14&lt;20,3,4))))</f>
        <v>2.2499999999999999E-2</v>
      </c>
      <c r="D15" s="61">
        <f>INDEX($B$27:$E$27,1,IF(D14&lt;=6,1,IF(D14&lt;=10,2,IF(D14&lt;20,3,4))))</f>
        <v>2.2499999999999999E-2</v>
      </c>
      <c r="E15" s="62">
        <f>INDEX($B$27:$E$27,1,IF(E14&lt;=6,1,IF(E14&lt;=10,2,IF(E14&lt;20,3,4))))</f>
        <v>2.2499999999999999E-2</v>
      </c>
    </row>
    <row r="16" spans="1:5" ht="15" thickBot="1" x14ac:dyDescent="0.35">
      <c r="A16" s="71" t="s">
        <v>32</v>
      </c>
      <c r="B16" s="63">
        <v>1</v>
      </c>
      <c r="C16" s="63">
        <v>1</v>
      </c>
      <c r="D16" s="63">
        <v>1</v>
      </c>
      <c r="E16" s="64">
        <v>1</v>
      </c>
    </row>
    <row r="18" spans="1:5" ht="15" thickBot="1" x14ac:dyDescent="0.35">
      <c r="A18" s="35" t="s">
        <v>33</v>
      </c>
    </row>
    <row r="19" spans="1:5" x14ac:dyDescent="0.3">
      <c r="A19" s="351" t="s">
        <v>391</v>
      </c>
      <c r="B19" s="55">
        <v>63.33266943115386</v>
      </c>
      <c r="C19" s="55">
        <v>63.411091672696273</v>
      </c>
      <c r="D19" s="55">
        <v>63.484317907126709</v>
      </c>
      <c r="E19" s="56">
        <v>64.00391158266973</v>
      </c>
    </row>
    <row r="20" spans="1:5" x14ac:dyDescent="0.3">
      <c r="A20" s="352" t="s">
        <v>392</v>
      </c>
      <c r="B20" s="57">
        <v>37.441899284443835</v>
      </c>
      <c r="C20" s="57">
        <v>37.602010441595624</v>
      </c>
      <c r="D20" s="57">
        <v>37.765378233755513</v>
      </c>
      <c r="E20" s="58">
        <v>38.627619743199396</v>
      </c>
    </row>
    <row r="21" spans="1:5" x14ac:dyDescent="0.3">
      <c r="A21" s="352" t="s">
        <v>393</v>
      </c>
      <c r="B21" s="57">
        <v>15.399253310241976</v>
      </c>
      <c r="C21" s="57">
        <v>15.795641345891211</v>
      </c>
      <c r="D21" s="57">
        <v>16.186141439449422</v>
      </c>
      <c r="E21" s="58">
        <v>17.933183199388161</v>
      </c>
    </row>
    <row r="22" spans="1:5" x14ac:dyDescent="0.3">
      <c r="A22" s="352" t="s">
        <v>394</v>
      </c>
      <c r="B22" s="57">
        <v>70.997542198227393</v>
      </c>
      <c r="C22" s="57">
        <v>71.064820635799563</v>
      </c>
      <c r="D22" s="57">
        <v>71.128547717740872</v>
      </c>
      <c r="E22" s="58">
        <v>71.468508905684502</v>
      </c>
    </row>
    <row r="23" spans="1:5" x14ac:dyDescent="0.3">
      <c r="A23" s="352" t="s">
        <v>392</v>
      </c>
      <c r="B23" s="57">
        <v>43.415854688969652</v>
      </c>
      <c r="C23" s="57">
        <v>43.512986997984051</v>
      </c>
      <c r="D23" s="57">
        <v>43.612131460766889</v>
      </c>
      <c r="E23" s="58">
        <v>44.153057074612157</v>
      </c>
    </row>
    <row r="24" spans="1:5" ht="15" thickBot="1" x14ac:dyDescent="0.35">
      <c r="A24" s="353" t="s">
        <v>393</v>
      </c>
      <c r="B24" s="59">
        <v>18.78551306934855</v>
      </c>
      <c r="C24" s="59">
        <v>19.093971299004888</v>
      </c>
      <c r="D24" s="59">
        <v>19.406165897253533</v>
      </c>
      <c r="E24" s="60">
        <v>20.952943221476097</v>
      </c>
    </row>
    <row r="25" spans="1:5" ht="15" thickBot="1" x14ac:dyDescent="0.35"/>
    <row r="26" spans="1:5" x14ac:dyDescent="0.3">
      <c r="A26" s="354" t="s">
        <v>395</v>
      </c>
      <c r="B26" s="72" t="s">
        <v>34</v>
      </c>
      <c r="C26" s="72" t="s">
        <v>35</v>
      </c>
      <c r="D26" s="72" t="s">
        <v>12</v>
      </c>
      <c r="E26" s="73" t="s">
        <v>36</v>
      </c>
    </row>
    <row r="27" spans="1:5" x14ac:dyDescent="0.3">
      <c r="A27" s="74" t="s">
        <v>37</v>
      </c>
      <c r="B27" s="61">
        <v>0.02</v>
      </c>
      <c r="C27" s="61">
        <v>2.2499999999999999E-2</v>
      </c>
      <c r="D27" s="61">
        <v>2.2499999999999999E-2</v>
      </c>
      <c r="E27" s="62">
        <v>2.2499999999999999E-2</v>
      </c>
    </row>
    <row r="28" spans="1:5" ht="15" thickBot="1" x14ac:dyDescent="0.35">
      <c r="A28" s="75" t="s">
        <v>13</v>
      </c>
      <c r="B28" s="63">
        <v>1.7500000000000002E-2</v>
      </c>
      <c r="C28" s="63">
        <v>0.02</v>
      </c>
      <c r="D28" s="63">
        <v>0.02</v>
      </c>
      <c r="E28" s="64">
        <v>0.02</v>
      </c>
    </row>
  </sheetData>
  <mergeCells count="2">
    <mergeCell ref="A1:E1"/>
    <mergeCell ref="A2:E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85"/>
  <sheetViews>
    <sheetView showGridLines="0" zoomScale="90" zoomScaleNormal="90" workbookViewId="0">
      <pane xSplit="1" ySplit="5" topLeftCell="B6" activePane="bottomRight" state="frozenSplit"/>
      <selection activeCell="A2" sqref="A2:I2"/>
      <selection pane="topRight" activeCell="A2" sqref="A2:I2"/>
      <selection pane="bottomLeft" activeCell="A2" sqref="A2:I2"/>
      <selection pane="bottomRight" activeCell="L5" sqref="L5"/>
    </sheetView>
  </sheetViews>
  <sheetFormatPr defaultColWidth="10.6640625" defaultRowHeight="14.4" x14ac:dyDescent="0.3"/>
  <cols>
    <col min="1" max="1" width="9.109375" style="35" bestFit="1" customWidth="1"/>
    <col min="2" max="3" width="8.109375" style="35" customWidth="1"/>
    <col min="4" max="4" width="8.33203125" style="35" customWidth="1"/>
    <col min="5" max="5" width="8.109375" style="35" customWidth="1"/>
    <col min="6" max="6" width="8.44140625" style="35" customWidth="1"/>
    <col min="7" max="7" width="19" style="35" customWidth="1"/>
    <col min="8" max="8" width="8.44140625" style="35" customWidth="1"/>
    <col min="9" max="9" width="13.6640625" style="35" customWidth="1"/>
    <col min="10" max="10" width="8.44140625" style="35" customWidth="1"/>
    <col min="11" max="11" width="10.21875" style="35" customWidth="1"/>
    <col min="12" max="16384" width="10.6640625" style="35"/>
  </cols>
  <sheetData>
    <row r="1" spans="1:11" ht="19.8" x14ac:dyDescent="0.3">
      <c r="A1" s="431" t="s">
        <v>14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</row>
    <row r="2" spans="1:11" ht="16.2" x14ac:dyDescent="0.3">
      <c r="A2" s="432" t="s">
        <v>40</v>
      </c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15" thickBot="1" x14ac:dyDescent="0.35"/>
    <row r="4" spans="1:11" x14ac:dyDescent="0.3">
      <c r="A4" s="87" t="s">
        <v>41</v>
      </c>
      <c r="B4" s="88">
        <v>1</v>
      </c>
      <c r="C4" s="89">
        <v>36</v>
      </c>
      <c r="D4" s="89">
        <v>4</v>
      </c>
      <c r="E4" s="89">
        <v>1</v>
      </c>
      <c r="F4" s="89">
        <v>1</v>
      </c>
      <c r="G4" s="89">
        <v>1</v>
      </c>
      <c r="H4" s="89">
        <v>1</v>
      </c>
      <c r="I4" s="89">
        <v>2</v>
      </c>
      <c r="J4" s="89">
        <v>2</v>
      </c>
      <c r="K4" s="90">
        <v>2</v>
      </c>
    </row>
    <row r="5" spans="1:11" ht="15" thickBot="1" x14ac:dyDescent="0.35">
      <c r="A5" s="91" t="s">
        <v>42</v>
      </c>
      <c r="B5" s="92" t="s">
        <v>43</v>
      </c>
      <c r="C5" s="93" t="s">
        <v>44</v>
      </c>
      <c r="D5" s="93" t="s">
        <v>45</v>
      </c>
      <c r="E5" s="93" t="s">
        <v>46</v>
      </c>
      <c r="F5" s="93" t="s">
        <v>47</v>
      </c>
      <c r="G5" s="93" t="s">
        <v>48</v>
      </c>
      <c r="H5" s="93" t="s">
        <v>49</v>
      </c>
      <c r="I5" s="93" t="s">
        <v>50</v>
      </c>
      <c r="J5" s="93" t="s">
        <v>51</v>
      </c>
      <c r="K5" s="94" t="s">
        <v>52</v>
      </c>
    </row>
    <row r="6" spans="1:11" ht="15" thickTop="1" x14ac:dyDescent="0.3">
      <c r="A6" s="95">
        <v>1</v>
      </c>
      <c r="B6" s="81" t="s">
        <v>53</v>
      </c>
      <c r="C6" s="97">
        <v>0</v>
      </c>
      <c r="D6" s="82" t="s">
        <v>54</v>
      </c>
      <c r="E6" s="82" t="s">
        <v>55</v>
      </c>
      <c r="F6" s="99">
        <v>0</v>
      </c>
      <c r="G6" s="82" t="s">
        <v>56</v>
      </c>
      <c r="H6" s="82" t="s">
        <v>57</v>
      </c>
      <c r="I6" s="82" t="s">
        <v>58</v>
      </c>
      <c r="J6" s="82" t="s">
        <v>38</v>
      </c>
      <c r="K6" s="83" t="s">
        <v>59</v>
      </c>
    </row>
    <row r="7" spans="1:11" x14ac:dyDescent="0.3">
      <c r="A7" s="95">
        <v>2</v>
      </c>
      <c r="B7" s="81" t="s">
        <v>60</v>
      </c>
      <c r="C7" s="97">
        <v>1</v>
      </c>
      <c r="D7" s="82" t="s">
        <v>61</v>
      </c>
      <c r="E7" s="82" t="s">
        <v>62</v>
      </c>
      <c r="F7" s="99">
        <v>2.5000000000000001E-3</v>
      </c>
      <c r="G7" s="82" t="s">
        <v>63</v>
      </c>
      <c r="H7" s="82" t="s">
        <v>64</v>
      </c>
      <c r="I7" s="82" t="s">
        <v>65</v>
      </c>
      <c r="J7" s="82" t="s">
        <v>39</v>
      </c>
      <c r="K7" s="83" t="s">
        <v>66</v>
      </c>
    </row>
    <row r="8" spans="1:11" x14ac:dyDescent="0.3">
      <c r="A8" s="95">
        <v>3</v>
      </c>
      <c r="B8" s="81"/>
      <c r="C8" s="97">
        <v>2</v>
      </c>
      <c r="D8" s="82" t="s">
        <v>67</v>
      </c>
      <c r="E8" s="82" t="s">
        <v>68</v>
      </c>
      <c r="F8" s="99">
        <v>5.0000000000000001E-3</v>
      </c>
      <c r="G8" s="82" t="s">
        <v>69</v>
      </c>
      <c r="H8" s="82"/>
      <c r="I8" s="82" t="s">
        <v>70</v>
      </c>
      <c r="J8" s="82" t="s">
        <v>388</v>
      </c>
      <c r="K8" s="83"/>
    </row>
    <row r="9" spans="1:11" x14ac:dyDescent="0.3">
      <c r="A9" s="95">
        <v>4</v>
      </c>
      <c r="B9" s="81"/>
      <c r="C9" s="97">
        <v>3</v>
      </c>
      <c r="D9" s="82" t="s">
        <v>71</v>
      </c>
      <c r="E9" s="82"/>
      <c r="F9" s="99">
        <v>7.4999999999999997E-3</v>
      </c>
      <c r="G9" s="82" t="s">
        <v>72</v>
      </c>
      <c r="H9" s="82"/>
      <c r="I9" s="82"/>
      <c r="J9" s="82"/>
      <c r="K9" s="83"/>
    </row>
    <row r="10" spans="1:11" x14ac:dyDescent="0.3">
      <c r="A10" s="95">
        <v>5</v>
      </c>
      <c r="B10" s="81"/>
      <c r="C10" s="97">
        <v>4</v>
      </c>
      <c r="D10" s="82"/>
      <c r="E10" s="82"/>
      <c r="F10" s="99">
        <v>0.01</v>
      </c>
      <c r="G10" s="82"/>
      <c r="H10" s="82"/>
      <c r="I10" s="82"/>
      <c r="J10" s="82"/>
      <c r="K10" s="83"/>
    </row>
    <row r="11" spans="1:11" x14ac:dyDescent="0.3">
      <c r="A11" s="95">
        <v>6</v>
      </c>
      <c r="B11" s="81"/>
      <c r="C11" s="97">
        <v>5</v>
      </c>
      <c r="D11" s="82"/>
      <c r="E11" s="82"/>
      <c r="F11" s="99">
        <v>1.2500000000000001E-2</v>
      </c>
      <c r="G11" s="82"/>
      <c r="H11" s="82"/>
      <c r="I11" s="82"/>
      <c r="J11" s="82"/>
      <c r="K11" s="83"/>
    </row>
    <row r="12" spans="1:11" x14ac:dyDescent="0.3">
      <c r="A12" s="95">
        <v>7</v>
      </c>
      <c r="B12" s="81"/>
      <c r="C12" s="97">
        <v>6</v>
      </c>
      <c r="D12" s="82"/>
      <c r="E12" s="82"/>
      <c r="F12" s="99">
        <v>1.4999999999999999E-2</v>
      </c>
      <c r="G12" s="82"/>
      <c r="H12" s="82"/>
      <c r="I12" s="82"/>
      <c r="J12" s="82"/>
      <c r="K12" s="83"/>
    </row>
    <row r="13" spans="1:11" x14ac:dyDescent="0.3">
      <c r="A13" s="95">
        <v>8</v>
      </c>
      <c r="B13" s="81"/>
      <c r="C13" s="97">
        <v>7</v>
      </c>
      <c r="D13" s="82"/>
      <c r="E13" s="82"/>
      <c r="F13" s="99">
        <v>1.7500000000000002E-2</v>
      </c>
      <c r="G13" s="82"/>
      <c r="H13" s="82"/>
      <c r="I13" s="82"/>
      <c r="J13" s="82"/>
      <c r="K13" s="83"/>
    </row>
    <row r="14" spans="1:11" x14ac:dyDescent="0.3">
      <c r="A14" s="95">
        <v>9</v>
      </c>
      <c r="B14" s="81"/>
      <c r="C14" s="97">
        <v>8</v>
      </c>
      <c r="D14" s="82"/>
      <c r="E14" s="82"/>
      <c r="F14" s="99">
        <v>0.02</v>
      </c>
      <c r="G14" s="82"/>
      <c r="H14" s="82"/>
      <c r="I14" s="82"/>
      <c r="J14" s="82"/>
      <c r="K14" s="83"/>
    </row>
    <row r="15" spans="1:11" x14ac:dyDescent="0.3">
      <c r="A15" s="95">
        <v>10</v>
      </c>
      <c r="B15" s="81"/>
      <c r="C15" s="97">
        <v>9</v>
      </c>
      <c r="D15" s="82"/>
      <c r="E15" s="82"/>
      <c r="F15" s="99">
        <v>2.2499999999999999E-2</v>
      </c>
      <c r="G15" s="82"/>
      <c r="H15" s="82"/>
      <c r="I15" s="82"/>
      <c r="J15" s="82"/>
      <c r="K15" s="83"/>
    </row>
    <row r="16" spans="1:11" x14ac:dyDescent="0.3">
      <c r="A16" s="95">
        <v>11</v>
      </c>
      <c r="B16" s="81"/>
      <c r="C16" s="97">
        <v>10</v>
      </c>
      <c r="D16" s="82"/>
      <c r="E16" s="82"/>
      <c r="F16" s="99">
        <v>2.5000000000000001E-2</v>
      </c>
      <c r="G16" s="82"/>
      <c r="H16" s="82"/>
      <c r="I16" s="82"/>
      <c r="J16" s="82"/>
      <c r="K16" s="83"/>
    </row>
    <row r="17" spans="1:11" x14ac:dyDescent="0.3">
      <c r="A17" s="95">
        <v>12</v>
      </c>
      <c r="B17" s="81"/>
      <c r="C17" s="97">
        <v>11</v>
      </c>
      <c r="D17" s="82"/>
      <c r="E17" s="82"/>
      <c r="F17" s="99">
        <v>2.75E-2</v>
      </c>
      <c r="G17" s="82"/>
      <c r="H17" s="82"/>
      <c r="I17" s="82"/>
      <c r="J17" s="82"/>
      <c r="K17" s="83"/>
    </row>
    <row r="18" spans="1:11" x14ac:dyDescent="0.3">
      <c r="A18" s="95">
        <v>13</v>
      </c>
      <c r="B18" s="81"/>
      <c r="C18" s="97">
        <v>12</v>
      </c>
      <c r="D18" s="82"/>
      <c r="E18" s="82"/>
      <c r="F18" s="99">
        <v>0.03</v>
      </c>
      <c r="G18" s="82"/>
      <c r="H18" s="82"/>
      <c r="I18" s="82"/>
      <c r="J18" s="82"/>
      <c r="K18" s="83"/>
    </row>
    <row r="19" spans="1:11" x14ac:dyDescent="0.3">
      <c r="A19" s="95">
        <v>14</v>
      </c>
      <c r="B19" s="81"/>
      <c r="C19" s="97">
        <v>13</v>
      </c>
      <c r="D19" s="82"/>
      <c r="E19" s="82"/>
      <c r="F19" s="99">
        <v>3.2500000000000001E-2</v>
      </c>
      <c r="G19" s="82"/>
      <c r="H19" s="82"/>
      <c r="I19" s="82"/>
      <c r="J19" s="82"/>
      <c r="K19" s="83"/>
    </row>
    <row r="20" spans="1:11" x14ac:dyDescent="0.3">
      <c r="A20" s="95">
        <v>15</v>
      </c>
      <c r="B20" s="81"/>
      <c r="C20" s="97">
        <v>14</v>
      </c>
      <c r="D20" s="82"/>
      <c r="E20" s="82"/>
      <c r="F20" s="99">
        <v>3.5000000000000003E-2</v>
      </c>
      <c r="G20" s="82"/>
      <c r="H20" s="82"/>
      <c r="I20" s="82"/>
      <c r="J20" s="82"/>
      <c r="K20" s="83"/>
    </row>
    <row r="21" spans="1:11" x14ac:dyDescent="0.3">
      <c r="A21" s="95">
        <v>16</v>
      </c>
      <c r="B21" s="81"/>
      <c r="C21" s="97">
        <v>15</v>
      </c>
      <c r="D21" s="82"/>
      <c r="E21" s="82"/>
      <c r="F21" s="99">
        <v>3.7499999999999999E-2</v>
      </c>
      <c r="G21" s="82"/>
      <c r="H21" s="82"/>
      <c r="I21" s="82"/>
      <c r="J21" s="82"/>
      <c r="K21" s="83"/>
    </row>
    <row r="22" spans="1:11" x14ac:dyDescent="0.3">
      <c r="A22" s="95">
        <v>17</v>
      </c>
      <c r="B22" s="81"/>
      <c r="C22" s="97">
        <v>16</v>
      </c>
      <c r="D22" s="82"/>
      <c r="E22" s="82"/>
      <c r="F22" s="99">
        <v>0.04</v>
      </c>
      <c r="G22" s="82"/>
      <c r="H22" s="82"/>
      <c r="I22" s="82"/>
      <c r="J22" s="82"/>
      <c r="K22" s="83"/>
    </row>
    <row r="23" spans="1:11" x14ac:dyDescent="0.3">
      <c r="A23" s="95">
        <v>18</v>
      </c>
      <c r="B23" s="81"/>
      <c r="C23" s="97">
        <v>17</v>
      </c>
      <c r="D23" s="82"/>
      <c r="E23" s="82"/>
      <c r="F23" s="99">
        <v>4.2500000000000003E-2</v>
      </c>
      <c r="G23" s="82"/>
      <c r="H23" s="82"/>
      <c r="I23" s="82"/>
      <c r="J23" s="82"/>
      <c r="K23" s="83"/>
    </row>
    <row r="24" spans="1:11" x14ac:dyDescent="0.3">
      <c r="A24" s="95">
        <v>19</v>
      </c>
      <c r="B24" s="81"/>
      <c r="C24" s="97">
        <v>18</v>
      </c>
      <c r="D24" s="82"/>
      <c r="E24" s="82"/>
      <c r="F24" s="99">
        <v>4.4999999999999998E-2</v>
      </c>
      <c r="G24" s="82"/>
      <c r="H24" s="82"/>
      <c r="I24" s="82"/>
      <c r="J24" s="82"/>
      <c r="K24" s="83"/>
    </row>
    <row r="25" spans="1:11" x14ac:dyDescent="0.3">
      <c r="A25" s="95">
        <v>20</v>
      </c>
      <c r="B25" s="81"/>
      <c r="C25" s="97">
        <v>19</v>
      </c>
      <c r="D25" s="82"/>
      <c r="E25" s="82"/>
      <c r="F25" s="99">
        <v>4.7500000000000001E-2</v>
      </c>
      <c r="G25" s="82"/>
      <c r="H25" s="82"/>
      <c r="I25" s="82"/>
      <c r="J25" s="82"/>
      <c r="K25" s="83"/>
    </row>
    <row r="26" spans="1:11" x14ac:dyDescent="0.3">
      <c r="A26" s="95">
        <v>21</v>
      </c>
      <c r="B26" s="81"/>
      <c r="C26" s="97">
        <v>20</v>
      </c>
      <c r="D26" s="82"/>
      <c r="E26" s="82"/>
      <c r="F26" s="99">
        <v>0.05</v>
      </c>
      <c r="G26" s="82"/>
      <c r="H26" s="82"/>
      <c r="I26" s="82"/>
      <c r="J26" s="82"/>
      <c r="K26" s="83"/>
    </row>
    <row r="27" spans="1:11" x14ac:dyDescent="0.3">
      <c r="A27" s="95">
        <v>22</v>
      </c>
      <c r="B27" s="81"/>
      <c r="C27" s="97">
        <v>21</v>
      </c>
      <c r="D27" s="82"/>
      <c r="E27" s="82"/>
      <c r="F27" s="99">
        <v>5.2499999999999998E-2</v>
      </c>
      <c r="G27" s="82"/>
      <c r="H27" s="82"/>
      <c r="I27" s="82"/>
      <c r="J27" s="82"/>
      <c r="K27" s="83"/>
    </row>
    <row r="28" spans="1:11" x14ac:dyDescent="0.3">
      <c r="A28" s="95">
        <v>23</v>
      </c>
      <c r="B28" s="81"/>
      <c r="C28" s="97">
        <v>22</v>
      </c>
      <c r="D28" s="82"/>
      <c r="E28" s="82"/>
      <c r="F28" s="99">
        <v>5.5E-2</v>
      </c>
      <c r="G28" s="82"/>
      <c r="H28" s="82"/>
      <c r="I28" s="82"/>
      <c r="J28" s="82"/>
      <c r="K28" s="83"/>
    </row>
    <row r="29" spans="1:11" x14ac:dyDescent="0.3">
      <c r="A29" s="95">
        <v>24</v>
      </c>
      <c r="B29" s="81"/>
      <c r="C29" s="97">
        <v>23</v>
      </c>
      <c r="D29" s="82"/>
      <c r="E29" s="82"/>
      <c r="F29" s="99">
        <v>5.7500000000000002E-2</v>
      </c>
      <c r="G29" s="82"/>
      <c r="H29" s="82"/>
      <c r="I29" s="82"/>
      <c r="J29" s="82"/>
      <c r="K29" s="83"/>
    </row>
    <row r="30" spans="1:11" x14ac:dyDescent="0.3">
      <c r="A30" s="95">
        <v>25</v>
      </c>
      <c r="B30" s="81"/>
      <c r="C30" s="97">
        <v>24</v>
      </c>
      <c r="D30" s="82"/>
      <c r="E30" s="82"/>
      <c r="F30" s="99">
        <v>0.06</v>
      </c>
      <c r="G30" s="82"/>
      <c r="H30" s="82"/>
      <c r="I30" s="82"/>
      <c r="J30" s="82"/>
      <c r="K30" s="83"/>
    </row>
    <row r="31" spans="1:11" x14ac:dyDescent="0.3">
      <c r="A31" s="95">
        <v>26</v>
      </c>
      <c r="B31" s="81"/>
      <c r="C31" s="97">
        <v>25</v>
      </c>
      <c r="D31" s="82"/>
      <c r="E31" s="82"/>
      <c r="F31" s="99">
        <v>6.25E-2</v>
      </c>
      <c r="G31" s="82"/>
      <c r="H31" s="82"/>
      <c r="I31" s="82"/>
      <c r="J31" s="82"/>
      <c r="K31" s="83"/>
    </row>
    <row r="32" spans="1:11" x14ac:dyDescent="0.3">
      <c r="A32" s="95">
        <v>27</v>
      </c>
      <c r="B32" s="81"/>
      <c r="C32" s="97">
        <v>26</v>
      </c>
      <c r="D32" s="82"/>
      <c r="E32" s="82"/>
      <c r="F32" s="99">
        <v>6.5000000000000002E-2</v>
      </c>
      <c r="G32" s="82"/>
      <c r="H32" s="82"/>
      <c r="I32" s="82"/>
      <c r="J32" s="82"/>
      <c r="K32" s="83"/>
    </row>
    <row r="33" spans="1:11" x14ac:dyDescent="0.3">
      <c r="A33" s="95">
        <v>28</v>
      </c>
      <c r="B33" s="81"/>
      <c r="C33" s="97">
        <v>27</v>
      </c>
      <c r="D33" s="82"/>
      <c r="E33" s="82"/>
      <c r="F33" s="99">
        <v>6.7500000000000004E-2</v>
      </c>
      <c r="G33" s="82"/>
      <c r="H33" s="82"/>
      <c r="I33" s="82"/>
      <c r="J33" s="82"/>
      <c r="K33" s="83"/>
    </row>
    <row r="34" spans="1:11" x14ac:dyDescent="0.3">
      <c r="A34" s="95">
        <v>29</v>
      </c>
      <c r="B34" s="81"/>
      <c r="C34" s="97">
        <v>28</v>
      </c>
      <c r="D34" s="82"/>
      <c r="E34" s="82"/>
      <c r="F34" s="99">
        <v>7.0000000000000007E-2</v>
      </c>
      <c r="G34" s="82"/>
      <c r="H34" s="82"/>
      <c r="I34" s="82"/>
      <c r="J34" s="82"/>
      <c r="K34" s="83"/>
    </row>
    <row r="35" spans="1:11" x14ac:dyDescent="0.3">
      <c r="A35" s="95">
        <v>30</v>
      </c>
      <c r="B35" s="81"/>
      <c r="C35" s="97">
        <v>29</v>
      </c>
      <c r="D35" s="82"/>
      <c r="E35" s="82"/>
      <c r="F35" s="99">
        <v>7.2499999999999995E-2</v>
      </c>
      <c r="G35" s="82"/>
      <c r="H35" s="82"/>
      <c r="I35" s="82"/>
      <c r="J35" s="82"/>
      <c r="K35" s="83"/>
    </row>
    <row r="36" spans="1:11" x14ac:dyDescent="0.3">
      <c r="A36" s="95">
        <v>31</v>
      </c>
      <c r="B36" s="81"/>
      <c r="C36" s="97">
        <v>30</v>
      </c>
      <c r="D36" s="82"/>
      <c r="E36" s="82"/>
      <c r="F36" s="99">
        <v>7.4999999999999997E-2</v>
      </c>
      <c r="G36" s="82"/>
      <c r="H36" s="82"/>
      <c r="I36" s="82"/>
      <c r="J36" s="82"/>
      <c r="K36" s="83"/>
    </row>
    <row r="37" spans="1:11" x14ac:dyDescent="0.3">
      <c r="A37" s="95">
        <v>32</v>
      </c>
      <c r="B37" s="81"/>
      <c r="C37" s="97">
        <v>31</v>
      </c>
      <c r="D37" s="82"/>
      <c r="E37" s="82"/>
      <c r="F37" s="99">
        <v>7.7499999999999999E-2</v>
      </c>
      <c r="G37" s="82"/>
      <c r="H37" s="82"/>
      <c r="I37" s="82"/>
      <c r="J37" s="82"/>
      <c r="K37" s="83"/>
    </row>
    <row r="38" spans="1:11" x14ac:dyDescent="0.3">
      <c r="A38" s="95">
        <v>33</v>
      </c>
      <c r="B38" s="81"/>
      <c r="C38" s="97">
        <v>32</v>
      </c>
      <c r="D38" s="82"/>
      <c r="E38" s="82"/>
      <c r="F38" s="99">
        <v>0.08</v>
      </c>
      <c r="G38" s="82"/>
      <c r="H38" s="82"/>
      <c r="I38" s="82"/>
      <c r="J38" s="82"/>
      <c r="K38" s="83"/>
    </row>
    <row r="39" spans="1:11" x14ac:dyDescent="0.3">
      <c r="A39" s="95">
        <v>34</v>
      </c>
      <c r="B39" s="81"/>
      <c r="C39" s="97">
        <v>33</v>
      </c>
      <c r="D39" s="82"/>
      <c r="E39" s="82"/>
      <c r="F39" s="99">
        <v>8.2500000000000004E-2</v>
      </c>
      <c r="G39" s="82"/>
      <c r="H39" s="82"/>
      <c r="I39" s="82"/>
      <c r="J39" s="82"/>
      <c r="K39" s="83"/>
    </row>
    <row r="40" spans="1:11" x14ac:dyDescent="0.3">
      <c r="A40" s="95">
        <v>35</v>
      </c>
      <c r="B40" s="81"/>
      <c r="C40" s="97">
        <v>34</v>
      </c>
      <c r="D40" s="82"/>
      <c r="E40" s="82"/>
      <c r="F40" s="99">
        <v>8.5000000000000006E-2</v>
      </c>
      <c r="G40" s="82"/>
      <c r="H40" s="82"/>
      <c r="I40" s="82"/>
      <c r="J40" s="82"/>
      <c r="K40" s="83"/>
    </row>
    <row r="41" spans="1:11" x14ac:dyDescent="0.3">
      <c r="A41" s="95">
        <v>36</v>
      </c>
      <c r="B41" s="81"/>
      <c r="C41" s="97">
        <v>35</v>
      </c>
      <c r="D41" s="82"/>
      <c r="E41" s="82"/>
      <c r="F41" s="99">
        <v>8.7500000000000008E-2</v>
      </c>
      <c r="G41" s="82"/>
      <c r="H41" s="82"/>
      <c r="I41" s="82"/>
      <c r="J41" s="82"/>
      <c r="K41" s="83"/>
    </row>
    <row r="42" spans="1:11" x14ac:dyDescent="0.3">
      <c r="A42" s="95">
        <v>37</v>
      </c>
      <c r="B42" s="81"/>
      <c r="C42" s="97">
        <v>36</v>
      </c>
      <c r="D42" s="82"/>
      <c r="E42" s="82"/>
      <c r="F42" s="99">
        <v>0.09</v>
      </c>
      <c r="G42" s="82"/>
      <c r="H42" s="82"/>
      <c r="I42" s="82"/>
      <c r="J42" s="82"/>
      <c r="K42" s="83"/>
    </row>
    <row r="43" spans="1:11" x14ac:dyDescent="0.3">
      <c r="A43" s="95">
        <v>38</v>
      </c>
      <c r="B43" s="81"/>
      <c r="C43" s="97">
        <v>37</v>
      </c>
      <c r="D43" s="82"/>
      <c r="E43" s="82"/>
      <c r="F43" s="99">
        <v>9.2499999999999999E-2</v>
      </c>
      <c r="G43" s="82"/>
      <c r="H43" s="82"/>
      <c r="I43" s="82"/>
      <c r="J43" s="82"/>
      <c r="K43" s="83"/>
    </row>
    <row r="44" spans="1:11" x14ac:dyDescent="0.3">
      <c r="A44" s="95">
        <v>39</v>
      </c>
      <c r="B44" s="81"/>
      <c r="C44" s="97">
        <v>38</v>
      </c>
      <c r="D44" s="82"/>
      <c r="E44" s="82"/>
      <c r="F44" s="99">
        <v>9.5000000000000001E-2</v>
      </c>
      <c r="G44" s="82"/>
      <c r="H44" s="82"/>
      <c r="I44" s="82"/>
      <c r="J44" s="82"/>
      <c r="K44" s="83"/>
    </row>
    <row r="45" spans="1:11" x14ac:dyDescent="0.3">
      <c r="A45" s="95">
        <v>40</v>
      </c>
      <c r="B45" s="81"/>
      <c r="C45" s="97">
        <v>39</v>
      </c>
      <c r="D45" s="82"/>
      <c r="E45" s="82"/>
      <c r="F45" s="99">
        <v>9.7500000000000003E-2</v>
      </c>
      <c r="G45" s="82"/>
      <c r="H45" s="82"/>
      <c r="I45" s="82"/>
      <c r="J45" s="82"/>
      <c r="K45" s="83"/>
    </row>
    <row r="46" spans="1:11" x14ac:dyDescent="0.3">
      <c r="A46" s="95">
        <v>41</v>
      </c>
      <c r="B46" s="81"/>
      <c r="C46" s="97">
        <v>40</v>
      </c>
      <c r="D46" s="82"/>
      <c r="E46" s="82"/>
      <c r="F46" s="99">
        <v>0.1</v>
      </c>
      <c r="G46" s="82"/>
      <c r="H46" s="82"/>
      <c r="I46" s="82"/>
      <c r="J46" s="82"/>
      <c r="K46" s="83"/>
    </row>
    <row r="47" spans="1:11" x14ac:dyDescent="0.3">
      <c r="A47" s="95">
        <v>42</v>
      </c>
      <c r="B47" s="81"/>
      <c r="C47" s="97">
        <v>41</v>
      </c>
      <c r="D47" s="82"/>
      <c r="E47" s="82"/>
      <c r="F47" s="82"/>
      <c r="G47" s="82"/>
      <c r="H47" s="82"/>
      <c r="I47" s="82"/>
      <c r="J47" s="82"/>
      <c r="K47" s="83"/>
    </row>
    <row r="48" spans="1:11" x14ac:dyDescent="0.3">
      <c r="A48" s="95">
        <v>43</v>
      </c>
      <c r="B48" s="81"/>
      <c r="C48" s="97">
        <v>42</v>
      </c>
      <c r="D48" s="82"/>
      <c r="E48" s="82"/>
      <c r="F48" s="82"/>
      <c r="G48" s="82"/>
      <c r="H48" s="82"/>
      <c r="I48" s="82"/>
      <c r="J48" s="82"/>
      <c r="K48" s="83"/>
    </row>
    <row r="49" spans="1:11" x14ac:dyDescent="0.3">
      <c r="A49" s="95">
        <v>44</v>
      </c>
      <c r="B49" s="81"/>
      <c r="C49" s="97">
        <v>43</v>
      </c>
      <c r="D49" s="82"/>
      <c r="E49" s="82"/>
      <c r="F49" s="82"/>
      <c r="G49" s="82"/>
      <c r="H49" s="82"/>
      <c r="I49" s="82"/>
      <c r="J49" s="82"/>
      <c r="K49" s="83"/>
    </row>
    <row r="50" spans="1:11" x14ac:dyDescent="0.3">
      <c r="A50" s="95">
        <v>45</v>
      </c>
      <c r="B50" s="81"/>
      <c r="C50" s="97">
        <v>44</v>
      </c>
      <c r="D50" s="82"/>
      <c r="E50" s="82"/>
      <c r="F50" s="82"/>
      <c r="G50" s="82"/>
      <c r="H50" s="82"/>
      <c r="I50" s="82"/>
      <c r="J50" s="82"/>
      <c r="K50" s="83"/>
    </row>
    <row r="51" spans="1:11" x14ac:dyDescent="0.3">
      <c r="A51" s="95">
        <v>46</v>
      </c>
      <c r="B51" s="81"/>
      <c r="C51" s="97">
        <v>45</v>
      </c>
      <c r="D51" s="82"/>
      <c r="E51" s="82"/>
      <c r="F51" s="82"/>
      <c r="G51" s="82"/>
      <c r="H51" s="82"/>
      <c r="I51" s="82"/>
      <c r="J51" s="82"/>
      <c r="K51" s="83"/>
    </row>
    <row r="52" spans="1:11" x14ac:dyDescent="0.3">
      <c r="A52" s="95">
        <v>47</v>
      </c>
      <c r="B52" s="81"/>
      <c r="C52" s="97">
        <v>46</v>
      </c>
      <c r="D52" s="82"/>
      <c r="E52" s="82"/>
      <c r="F52" s="82"/>
      <c r="G52" s="82"/>
      <c r="H52" s="82"/>
      <c r="I52" s="82"/>
      <c r="J52" s="82"/>
      <c r="K52" s="83"/>
    </row>
    <row r="53" spans="1:11" x14ac:dyDescent="0.3">
      <c r="A53" s="95">
        <v>48</v>
      </c>
      <c r="B53" s="81"/>
      <c r="C53" s="97">
        <v>47</v>
      </c>
      <c r="D53" s="82"/>
      <c r="E53" s="82"/>
      <c r="F53" s="82"/>
      <c r="G53" s="82"/>
      <c r="H53" s="82"/>
      <c r="I53" s="82"/>
      <c r="J53" s="82"/>
      <c r="K53" s="83"/>
    </row>
    <row r="54" spans="1:11" x14ac:dyDescent="0.3">
      <c r="A54" s="95">
        <v>49</v>
      </c>
      <c r="B54" s="81"/>
      <c r="C54" s="97">
        <v>48</v>
      </c>
      <c r="D54" s="82"/>
      <c r="E54" s="82"/>
      <c r="F54" s="82"/>
      <c r="G54" s="82"/>
      <c r="H54" s="82"/>
      <c r="I54" s="82"/>
      <c r="J54" s="82"/>
      <c r="K54" s="83"/>
    </row>
    <row r="55" spans="1:11" x14ac:dyDescent="0.3">
      <c r="A55" s="95">
        <v>50</v>
      </c>
      <c r="B55" s="81"/>
      <c r="C55" s="97">
        <v>49</v>
      </c>
      <c r="D55" s="82"/>
      <c r="E55" s="82"/>
      <c r="F55" s="82"/>
      <c r="G55" s="82"/>
      <c r="H55" s="82"/>
      <c r="I55" s="82"/>
      <c r="J55" s="82"/>
      <c r="K55" s="83"/>
    </row>
    <row r="56" spans="1:11" x14ac:dyDescent="0.3">
      <c r="A56" s="95">
        <v>51</v>
      </c>
      <c r="B56" s="81"/>
      <c r="C56" s="97">
        <v>50</v>
      </c>
      <c r="D56" s="82"/>
      <c r="E56" s="82"/>
      <c r="F56" s="82"/>
      <c r="G56" s="82"/>
      <c r="H56" s="82"/>
      <c r="I56" s="82"/>
      <c r="J56" s="82"/>
      <c r="K56" s="83"/>
    </row>
    <row r="57" spans="1:11" x14ac:dyDescent="0.3">
      <c r="A57" s="95">
        <v>52</v>
      </c>
      <c r="B57" s="81"/>
      <c r="C57" s="97">
        <v>51</v>
      </c>
      <c r="D57" s="82"/>
      <c r="E57" s="82"/>
      <c r="F57" s="82"/>
      <c r="G57" s="82"/>
      <c r="H57" s="82"/>
      <c r="I57" s="82"/>
      <c r="J57" s="82"/>
      <c r="K57" s="83"/>
    </row>
    <row r="58" spans="1:11" x14ac:dyDescent="0.3">
      <c r="A58" s="95">
        <v>53</v>
      </c>
      <c r="B58" s="81"/>
      <c r="C58" s="97">
        <v>52</v>
      </c>
      <c r="D58" s="82"/>
      <c r="E58" s="82"/>
      <c r="F58" s="82"/>
      <c r="G58" s="82"/>
      <c r="H58" s="82"/>
      <c r="I58" s="82"/>
      <c r="J58" s="82"/>
      <c r="K58" s="83"/>
    </row>
    <row r="59" spans="1:11" x14ac:dyDescent="0.3">
      <c r="A59" s="95">
        <v>54</v>
      </c>
      <c r="B59" s="81"/>
      <c r="C59" s="97">
        <v>53</v>
      </c>
      <c r="D59" s="82"/>
      <c r="E59" s="82"/>
      <c r="F59" s="82"/>
      <c r="G59" s="82"/>
      <c r="H59" s="82"/>
      <c r="I59" s="82"/>
      <c r="J59" s="82"/>
      <c r="K59" s="83"/>
    </row>
    <row r="60" spans="1:11" x14ac:dyDescent="0.3">
      <c r="A60" s="95">
        <v>55</v>
      </c>
      <c r="B60" s="81"/>
      <c r="C60" s="97">
        <v>54</v>
      </c>
      <c r="D60" s="82"/>
      <c r="E60" s="82"/>
      <c r="F60" s="82"/>
      <c r="G60" s="82"/>
      <c r="H60" s="82"/>
      <c r="I60" s="82"/>
      <c r="J60" s="82"/>
      <c r="K60" s="83"/>
    </row>
    <row r="61" spans="1:11" x14ac:dyDescent="0.3">
      <c r="A61" s="95">
        <v>56</v>
      </c>
      <c r="B61" s="81"/>
      <c r="C61" s="97">
        <v>55</v>
      </c>
      <c r="D61" s="82"/>
      <c r="E61" s="82"/>
      <c r="F61" s="82"/>
      <c r="G61" s="82"/>
      <c r="H61" s="82"/>
      <c r="I61" s="82"/>
      <c r="J61" s="82"/>
      <c r="K61" s="83"/>
    </row>
    <row r="62" spans="1:11" x14ac:dyDescent="0.3">
      <c r="A62" s="95">
        <v>57</v>
      </c>
      <c r="B62" s="81"/>
      <c r="C62" s="97">
        <v>56</v>
      </c>
      <c r="D62" s="82"/>
      <c r="E62" s="82"/>
      <c r="F62" s="82"/>
      <c r="G62" s="82"/>
      <c r="H62" s="82"/>
      <c r="I62" s="82"/>
      <c r="J62" s="82"/>
      <c r="K62" s="83"/>
    </row>
    <row r="63" spans="1:11" x14ac:dyDescent="0.3">
      <c r="A63" s="95">
        <v>58</v>
      </c>
      <c r="B63" s="81"/>
      <c r="C63" s="97">
        <v>57</v>
      </c>
      <c r="D63" s="82"/>
      <c r="E63" s="82"/>
      <c r="F63" s="82"/>
      <c r="G63" s="82"/>
      <c r="H63" s="82"/>
      <c r="I63" s="82"/>
      <c r="J63" s="82"/>
      <c r="K63" s="83"/>
    </row>
    <row r="64" spans="1:11" x14ac:dyDescent="0.3">
      <c r="A64" s="95">
        <v>59</v>
      </c>
      <c r="B64" s="81"/>
      <c r="C64" s="97">
        <v>58</v>
      </c>
      <c r="D64" s="82"/>
      <c r="E64" s="82"/>
      <c r="F64" s="82"/>
      <c r="G64" s="82"/>
      <c r="H64" s="82"/>
      <c r="I64" s="82"/>
      <c r="J64" s="82"/>
      <c r="K64" s="83"/>
    </row>
    <row r="65" spans="1:11" x14ac:dyDescent="0.3">
      <c r="A65" s="95">
        <v>60</v>
      </c>
      <c r="B65" s="81"/>
      <c r="C65" s="97">
        <v>59</v>
      </c>
      <c r="D65" s="82"/>
      <c r="E65" s="82"/>
      <c r="F65" s="82"/>
      <c r="G65" s="82"/>
      <c r="H65" s="82"/>
      <c r="I65" s="82"/>
      <c r="J65" s="82"/>
      <c r="K65" s="83"/>
    </row>
    <row r="66" spans="1:11" x14ac:dyDescent="0.3">
      <c r="A66" s="95">
        <v>61</v>
      </c>
      <c r="B66" s="81"/>
      <c r="C66" s="97">
        <v>60</v>
      </c>
      <c r="D66" s="82"/>
      <c r="E66" s="82"/>
      <c r="F66" s="82"/>
      <c r="G66" s="82"/>
      <c r="H66" s="82"/>
      <c r="I66" s="82"/>
      <c r="J66" s="82"/>
      <c r="K66" s="83"/>
    </row>
    <row r="67" spans="1:11" x14ac:dyDescent="0.3">
      <c r="A67" s="95">
        <v>62</v>
      </c>
      <c r="B67" s="81"/>
      <c r="C67" s="97">
        <v>61</v>
      </c>
      <c r="D67" s="82"/>
      <c r="E67" s="82"/>
      <c r="F67" s="82"/>
      <c r="G67" s="82"/>
      <c r="H67" s="82"/>
      <c r="I67" s="82"/>
      <c r="J67" s="82"/>
      <c r="K67" s="83"/>
    </row>
    <row r="68" spans="1:11" x14ac:dyDescent="0.3">
      <c r="A68" s="95">
        <v>63</v>
      </c>
      <c r="B68" s="81"/>
      <c r="C68" s="97">
        <v>62</v>
      </c>
      <c r="D68" s="82"/>
      <c r="E68" s="82"/>
      <c r="F68" s="82"/>
      <c r="G68" s="82"/>
      <c r="H68" s="82"/>
      <c r="I68" s="82"/>
      <c r="J68" s="82"/>
      <c r="K68" s="83"/>
    </row>
    <row r="69" spans="1:11" x14ac:dyDescent="0.3">
      <c r="A69" s="95">
        <v>64</v>
      </c>
      <c r="B69" s="81"/>
      <c r="C69" s="97">
        <v>63</v>
      </c>
      <c r="D69" s="82"/>
      <c r="E69" s="82"/>
      <c r="F69" s="82"/>
      <c r="G69" s="82"/>
      <c r="H69" s="82"/>
      <c r="I69" s="82"/>
      <c r="J69" s="82"/>
      <c r="K69" s="83"/>
    </row>
    <row r="70" spans="1:11" x14ac:dyDescent="0.3">
      <c r="A70" s="95">
        <v>65</v>
      </c>
      <c r="B70" s="81"/>
      <c r="C70" s="97">
        <v>64</v>
      </c>
      <c r="D70" s="82"/>
      <c r="E70" s="82"/>
      <c r="F70" s="82"/>
      <c r="G70" s="82"/>
      <c r="H70" s="82"/>
      <c r="I70" s="82"/>
      <c r="J70" s="82"/>
      <c r="K70" s="83"/>
    </row>
    <row r="71" spans="1:11" x14ac:dyDescent="0.3">
      <c r="A71" s="95">
        <v>66</v>
      </c>
      <c r="B71" s="81"/>
      <c r="C71" s="97">
        <v>65</v>
      </c>
      <c r="D71" s="82"/>
      <c r="E71" s="82"/>
      <c r="F71" s="82"/>
      <c r="G71" s="82"/>
      <c r="H71" s="82"/>
      <c r="I71" s="82"/>
      <c r="J71" s="82"/>
      <c r="K71" s="83"/>
    </row>
    <row r="72" spans="1:11" x14ac:dyDescent="0.3">
      <c r="A72" s="95">
        <v>67</v>
      </c>
      <c r="B72" s="81"/>
      <c r="C72" s="97">
        <v>66</v>
      </c>
      <c r="D72" s="82"/>
      <c r="E72" s="82"/>
      <c r="F72" s="82"/>
      <c r="G72" s="82"/>
      <c r="H72" s="82"/>
      <c r="I72" s="82"/>
      <c r="J72" s="82"/>
      <c r="K72" s="83"/>
    </row>
    <row r="73" spans="1:11" x14ac:dyDescent="0.3">
      <c r="A73" s="95">
        <v>68</v>
      </c>
      <c r="B73" s="81"/>
      <c r="C73" s="97">
        <v>67</v>
      </c>
      <c r="D73" s="82"/>
      <c r="E73" s="82"/>
      <c r="F73" s="82"/>
      <c r="G73" s="82"/>
      <c r="H73" s="82"/>
      <c r="I73" s="82"/>
      <c r="J73" s="82"/>
      <c r="K73" s="83"/>
    </row>
    <row r="74" spans="1:11" x14ac:dyDescent="0.3">
      <c r="A74" s="95">
        <v>69</v>
      </c>
      <c r="B74" s="81"/>
      <c r="C74" s="97">
        <v>68</v>
      </c>
      <c r="D74" s="82"/>
      <c r="E74" s="82"/>
      <c r="F74" s="82"/>
      <c r="G74" s="82"/>
      <c r="H74" s="82"/>
      <c r="I74" s="82"/>
      <c r="J74" s="82"/>
      <c r="K74" s="83"/>
    </row>
    <row r="75" spans="1:11" x14ac:dyDescent="0.3">
      <c r="A75" s="95">
        <v>70</v>
      </c>
      <c r="B75" s="81"/>
      <c r="C75" s="97">
        <v>69</v>
      </c>
      <c r="D75" s="82"/>
      <c r="E75" s="82"/>
      <c r="F75" s="82"/>
      <c r="G75" s="82"/>
      <c r="H75" s="82"/>
      <c r="I75" s="82"/>
      <c r="J75" s="82"/>
      <c r="K75" s="83"/>
    </row>
    <row r="76" spans="1:11" x14ac:dyDescent="0.3">
      <c r="A76" s="95">
        <v>71</v>
      </c>
      <c r="B76" s="81"/>
      <c r="C76" s="97">
        <v>70</v>
      </c>
      <c r="D76" s="82"/>
      <c r="E76" s="82"/>
      <c r="F76" s="82"/>
      <c r="G76" s="82"/>
      <c r="H76" s="82"/>
      <c r="I76" s="82"/>
      <c r="J76" s="82"/>
      <c r="K76" s="83"/>
    </row>
    <row r="77" spans="1:11" x14ac:dyDescent="0.3">
      <c r="A77" s="95">
        <v>72</v>
      </c>
      <c r="B77" s="81"/>
      <c r="C77" s="97">
        <v>71</v>
      </c>
      <c r="D77" s="82"/>
      <c r="E77" s="82"/>
      <c r="F77" s="82"/>
      <c r="G77" s="82"/>
      <c r="H77" s="82"/>
      <c r="I77" s="82"/>
      <c r="J77" s="82"/>
      <c r="K77" s="83"/>
    </row>
    <row r="78" spans="1:11" x14ac:dyDescent="0.3">
      <c r="A78" s="95">
        <v>73</v>
      </c>
      <c r="B78" s="81"/>
      <c r="C78" s="97">
        <v>72</v>
      </c>
      <c r="D78" s="82"/>
      <c r="E78" s="82"/>
      <c r="F78" s="82"/>
      <c r="G78" s="82"/>
      <c r="H78" s="82"/>
      <c r="I78" s="82"/>
      <c r="J78" s="82"/>
      <c r="K78" s="83"/>
    </row>
    <row r="79" spans="1:11" x14ac:dyDescent="0.3">
      <c r="A79" s="95">
        <v>74</v>
      </c>
      <c r="B79" s="81"/>
      <c r="C79" s="97">
        <v>73</v>
      </c>
      <c r="D79" s="82"/>
      <c r="E79" s="82"/>
      <c r="F79" s="82"/>
      <c r="G79" s="82"/>
      <c r="H79" s="82"/>
      <c r="I79" s="82"/>
      <c r="J79" s="82"/>
      <c r="K79" s="83"/>
    </row>
    <row r="80" spans="1:11" x14ac:dyDescent="0.3">
      <c r="A80" s="95">
        <v>75</v>
      </c>
      <c r="B80" s="81"/>
      <c r="C80" s="97">
        <v>74</v>
      </c>
      <c r="D80" s="82"/>
      <c r="E80" s="82"/>
      <c r="F80" s="82"/>
      <c r="G80" s="82"/>
      <c r="H80" s="82"/>
      <c r="I80" s="82"/>
      <c r="J80" s="82"/>
      <c r="K80" s="83"/>
    </row>
    <row r="81" spans="1:11" x14ac:dyDescent="0.3">
      <c r="A81" s="95">
        <v>76</v>
      </c>
      <c r="B81" s="81"/>
      <c r="C81" s="97">
        <v>75</v>
      </c>
      <c r="D81" s="82"/>
      <c r="E81" s="82"/>
      <c r="F81" s="82"/>
      <c r="G81" s="82"/>
      <c r="H81" s="82"/>
      <c r="I81" s="82"/>
      <c r="J81" s="82"/>
      <c r="K81" s="83"/>
    </row>
    <row r="82" spans="1:11" x14ac:dyDescent="0.3">
      <c r="A82" s="95">
        <v>77</v>
      </c>
      <c r="B82" s="81"/>
      <c r="C82" s="97">
        <v>76</v>
      </c>
      <c r="D82" s="82"/>
      <c r="E82" s="82"/>
      <c r="F82" s="82"/>
      <c r="G82" s="82"/>
      <c r="H82" s="82"/>
      <c r="I82" s="82"/>
      <c r="J82" s="82"/>
      <c r="K82" s="83"/>
    </row>
    <row r="83" spans="1:11" x14ac:dyDescent="0.3">
      <c r="A83" s="95">
        <v>78</v>
      </c>
      <c r="B83" s="81"/>
      <c r="C83" s="97">
        <v>77</v>
      </c>
      <c r="D83" s="82"/>
      <c r="E83" s="82"/>
      <c r="F83" s="82"/>
      <c r="G83" s="82"/>
      <c r="H83" s="82"/>
      <c r="I83" s="82"/>
      <c r="J83" s="82"/>
      <c r="K83" s="83"/>
    </row>
    <row r="84" spans="1:11" x14ac:dyDescent="0.3">
      <c r="A84" s="95">
        <v>79</v>
      </c>
      <c r="B84" s="81"/>
      <c r="C84" s="97">
        <v>78</v>
      </c>
      <c r="D84" s="82"/>
      <c r="E84" s="82"/>
      <c r="F84" s="82"/>
      <c r="G84" s="82"/>
      <c r="H84" s="82"/>
      <c r="I84" s="82"/>
      <c r="J84" s="82"/>
      <c r="K84" s="83"/>
    </row>
    <row r="85" spans="1:11" ht="15" thickBot="1" x14ac:dyDescent="0.35">
      <c r="A85" s="96">
        <v>80</v>
      </c>
      <c r="B85" s="84"/>
      <c r="C85" s="98">
        <v>79</v>
      </c>
      <c r="D85" s="85"/>
      <c r="E85" s="85"/>
      <c r="F85" s="85"/>
      <c r="G85" s="85"/>
      <c r="H85" s="85"/>
      <c r="I85" s="85"/>
      <c r="J85" s="85"/>
      <c r="K85" s="86"/>
    </row>
  </sheetData>
  <mergeCells count="2">
    <mergeCell ref="A1:K1"/>
    <mergeCell ref="A2:K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Fill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487680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Drop Down 2">
              <controlPr defaultSize="0" autoFill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480060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Fill="0" autoPict="0">
                <anchor moveWithCells="1">
                  <from>
                    <xdr:col>2</xdr:col>
                    <xdr:colOff>487680</xdr:colOff>
                    <xdr:row>3</xdr:row>
                    <xdr:rowOff>0</xdr:rowOff>
                  </from>
                  <to>
                    <xdr:col>3</xdr:col>
                    <xdr:colOff>502920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Fill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4</xdr:col>
                    <xdr:colOff>480060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Fill="0" autoPict="0">
                <anchor moveWithCells="1">
                  <from>
                    <xdr:col>4</xdr:col>
                    <xdr:colOff>487680</xdr:colOff>
                    <xdr:row>3</xdr:row>
                    <xdr:rowOff>0</xdr:rowOff>
                  </from>
                  <to>
                    <xdr:col>5</xdr:col>
                    <xdr:colOff>502920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Fill="0" autoPict="0">
                <anchor moveWithCells="1">
                  <from>
                    <xdr:col>5</xdr:col>
                    <xdr:colOff>510540</xdr:colOff>
                    <xdr:row>3</xdr:row>
                    <xdr:rowOff>0</xdr:rowOff>
                  </from>
                  <to>
                    <xdr:col>6</xdr:col>
                    <xdr:colOff>1143000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Fill="0" autoPict="0">
                <anchor moveWithCells="1">
                  <from>
                    <xdr:col>6</xdr:col>
                    <xdr:colOff>1150620</xdr:colOff>
                    <xdr:row>3</xdr:row>
                    <xdr:rowOff>0</xdr:rowOff>
                  </from>
                  <to>
                    <xdr:col>7</xdr:col>
                    <xdr:colOff>502920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Fill="0" autoPict="0">
                <anchor moveWithCells="1">
                  <from>
                    <xdr:col>7</xdr:col>
                    <xdr:colOff>510540</xdr:colOff>
                    <xdr:row>3</xdr:row>
                    <xdr:rowOff>0</xdr:rowOff>
                  </from>
                  <to>
                    <xdr:col>8</xdr:col>
                    <xdr:colOff>815340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Fill="0" autoPict="0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510540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Fill="0" autoPict="0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10</xdr:col>
                    <xdr:colOff>609600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4"/>
  <sheetViews>
    <sheetView showGridLines="0" zoomScale="90" zoomScaleNormal="90" workbookViewId="0">
      <pane xSplit="1" ySplit="2" topLeftCell="B3" activePane="bottomRight" state="frozenSplit"/>
      <selection activeCell="A2" sqref="A2:I2"/>
      <selection pane="topRight" activeCell="A2" sqref="A2:I2"/>
      <selection pane="bottomLeft" activeCell="A2" sqref="A2:I2"/>
      <selection pane="bottomRight" activeCell="K3" sqref="K3"/>
    </sheetView>
  </sheetViews>
  <sheetFormatPr defaultColWidth="10.109375" defaultRowHeight="14.4" x14ac:dyDescent="0.3"/>
  <cols>
    <col min="1" max="1" width="4.109375" style="102" customWidth="1"/>
    <col min="2" max="4" width="10.109375" style="103"/>
    <col min="5" max="10" width="10.109375" style="101"/>
    <col min="11" max="11" width="10.109375" style="103"/>
    <col min="12" max="17" width="10.109375" style="101"/>
    <col min="18" max="18" width="10.109375" style="103"/>
    <col min="19" max="16384" width="10.109375" style="101"/>
  </cols>
  <sheetData>
    <row r="1" spans="1:18" s="102" customFormat="1" ht="15" thickBot="1" x14ac:dyDescent="0.35">
      <c r="A1" s="105">
        <f>Pricing!$B$6</f>
        <v>1</v>
      </c>
      <c r="B1" s="104" t="s">
        <v>73</v>
      </c>
      <c r="C1" s="127" t="str">
        <f>"選用" &amp; IF(A1=1,"男性","女性")</f>
        <v>選用男性</v>
      </c>
      <c r="D1" s="106" t="s">
        <v>81</v>
      </c>
      <c r="E1" s="107" t="s">
        <v>82</v>
      </c>
      <c r="F1" s="108">
        <f>Pricing!$B$20</f>
        <v>0.9</v>
      </c>
      <c r="G1" s="107" t="s">
        <v>83</v>
      </c>
      <c r="H1" s="108">
        <f>Pricing!$B$19</f>
        <v>2.2499999999999999E-2</v>
      </c>
      <c r="I1" s="107"/>
      <c r="J1" s="132"/>
      <c r="K1" s="109" t="s">
        <v>91</v>
      </c>
      <c r="L1" s="110" t="s">
        <v>92</v>
      </c>
      <c r="M1" s="111">
        <f>Reserve!$B$17</f>
        <v>1</v>
      </c>
      <c r="N1" s="110" t="s">
        <v>93</v>
      </c>
      <c r="O1" s="111">
        <f>Reserve!$B$16</f>
        <v>2.2499999999999999E-2</v>
      </c>
      <c r="P1" s="110"/>
      <c r="Q1" s="110"/>
      <c r="R1" s="109"/>
    </row>
    <row r="2" spans="1:18" s="102" customFormat="1" ht="16.2" thickBot="1" x14ac:dyDescent="0.35">
      <c r="A2" s="122" t="s">
        <v>74</v>
      </c>
      <c r="B2" s="119" t="s">
        <v>79</v>
      </c>
      <c r="C2" s="128" t="s">
        <v>80</v>
      </c>
      <c r="D2" s="126" t="s">
        <v>84</v>
      </c>
      <c r="E2" s="116" t="s">
        <v>85</v>
      </c>
      <c r="F2" s="116" t="s">
        <v>86</v>
      </c>
      <c r="G2" s="116" t="s">
        <v>87</v>
      </c>
      <c r="H2" s="116" t="s">
        <v>88</v>
      </c>
      <c r="I2" s="116" t="s">
        <v>89</v>
      </c>
      <c r="J2" s="133" t="s">
        <v>90</v>
      </c>
      <c r="K2" s="131" t="s">
        <v>94</v>
      </c>
      <c r="L2" s="117" t="s">
        <v>95</v>
      </c>
      <c r="M2" s="117" t="s">
        <v>96</v>
      </c>
      <c r="N2" s="117" t="s">
        <v>97</v>
      </c>
      <c r="O2" s="117" t="s">
        <v>98</v>
      </c>
      <c r="P2" s="117" t="s">
        <v>99</v>
      </c>
      <c r="Q2" s="117" t="s">
        <v>100</v>
      </c>
      <c r="R2" s="118" t="s">
        <v>101</v>
      </c>
    </row>
    <row r="3" spans="1:18" ht="15" thickTop="1" x14ac:dyDescent="0.3">
      <c r="A3" s="136">
        <v>0</v>
      </c>
      <c r="B3" s="137">
        <v>5.7299999999999999E-3</v>
      </c>
      <c r="C3" s="138">
        <v>5.2399999999999999E-3</v>
      </c>
      <c r="D3" s="137">
        <f t="shared" ref="D3:D34" si="0">IF(A3=110,1,IF($A$1=1,B3,C3)*$F$1)</f>
        <v>5.1570000000000001E-3</v>
      </c>
      <c r="E3" s="139">
        <f t="shared" ref="E3:E34" si="1">IF(A3=0,10^7,E2-F2)</f>
        <v>10000000</v>
      </c>
      <c r="F3" s="139">
        <f t="shared" ref="F3:F34" si="2">ROUND(E3*D3,0)</f>
        <v>51570</v>
      </c>
      <c r="G3" s="139">
        <f t="shared" ref="G3:G34" si="3">F3*(1+$H$1)^(-A3-0.5)</f>
        <v>50999.447717418101</v>
      </c>
      <c r="H3" s="139">
        <f t="shared" ref="H3:H34" si="4">E3*(1+$H$1)^(-A3)</f>
        <v>10000000</v>
      </c>
      <c r="I3" s="139">
        <f>SUM(G3:G$113)</f>
        <v>2086345.3223801188</v>
      </c>
      <c r="J3" s="140">
        <f>SUM(H3:H$113)</f>
        <v>360680615.75768781</v>
      </c>
      <c r="K3" s="137">
        <f t="shared" ref="K3:K34" si="5">IF(A3=110,1,IF($A$1=1,B3,C3)*$M$1)</f>
        <v>5.7299999999999999E-3</v>
      </c>
      <c r="L3" s="139">
        <f t="shared" ref="L3:L34" si="6">IF(A3=0,10^7,L2-M2)</f>
        <v>10000000</v>
      </c>
      <c r="M3" s="139">
        <f t="shared" ref="M3:M34" si="7">ROUND(L3*K3,0)</f>
        <v>57300</v>
      </c>
      <c r="N3" s="139">
        <f t="shared" ref="N3:N34" si="8">M3*(1+$O$1)^(-A3-0.5)</f>
        <v>56666.053019353451</v>
      </c>
      <c r="O3" s="139">
        <f t="shared" ref="O3:O34" si="9">L3*(1+$O$1)^(-A3)</f>
        <v>10000000</v>
      </c>
      <c r="P3" s="139">
        <f>SUM(N3:N$113)</f>
        <v>2150331.677180504</v>
      </c>
      <c r="Q3" s="139">
        <f>SUM(O3:O$113)</f>
        <v>357804962.55424351</v>
      </c>
      <c r="R3" s="141">
        <f t="shared" ref="R3:R34" si="10">M3/L3</f>
        <v>5.7299999999999999E-3</v>
      </c>
    </row>
    <row r="4" spans="1:18" x14ac:dyDescent="0.3">
      <c r="A4" s="123">
        <v>1</v>
      </c>
      <c r="B4" s="120">
        <v>9.68E-4</v>
      </c>
      <c r="C4" s="129">
        <v>9.0399999999999996E-4</v>
      </c>
      <c r="D4" s="120">
        <f t="shared" si="0"/>
        <v>8.7120000000000003E-4</v>
      </c>
      <c r="E4" s="112">
        <f t="shared" si="1"/>
        <v>9948430</v>
      </c>
      <c r="F4" s="112">
        <f t="shared" si="2"/>
        <v>8667</v>
      </c>
      <c r="G4" s="112">
        <f t="shared" si="3"/>
        <v>8382.5050076376865</v>
      </c>
      <c r="H4" s="112">
        <f t="shared" si="4"/>
        <v>9729515.8924205378</v>
      </c>
      <c r="I4" s="112">
        <f>SUM(G4:G$113)</f>
        <v>2035345.8746627006</v>
      </c>
      <c r="J4" s="134">
        <f>SUM(H4:H$113)</f>
        <v>350680615.75768781</v>
      </c>
      <c r="K4" s="120">
        <f t="shared" si="5"/>
        <v>9.68E-4</v>
      </c>
      <c r="L4" s="112">
        <f t="shared" si="6"/>
        <v>9942700</v>
      </c>
      <c r="M4" s="112">
        <f t="shared" si="7"/>
        <v>9625</v>
      </c>
      <c r="N4" s="112">
        <f t="shared" si="8"/>
        <v>9309.0585783446095</v>
      </c>
      <c r="O4" s="112">
        <f t="shared" si="9"/>
        <v>9723911.9804400988</v>
      </c>
      <c r="P4" s="112">
        <f>SUM(N4:N$113)</f>
        <v>2093665.624161151</v>
      </c>
      <c r="Q4" s="112">
        <f>SUM(O4:O$113)</f>
        <v>347804962.55424351</v>
      </c>
      <c r="R4" s="113">
        <f t="shared" si="10"/>
        <v>9.6804690878735155E-4</v>
      </c>
    </row>
    <row r="5" spans="1:18" x14ac:dyDescent="0.3">
      <c r="A5" s="123">
        <v>2</v>
      </c>
      <c r="B5" s="120">
        <v>7.5199999999999996E-4</v>
      </c>
      <c r="C5" s="129">
        <v>6.2399999999999999E-4</v>
      </c>
      <c r="D5" s="120">
        <f t="shared" si="0"/>
        <v>6.7679999999999997E-4</v>
      </c>
      <c r="E5" s="112">
        <f t="shared" si="1"/>
        <v>9939763</v>
      </c>
      <c r="F5" s="112">
        <f t="shared" si="2"/>
        <v>6727</v>
      </c>
      <c r="G5" s="112">
        <f t="shared" si="3"/>
        <v>6363.0177684208375</v>
      </c>
      <c r="H5" s="112">
        <f t="shared" si="4"/>
        <v>9507129.2017623056</v>
      </c>
      <c r="I5" s="112">
        <f>SUM(G5:G$113)</f>
        <v>2026963.3696550629</v>
      </c>
      <c r="J5" s="134">
        <f>SUM(H5:H$113)</f>
        <v>340951099.86526728</v>
      </c>
      <c r="K5" s="120">
        <f t="shared" si="5"/>
        <v>7.5199999999999996E-4</v>
      </c>
      <c r="L5" s="112">
        <f t="shared" si="6"/>
        <v>9933075</v>
      </c>
      <c r="M5" s="112">
        <f t="shared" si="7"/>
        <v>7470</v>
      </c>
      <c r="N5" s="112">
        <f t="shared" si="8"/>
        <v>7065.8157767360863</v>
      </c>
      <c r="O5" s="112">
        <f t="shared" si="9"/>
        <v>9500732.3007394746</v>
      </c>
      <c r="P5" s="112">
        <f>SUM(N5:N$113)</f>
        <v>2084356.5655828065</v>
      </c>
      <c r="Q5" s="112">
        <f>SUM(O5:O$113)</f>
        <v>338081050.57380325</v>
      </c>
      <c r="R5" s="113">
        <f t="shared" si="10"/>
        <v>7.5203298072349192E-4</v>
      </c>
    </row>
    <row r="6" spans="1:18" x14ac:dyDescent="0.3">
      <c r="A6" s="123">
        <v>3</v>
      </c>
      <c r="B6" s="120">
        <v>5.8399999999999999E-4</v>
      </c>
      <c r="C6" s="129">
        <v>4.4000000000000002E-4</v>
      </c>
      <c r="D6" s="120">
        <f t="shared" si="0"/>
        <v>5.2559999999999998E-4</v>
      </c>
      <c r="E6" s="112">
        <f t="shared" si="1"/>
        <v>9933036</v>
      </c>
      <c r="F6" s="112">
        <f t="shared" si="2"/>
        <v>5221</v>
      </c>
      <c r="G6" s="112">
        <f t="shared" si="3"/>
        <v>4829.8326699252248</v>
      </c>
      <c r="H6" s="112">
        <f t="shared" si="4"/>
        <v>9291633.2501090486</v>
      </c>
      <c r="I6" s="112">
        <f>SUM(G6:G$113)</f>
        <v>2020600.3518866422</v>
      </c>
      <c r="J6" s="134">
        <f>SUM(H6:H$113)</f>
        <v>331443970.6635049</v>
      </c>
      <c r="K6" s="120">
        <f t="shared" si="5"/>
        <v>5.8399999999999999E-4</v>
      </c>
      <c r="L6" s="112">
        <f t="shared" si="6"/>
        <v>9925605</v>
      </c>
      <c r="M6" s="112">
        <f t="shared" si="7"/>
        <v>5797</v>
      </c>
      <c r="N6" s="112">
        <f t="shared" si="8"/>
        <v>5362.6776455768104</v>
      </c>
      <c r="O6" s="112">
        <f t="shared" si="9"/>
        <v>9284682.0896902643</v>
      </c>
      <c r="P6" s="112">
        <f>SUM(N6:N$113)</f>
        <v>2077290.7498060705</v>
      </c>
      <c r="Q6" s="112">
        <f>SUM(O6:O$113)</f>
        <v>328580318.27306372</v>
      </c>
      <c r="R6" s="113">
        <f t="shared" si="10"/>
        <v>5.8404500279831805E-4</v>
      </c>
    </row>
    <row r="7" spans="1:18" x14ac:dyDescent="0.3">
      <c r="A7" s="123">
        <v>4</v>
      </c>
      <c r="B7" s="120">
        <v>4.7199999999999998E-4</v>
      </c>
      <c r="C7" s="129">
        <v>3.28E-4</v>
      </c>
      <c r="D7" s="120">
        <f t="shared" si="0"/>
        <v>4.2479999999999997E-4</v>
      </c>
      <c r="E7" s="112">
        <f t="shared" si="1"/>
        <v>9927815</v>
      </c>
      <c r="F7" s="112">
        <f t="shared" si="2"/>
        <v>4217</v>
      </c>
      <c r="G7" s="112">
        <f t="shared" si="3"/>
        <v>3815.2120047587905</v>
      </c>
      <c r="H7" s="112">
        <f t="shared" si="4"/>
        <v>9082395.4856416751</v>
      </c>
      <c r="I7" s="112">
        <f>SUM(G7:G$113)</f>
        <v>2015770.519216717</v>
      </c>
      <c r="J7" s="134">
        <f>SUM(H7:H$113)</f>
        <v>322152337.41339582</v>
      </c>
      <c r="K7" s="120">
        <f t="shared" si="5"/>
        <v>4.7199999999999998E-4</v>
      </c>
      <c r="L7" s="112">
        <f t="shared" si="6"/>
        <v>9919808</v>
      </c>
      <c r="M7" s="112">
        <f t="shared" si="7"/>
        <v>4682</v>
      </c>
      <c r="N7" s="112">
        <f t="shared" si="8"/>
        <v>4235.9076609629255</v>
      </c>
      <c r="O7" s="112">
        <f t="shared" si="9"/>
        <v>9075070.3349762447</v>
      </c>
      <c r="P7" s="112">
        <f>SUM(N7:N$113)</f>
        <v>2071928.0721604933</v>
      </c>
      <c r="Q7" s="112">
        <f>SUM(O7:O$113)</f>
        <v>319295636.18337351</v>
      </c>
      <c r="R7" s="113">
        <f t="shared" si="10"/>
        <v>4.7198494164403185E-4</v>
      </c>
    </row>
    <row r="8" spans="1:18" x14ac:dyDescent="0.3">
      <c r="A8" s="142">
        <v>5</v>
      </c>
      <c r="B8" s="143">
        <v>3.9199999999999999E-4</v>
      </c>
      <c r="C8" s="144">
        <v>2.7999999999999998E-4</v>
      </c>
      <c r="D8" s="143">
        <f t="shared" si="0"/>
        <v>3.5280000000000001E-4</v>
      </c>
      <c r="E8" s="145">
        <f t="shared" si="1"/>
        <v>9923598</v>
      </c>
      <c r="F8" s="145">
        <f t="shared" si="2"/>
        <v>3501</v>
      </c>
      <c r="G8" s="145">
        <f t="shared" si="3"/>
        <v>3097.7321920670438</v>
      </c>
      <c r="H8" s="145">
        <f t="shared" si="4"/>
        <v>8878765.370420292</v>
      </c>
      <c r="I8" s="145">
        <f>SUM(G8:G$113)</f>
        <v>2011955.3072119581</v>
      </c>
      <c r="J8" s="146">
        <f>SUM(H8:H$113)</f>
        <v>313069941.92775422</v>
      </c>
      <c r="K8" s="143">
        <f t="shared" si="5"/>
        <v>3.9199999999999999E-4</v>
      </c>
      <c r="L8" s="145">
        <f t="shared" si="6"/>
        <v>9915126</v>
      </c>
      <c r="M8" s="145">
        <f t="shared" si="7"/>
        <v>3887</v>
      </c>
      <c r="N8" s="145">
        <f t="shared" si="8"/>
        <v>3439.2702172421023</v>
      </c>
      <c r="O8" s="145">
        <f t="shared" si="9"/>
        <v>8871185.3676613942</v>
      </c>
      <c r="P8" s="145">
        <f>SUM(N8:N$113)</f>
        <v>2067692.1644995308</v>
      </c>
      <c r="Q8" s="145">
        <f>SUM(O8:O$113)</f>
        <v>310220565.84839731</v>
      </c>
      <c r="R8" s="147">
        <f t="shared" si="10"/>
        <v>3.9202729244187115E-4</v>
      </c>
    </row>
    <row r="9" spans="1:18" x14ac:dyDescent="0.3">
      <c r="A9" s="123">
        <v>6</v>
      </c>
      <c r="B9" s="120">
        <v>3.5199999999999999E-4</v>
      </c>
      <c r="C9" s="129">
        <v>2.4800000000000001E-4</v>
      </c>
      <c r="D9" s="120">
        <f t="shared" si="0"/>
        <v>3.168E-4</v>
      </c>
      <c r="E9" s="112">
        <f t="shared" si="1"/>
        <v>9920097</v>
      </c>
      <c r="F9" s="112">
        <f t="shared" si="2"/>
        <v>3143</v>
      </c>
      <c r="G9" s="112">
        <f t="shared" si="3"/>
        <v>2719.7740302398324</v>
      </c>
      <c r="H9" s="112">
        <f t="shared" si="4"/>
        <v>8680325.6553492844</v>
      </c>
      <c r="I9" s="112">
        <f>SUM(G9:G$113)</f>
        <v>2008857.5750198911</v>
      </c>
      <c r="J9" s="134">
        <f>SUM(H9:H$113)</f>
        <v>304191176.55733389</v>
      </c>
      <c r="K9" s="120">
        <f t="shared" si="5"/>
        <v>3.5199999999999999E-4</v>
      </c>
      <c r="L9" s="112">
        <f t="shared" si="6"/>
        <v>9911239</v>
      </c>
      <c r="M9" s="112">
        <f t="shared" si="7"/>
        <v>3489</v>
      </c>
      <c r="N9" s="112">
        <f t="shared" si="8"/>
        <v>3019.1828162605079</v>
      </c>
      <c r="O9" s="112">
        <f t="shared" si="9"/>
        <v>8672574.690348126</v>
      </c>
      <c r="P9" s="112">
        <f>SUM(N9:N$113)</f>
        <v>2064252.8942822886</v>
      </c>
      <c r="Q9" s="112">
        <f>SUM(O9:O$113)</f>
        <v>301349380.48073596</v>
      </c>
      <c r="R9" s="113">
        <f t="shared" si="10"/>
        <v>3.5202460560178198E-4</v>
      </c>
    </row>
    <row r="10" spans="1:18" x14ac:dyDescent="0.3">
      <c r="A10" s="123">
        <v>7</v>
      </c>
      <c r="B10" s="120">
        <v>3.28E-4</v>
      </c>
      <c r="C10" s="129">
        <v>2.24E-4</v>
      </c>
      <c r="D10" s="120">
        <f t="shared" si="0"/>
        <v>2.9520000000000002E-4</v>
      </c>
      <c r="E10" s="112">
        <f t="shared" si="1"/>
        <v>9916954</v>
      </c>
      <c r="F10" s="112">
        <f t="shared" si="2"/>
        <v>2927</v>
      </c>
      <c r="G10" s="112">
        <f t="shared" si="3"/>
        <v>2477.124571936391</v>
      </c>
      <c r="H10" s="112">
        <f t="shared" si="4"/>
        <v>8486626.3609412871</v>
      </c>
      <c r="I10" s="112">
        <f>SUM(G10:G$113)</f>
        <v>2006137.8009896514</v>
      </c>
      <c r="J10" s="134">
        <f>SUM(H10:H$113)</f>
        <v>295510850.90198451</v>
      </c>
      <c r="K10" s="120">
        <f t="shared" si="5"/>
        <v>3.28E-4</v>
      </c>
      <c r="L10" s="112">
        <f t="shared" si="6"/>
        <v>9907750</v>
      </c>
      <c r="M10" s="112">
        <f t="shared" si="7"/>
        <v>3250</v>
      </c>
      <c r="N10" s="112">
        <f t="shared" si="8"/>
        <v>2750.4799654230515</v>
      </c>
      <c r="O10" s="112">
        <f t="shared" si="9"/>
        <v>8478749.8588393219</v>
      </c>
      <c r="P10" s="112">
        <f>SUM(N10:N$113)</f>
        <v>2061233.7114660281</v>
      </c>
      <c r="Q10" s="112">
        <f>SUM(O10:O$113)</f>
        <v>292676805.79038793</v>
      </c>
      <c r="R10" s="113">
        <f t="shared" si="10"/>
        <v>3.280260402210391E-4</v>
      </c>
    </row>
    <row r="11" spans="1:18" x14ac:dyDescent="0.3">
      <c r="A11" s="123">
        <v>8</v>
      </c>
      <c r="B11" s="120">
        <v>3.2000000000000003E-4</v>
      </c>
      <c r="C11" s="129">
        <v>2.0799999999999999E-4</v>
      </c>
      <c r="D11" s="120">
        <f t="shared" si="0"/>
        <v>2.8800000000000001E-4</v>
      </c>
      <c r="E11" s="112">
        <f t="shared" si="1"/>
        <v>9914027</v>
      </c>
      <c r="F11" s="112">
        <f t="shared" si="2"/>
        <v>2855</v>
      </c>
      <c r="G11" s="112">
        <f t="shared" si="3"/>
        <v>2363.0228478564036</v>
      </c>
      <c r="H11" s="112">
        <f t="shared" si="4"/>
        <v>8297429.3630654011</v>
      </c>
      <c r="I11" s="112">
        <f>SUM(G11:G$113)</f>
        <v>2003660.6764177149</v>
      </c>
      <c r="J11" s="134">
        <f>SUM(H11:H$113)</f>
        <v>287024224.54104322</v>
      </c>
      <c r="K11" s="120">
        <f t="shared" si="5"/>
        <v>3.2000000000000003E-4</v>
      </c>
      <c r="L11" s="112">
        <f t="shared" si="6"/>
        <v>9904500</v>
      </c>
      <c r="M11" s="112">
        <f t="shared" si="7"/>
        <v>3169</v>
      </c>
      <c r="N11" s="112">
        <f t="shared" si="8"/>
        <v>2622.9139771828172</v>
      </c>
      <c r="O11" s="112">
        <f t="shared" si="9"/>
        <v>8289455.8514397098</v>
      </c>
      <c r="P11" s="112">
        <f>SUM(N11:N$113)</f>
        <v>2058483.2315006049</v>
      </c>
      <c r="Q11" s="112">
        <f>SUM(O11:O$113)</f>
        <v>284198055.9315486</v>
      </c>
      <c r="R11" s="113">
        <f t="shared" si="10"/>
        <v>3.1995557574839717E-4</v>
      </c>
    </row>
    <row r="12" spans="1:18" x14ac:dyDescent="0.3">
      <c r="A12" s="123">
        <v>9</v>
      </c>
      <c r="B12" s="120">
        <v>3.1199999999999999E-4</v>
      </c>
      <c r="C12" s="129">
        <v>1.92E-4</v>
      </c>
      <c r="D12" s="120">
        <f t="shared" si="0"/>
        <v>2.8079999999999999E-4</v>
      </c>
      <c r="E12" s="112">
        <f t="shared" si="1"/>
        <v>9911172</v>
      </c>
      <c r="F12" s="112">
        <f t="shared" si="2"/>
        <v>2783</v>
      </c>
      <c r="G12" s="112">
        <f t="shared" si="3"/>
        <v>2252.7432542177098</v>
      </c>
      <c r="H12" s="112">
        <f t="shared" si="4"/>
        <v>8112508.4636543458</v>
      </c>
      <c r="I12" s="112">
        <f>SUM(G12:G$113)</f>
        <v>2001297.6535698585</v>
      </c>
      <c r="J12" s="134">
        <f>SUM(H12:H$113)</f>
        <v>278726795.17797786</v>
      </c>
      <c r="K12" s="120">
        <f t="shared" si="5"/>
        <v>3.1199999999999999E-4</v>
      </c>
      <c r="L12" s="112">
        <f t="shared" si="6"/>
        <v>9901331</v>
      </c>
      <c r="M12" s="112">
        <f t="shared" si="7"/>
        <v>3089</v>
      </c>
      <c r="N12" s="112">
        <f t="shared" si="8"/>
        <v>2500.439781630796</v>
      </c>
      <c r="O12" s="112">
        <f t="shared" si="9"/>
        <v>8104453.3924891166</v>
      </c>
      <c r="P12" s="112">
        <f>SUM(N12:N$113)</f>
        <v>2055860.317523422</v>
      </c>
      <c r="Q12" s="112">
        <f>SUM(O12:O$113)</f>
        <v>275908600.08010882</v>
      </c>
      <c r="R12" s="113">
        <f t="shared" si="10"/>
        <v>3.1197825827658927E-4</v>
      </c>
    </row>
    <row r="13" spans="1:18" x14ac:dyDescent="0.3">
      <c r="A13" s="142">
        <v>10</v>
      </c>
      <c r="B13" s="143">
        <v>2.9599999999999998E-4</v>
      </c>
      <c r="C13" s="144">
        <v>1.92E-4</v>
      </c>
      <c r="D13" s="143">
        <f t="shared" si="0"/>
        <v>2.6639999999999997E-4</v>
      </c>
      <c r="E13" s="145">
        <f t="shared" si="1"/>
        <v>9908389</v>
      </c>
      <c r="F13" s="145">
        <f t="shared" si="2"/>
        <v>2640</v>
      </c>
      <c r="G13" s="145">
        <f t="shared" si="3"/>
        <v>2089.9654261806991</v>
      </c>
      <c r="H13" s="145">
        <f t="shared" si="4"/>
        <v>7931765.7877881378</v>
      </c>
      <c r="I13" s="145">
        <f>SUM(G13:G$113)</f>
        <v>1999044.9103156407</v>
      </c>
      <c r="J13" s="146">
        <f>SUM(H13:H$113)</f>
        <v>270614286.71432352</v>
      </c>
      <c r="K13" s="143">
        <f t="shared" si="5"/>
        <v>2.9599999999999998E-4</v>
      </c>
      <c r="L13" s="145">
        <f t="shared" si="6"/>
        <v>9898242</v>
      </c>
      <c r="M13" s="145">
        <f t="shared" si="7"/>
        <v>2930</v>
      </c>
      <c r="N13" s="145">
        <f t="shared" si="8"/>
        <v>2319.5449616323667</v>
      </c>
      <c r="O13" s="145">
        <f t="shared" si="9"/>
        <v>7923643.0114772068</v>
      </c>
      <c r="P13" s="145">
        <f>SUM(N13:N$113)</f>
        <v>2053359.8777417915</v>
      </c>
      <c r="Q13" s="145">
        <f>SUM(O13:O$113)</f>
        <v>267804146.68761972</v>
      </c>
      <c r="R13" s="147">
        <f t="shared" si="10"/>
        <v>2.9601216054325606E-4</v>
      </c>
    </row>
    <row r="14" spans="1:18" x14ac:dyDescent="0.3">
      <c r="A14" s="123">
        <v>11</v>
      </c>
      <c r="B14" s="120">
        <v>2.8800000000000001E-4</v>
      </c>
      <c r="C14" s="129">
        <v>1.92E-4</v>
      </c>
      <c r="D14" s="120">
        <f t="shared" si="0"/>
        <v>2.5920000000000001E-4</v>
      </c>
      <c r="E14" s="112">
        <f t="shared" si="1"/>
        <v>9905749</v>
      </c>
      <c r="F14" s="112">
        <f t="shared" si="2"/>
        <v>2568</v>
      </c>
      <c r="G14" s="112">
        <f t="shared" si="3"/>
        <v>1988.2311678269375</v>
      </c>
      <c r="H14" s="112">
        <f t="shared" si="4"/>
        <v>7755161.3115298394</v>
      </c>
      <c r="I14" s="112">
        <f>SUM(G14:G$113)</f>
        <v>1996954.9448894602</v>
      </c>
      <c r="J14" s="134">
        <f>SUM(H14:H$113)</f>
        <v>262682520.92653552</v>
      </c>
      <c r="K14" s="120">
        <f t="shared" si="5"/>
        <v>2.8800000000000001E-4</v>
      </c>
      <c r="L14" s="112">
        <f t="shared" si="6"/>
        <v>9895312</v>
      </c>
      <c r="M14" s="112">
        <f t="shared" si="7"/>
        <v>2850</v>
      </c>
      <c r="N14" s="112">
        <f t="shared" si="8"/>
        <v>2206.5649642939143</v>
      </c>
      <c r="O14" s="112">
        <f t="shared" si="9"/>
        <v>7746990.2364694439</v>
      </c>
      <c r="P14" s="112">
        <f>SUM(N14:N$113)</f>
        <v>2051040.3327801588</v>
      </c>
      <c r="Q14" s="112">
        <f>SUM(O14:O$113)</f>
        <v>259880503.67614254</v>
      </c>
      <c r="R14" s="113">
        <f t="shared" si="10"/>
        <v>2.8801517324567429E-4</v>
      </c>
    </row>
    <row r="15" spans="1:18" x14ac:dyDescent="0.3">
      <c r="A15" s="123">
        <v>12</v>
      </c>
      <c r="B15" s="120">
        <v>3.0400000000000002E-4</v>
      </c>
      <c r="C15" s="129">
        <v>2.1599999999999999E-4</v>
      </c>
      <c r="D15" s="120">
        <f t="shared" si="0"/>
        <v>2.7360000000000004E-4</v>
      </c>
      <c r="E15" s="112">
        <f t="shared" si="1"/>
        <v>9903181</v>
      </c>
      <c r="F15" s="112">
        <f t="shared" si="2"/>
        <v>2710</v>
      </c>
      <c r="G15" s="112">
        <f t="shared" si="3"/>
        <v>2052.0022487836</v>
      </c>
      <c r="H15" s="112">
        <f t="shared" si="4"/>
        <v>7582543.6060472131</v>
      </c>
      <c r="I15" s="112">
        <f>SUM(G15:G$113)</f>
        <v>1994966.7137216332</v>
      </c>
      <c r="J15" s="134">
        <f>SUM(H15:H$113)</f>
        <v>254927359.61500564</v>
      </c>
      <c r="K15" s="120">
        <f t="shared" si="5"/>
        <v>3.0400000000000002E-4</v>
      </c>
      <c r="L15" s="112">
        <f t="shared" si="6"/>
        <v>9892462</v>
      </c>
      <c r="M15" s="112">
        <f t="shared" si="7"/>
        <v>3007</v>
      </c>
      <c r="N15" s="112">
        <f t="shared" si="8"/>
        <v>2276.8895801078543</v>
      </c>
      <c r="O15" s="112">
        <f t="shared" si="9"/>
        <v>7574336.416366118</v>
      </c>
      <c r="P15" s="112">
        <f>SUM(N15:N$113)</f>
        <v>2048833.7678158649</v>
      </c>
      <c r="Q15" s="112">
        <f>SUM(O15:O$113)</f>
        <v>252133513.4396731</v>
      </c>
      <c r="R15" s="113">
        <f t="shared" si="10"/>
        <v>3.0396881989539106E-4</v>
      </c>
    </row>
    <row r="16" spans="1:18" x14ac:dyDescent="0.3">
      <c r="A16" s="123">
        <v>13</v>
      </c>
      <c r="B16" s="120">
        <v>3.7599999999999998E-4</v>
      </c>
      <c r="C16" s="129">
        <v>2.4800000000000001E-4</v>
      </c>
      <c r="D16" s="120">
        <f t="shared" si="0"/>
        <v>3.3839999999999999E-4</v>
      </c>
      <c r="E16" s="112">
        <f t="shared" si="1"/>
        <v>9900471</v>
      </c>
      <c r="F16" s="112">
        <f t="shared" si="2"/>
        <v>3350</v>
      </c>
      <c r="G16" s="112">
        <f t="shared" si="3"/>
        <v>2480.7901671523773</v>
      </c>
      <c r="H16" s="112">
        <f t="shared" si="4"/>
        <v>7413661.2686413424</v>
      </c>
      <c r="I16" s="112">
        <f>SUM(G16:G$113)</f>
        <v>1992914.7114728496</v>
      </c>
      <c r="J16" s="134">
        <f>SUM(H16:H$113)</f>
        <v>247344816.00895843</v>
      </c>
      <c r="K16" s="120">
        <f t="shared" si="5"/>
        <v>3.7599999999999998E-4</v>
      </c>
      <c r="L16" s="112">
        <f t="shared" si="6"/>
        <v>9889455</v>
      </c>
      <c r="M16" s="112">
        <f t="shared" si="7"/>
        <v>3718</v>
      </c>
      <c r="N16" s="112">
        <f t="shared" si="8"/>
        <v>2753.3068183500118</v>
      </c>
      <c r="O16" s="112">
        <f t="shared" si="9"/>
        <v>7405412.2780089425</v>
      </c>
      <c r="P16" s="112">
        <f>SUM(N16:N$113)</f>
        <v>2046556.8782357571</v>
      </c>
      <c r="Q16" s="112">
        <f>SUM(O16:O$113)</f>
        <v>244559177.023307</v>
      </c>
      <c r="R16" s="113">
        <f t="shared" si="10"/>
        <v>3.7595600566461953E-4</v>
      </c>
    </row>
    <row r="17" spans="1:18" x14ac:dyDescent="0.3">
      <c r="A17" s="123">
        <v>14</v>
      </c>
      <c r="B17" s="120">
        <v>5.2800000000000004E-4</v>
      </c>
      <c r="C17" s="129">
        <v>2.9599999999999998E-4</v>
      </c>
      <c r="D17" s="120">
        <f t="shared" si="0"/>
        <v>4.7520000000000006E-4</v>
      </c>
      <c r="E17" s="112">
        <f t="shared" si="1"/>
        <v>9897121</v>
      </c>
      <c r="F17" s="112">
        <f t="shared" si="2"/>
        <v>4703</v>
      </c>
      <c r="G17" s="112">
        <f t="shared" si="3"/>
        <v>3406.09602047006</v>
      </c>
      <c r="H17" s="112">
        <f t="shared" si="4"/>
        <v>7248071.1245287573</v>
      </c>
      <c r="I17" s="112">
        <f>SUM(G17:G$113)</f>
        <v>1990433.9213056972</v>
      </c>
      <c r="J17" s="134">
        <f>SUM(H17:H$113)</f>
        <v>239931154.74031708</v>
      </c>
      <c r="K17" s="120">
        <f t="shared" si="5"/>
        <v>5.2800000000000004E-4</v>
      </c>
      <c r="L17" s="112">
        <f t="shared" si="6"/>
        <v>9885737</v>
      </c>
      <c r="M17" s="112">
        <f t="shared" si="7"/>
        <v>5220</v>
      </c>
      <c r="N17" s="112">
        <f t="shared" si="8"/>
        <v>3780.5275838515231</v>
      </c>
      <c r="O17" s="112">
        <f t="shared" si="9"/>
        <v>7239734.1504045008</v>
      </c>
      <c r="P17" s="112">
        <f>SUM(N17:N$113)</f>
        <v>2043803.5714174074</v>
      </c>
      <c r="Q17" s="112">
        <f>SUM(O17:O$113)</f>
        <v>237153764.74529806</v>
      </c>
      <c r="R17" s="113">
        <f t="shared" si="10"/>
        <v>5.2803346882483314E-4</v>
      </c>
    </row>
    <row r="18" spans="1:18" x14ac:dyDescent="0.3">
      <c r="A18" s="142">
        <v>15</v>
      </c>
      <c r="B18" s="143">
        <v>7.5199999999999996E-4</v>
      </c>
      <c r="C18" s="144">
        <v>3.4400000000000001E-4</v>
      </c>
      <c r="D18" s="143">
        <f t="shared" si="0"/>
        <v>6.7679999999999997E-4</v>
      </c>
      <c r="E18" s="145">
        <f t="shared" si="1"/>
        <v>9892418</v>
      </c>
      <c r="F18" s="145">
        <f t="shared" si="2"/>
        <v>6695</v>
      </c>
      <c r="G18" s="145">
        <f t="shared" si="3"/>
        <v>4742.0832371049737</v>
      </c>
      <c r="H18" s="145">
        <f t="shared" si="4"/>
        <v>7085209.7047225386</v>
      </c>
      <c r="I18" s="145">
        <f>SUM(G18:G$113)</f>
        <v>1987027.825285227</v>
      </c>
      <c r="J18" s="146">
        <f>SUM(H18:H$113)</f>
        <v>232683083.61578831</v>
      </c>
      <c r="K18" s="143">
        <f t="shared" si="5"/>
        <v>7.5199999999999996E-4</v>
      </c>
      <c r="L18" s="145">
        <f t="shared" si="6"/>
        <v>9880517</v>
      </c>
      <c r="M18" s="145">
        <f t="shared" si="7"/>
        <v>7430</v>
      </c>
      <c r="N18" s="145">
        <f t="shared" si="8"/>
        <v>5262.6853549947655</v>
      </c>
      <c r="O18" s="145">
        <f t="shared" si="9"/>
        <v>7076685.8958119256</v>
      </c>
      <c r="P18" s="145">
        <f>SUM(N18:N$113)</f>
        <v>2040023.0438335559</v>
      </c>
      <c r="Q18" s="145">
        <f>SUM(O18:O$113)</f>
        <v>229914030.5948936</v>
      </c>
      <c r="R18" s="147">
        <f t="shared" si="10"/>
        <v>7.5198494167865912E-4</v>
      </c>
    </row>
    <row r="19" spans="1:18" x14ac:dyDescent="0.3">
      <c r="A19" s="123">
        <v>16</v>
      </c>
      <c r="B19" s="120">
        <v>1.016E-3</v>
      </c>
      <c r="C19" s="129">
        <v>3.9199999999999999E-4</v>
      </c>
      <c r="D19" s="120">
        <f t="shared" si="0"/>
        <v>9.144E-4</v>
      </c>
      <c r="E19" s="112">
        <f t="shared" si="1"/>
        <v>9885723</v>
      </c>
      <c r="F19" s="112">
        <f t="shared" si="2"/>
        <v>9040</v>
      </c>
      <c r="G19" s="112">
        <f t="shared" si="3"/>
        <v>6262.1534463998387</v>
      </c>
      <c r="H19" s="112">
        <f t="shared" si="4"/>
        <v>6924610.8262149207</v>
      </c>
      <c r="I19" s="112">
        <f>SUM(G19:G$113)</f>
        <v>1982285.7420481222</v>
      </c>
      <c r="J19" s="134">
        <f>SUM(H19:H$113)</f>
        <v>225597873.91106579</v>
      </c>
      <c r="K19" s="120">
        <f t="shared" si="5"/>
        <v>1.016E-3</v>
      </c>
      <c r="L19" s="112">
        <f t="shared" si="6"/>
        <v>9873087</v>
      </c>
      <c r="M19" s="112">
        <f t="shared" si="7"/>
        <v>10031</v>
      </c>
      <c r="N19" s="112">
        <f t="shared" si="8"/>
        <v>6948.6350908005297</v>
      </c>
      <c r="O19" s="112">
        <f t="shared" si="9"/>
        <v>6915759.7404217971</v>
      </c>
      <c r="P19" s="112">
        <f>SUM(N19:N$113)</f>
        <v>2034760.358478561</v>
      </c>
      <c r="Q19" s="112">
        <f>SUM(O19:O$113)</f>
        <v>222837344.69908169</v>
      </c>
      <c r="R19" s="113">
        <f t="shared" si="10"/>
        <v>1.0159942883112446E-3</v>
      </c>
    </row>
    <row r="20" spans="1:18" x14ac:dyDescent="0.3">
      <c r="A20" s="123">
        <v>17</v>
      </c>
      <c r="B20" s="120">
        <v>1.2600000000000001E-3</v>
      </c>
      <c r="C20" s="129">
        <v>4.3300000000000001E-4</v>
      </c>
      <c r="D20" s="120">
        <f t="shared" si="0"/>
        <v>1.134E-3</v>
      </c>
      <c r="E20" s="112">
        <f t="shared" si="1"/>
        <v>9876683</v>
      </c>
      <c r="F20" s="112">
        <f t="shared" si="2"/>
        <v>11200</v>
      </c>
      <c r="G20" s="112">
        <f t="shared" si="3"/>
        <v>7587.6970162146181</v>
      </c>
      <c r="H20" s="112">
        <f t="shared" si="4"/>
        <v>6766042.6556701735</v>
      </c>
      <c r="I20" s="112">
        <f>SUM(G20:G$113)</f>
        <v>1976023.5886017224</v>
      </c>
      <c r="J20" s="134">
        <f>SUM(H20:H$113)</f>
        <v>218673263.08485088</v>
      </c>
      <c r="K20" s="120">
        <f t="shared" si="5"/>
        <v>1.2600000000000001E-3</v>
      </c>
      <c r="L20" s="112">
        <f t="shared" si="6"/>
        <v>9863056</v>
      </c>
      <c r="M20" s="112">
        <f t="shared" si="7"/>
        <v>12427</v>
      </c>
      <c r="N20" s="112">
        <f t="shared" si="8"/>
        <v>8418.9563232588443</v>
      </c>
      <c r="O20" s="112">
        <f t="shared" si="9"/>
        <v>6756707.4503923673</v>
      </c>
      <c r="P20" s="112">
        <f>SUM(N20:N$113)</f>
        <v>2027811.7233877603</v>
      </c>
      <c r="Q20" s="112">
        <f>SUM(O20:O$113)</f>
        <v>215921584.95865992</v>
      </c>
      <c r="R20" s="113">
        <f t="shared" si="10"/>
        <v>1.2599543184181453E-3</v>
      </c>
    </row>
    <row r="21" spans="1:18" x14ac:dyDescent="0.3">
      <c r="A21" s="123">
        <v>18</v>
      </c>
      <c r="B21" s="120">
        <v>1.2880000000000001E-3</v>
      </c>
      <c r="C21" s="129">
        <v>4.8099999999999998E-4</v>
      </c>
      <c r="D21" s="120">
        <f t="shared" si="0"/>
        <v>1.1592000000000002E-3</v>
      </c>
      <c r="E21" s="112">
        <f t="shared" si="1"/>
        <v>9865483</v>
      </c>
      <c r="F21" s="112">
        <f t="shared" si="2"/>
        <v>11436</v>
      </c>
      <c r="G21" s="112">
        <f t="shared" si="3"/>
        <v>7577.0959725314669</v>
      </c>
      <c r="H21" s="112">
        <f t="shared" si="4"/>
        <v>6609652.882048388</v>
      </c>
      <c r="I21" s="112">
        <f>SUM(G21:G$113)</f>
        <v>1968435.8915855079</v>
      </c>
      <c r="J21" s="134">
        <f>SUM(H21:H$113)</f>
        <v>211907220.42918071</v>
      </c>
      <c r="K21" s="120">
        <f t="shared" si="5"/>
        <v>1.2880000000000001E-3</v>
      </c>
      <c r="L21" s="112">
        <f t="shared" si="6"/>
        <v>9850629</v>
      </c>
      <c r="M21" s="112">
        <f t="shared" si="7"/>
        <v>12688</v>
      </c>
      <c r="N21" s="112">
        <f t="shared" si="8"/>
        <v>8406.6276407379555</v>
      </c>
      <c r="O21" s="112">
        <f t="shared" si="9"/>
        <v>6599701.0343882237</v>
      </c>
      <c r="P21" s="112">
        <f>SUM(N21:N$113)</f>
        <v>2019392.7670645015</v>
      </c>
      <c r="Q21" s="112">
        <f>SUM(O21:O$113)</f>
        <v>209164877.50826755</v>
      </c>
      <c r="R21" s="113">
        <f t="shared" si="10"/>
        <v>1.2880395759499216E-3</v>
      </c>
    </row>
    <row r="22" spans="1:18" x14ac:dyDescent="0.3">
      <c r="A22" s="123">
        <v>19</v>
      </c>
      <c r="B22" s="120">
        <v>1.305E-3</v>
      </c>
      <c r="C22" s="129">
        <v>5.13E-4</v>
      </c>
      <c r="D22" s="120">
        <f t="shared" si="0"/>
        <v>1.1745E-3</v>
      </c>
      <c r="E22" s="112">
        <f t="shared" si="1"/>
        <v>9854047</v>
      </c>
      <c r="F22" s="112">
        <f t="shared" si="2"/>
        <v>11574</v>
      </c>
      <c r="G22" s="112">
        <f t="shared" si="3"/>
        <v>7499.7848159399873</v>
      </c>
      <c r="H22" s="112">
        <f t="shared" si="4"/>
        <v>6456714.9319459265</v>
      </c>
      <c r="I22" s="112">
        <f>SUM(G22:G$113)</f>
        <v>1960858.7956129764</v>
      </c>
      <c r="J22" s="134">
        <f>SUM(H22:H$113)</f>
        <v>205297567.54713234</v>
      </c>
      <c r="K22" s="120">
        <f t="shared" si="5"/>
        <v>1.305E-3</v>
      </c>
      <c r="L22" s="112">
        <f t="shared" si="6"/>
        <v>9837941</v>
      </c>
      <c r="M22" s="112">
        <f t="shared" si="7"/>
        <v>12839</v>
      </c>
      <c r="N22" s="112">
        <f t="shared" si="8"/>
        <v>8319.4865432740189</v>
      </c>
      <c r="O22" s="112">
        <f t="shared" si="9"/>
        <v>6446161.7195760319</v>
      </c>
      <c r="P22" s="112">
        <f>SUM(N22:N$113)</f>
        <v>2010986.1394237636</v>
      </c>
      <c r="Q22" s="112">
        <f>SUM(O22:O$113)</f>
        <v>202565176.47387931</v>
      </c>
      <c r="R22" s="113">
        <f t="shared" si="10"/>
        <v>1.305049501719923E-3</v>
      </c>
    </row>
    <row r="23" spans="1:18" x14ac:dyDescent="0.3">
      <c r="A23" s="142">
        <v>20</v>
      </c>
      <c r="B23" s="143">
        <v>1.3129999999999999E-3</v>
      </c>
      <c r="C23" s="144">
        <v>5.2999999999999998E-4</v>
      </c>
      <c r="D23" s="143">
        <f t="shared" si="0"/>
        <v>1.1816999999999999E-3</v>
      </c>
      <c r="E23" s="145">
        <f t="shared" si="1"/>
        <v>9842473</v>
      </c>
      <c r="F23" s="145">
        <f t="shared" si="2"/>
        <v>11631</v>
      </c>
      <c r="G23" s="145">
        <f t="shared" si="3"/>
        <v>7370.8752983732602</v>
      </c>
      <c r="H23" s="145">
        <f t="shared" si="4"/>
        <v>6307218.8204217926</v>
      </c>
      <c r="I23" s="145">
        <f>SUM(G23:G$113)</f>
        <v>1953359.0107970363</v>
      </c>
      <c r="J23" s="146">
        <f>SUM(H23:H$113)</f>
        <v>198840852.61518639</v>
      </c>
      <c r="K23" s="143">
        <f t="shared" si="5"/>
        <v>1.3129999999999999E-3</v>
      </c>
      <c r="L23" s="145">
        <f t="shared" si="6"/>
        <v>9825102</v>
      </c>
      <c r="M23" s="145">
        <f t="shared" si="7"/>
        <v>12900</v>
      </c>
      <c r="N23" s="145">
        <f t="shared" si="8"/>
        <v>8175.0744862019656</v>
      </c>
      <c r="O23" s="145">
        <f t="shared" si="9"/>
        <v>6296087.1974923164</v>
      </c>
      <c r="P23" s="145">
        <f>SUM(N23:N$113)</f>
        <v>2002666.6528804896</v>
      </c>
      <c r="Q23" s="145">
        <f>SUM(O23:O$113)</f>
        <v>196119014.75430334</v>
      </c>
      <c r="R23" s="147">
        <f t="shared" si="10"/>
        <v>1.3129634684708616E-3</v>
      </c>
    </row>
    <row r="24" spans="1:18" x14ac:dyDescent="0.3">
      <c r="A24" s="123">
        <v>21</v>
      </c>
      <c r="B24" s="120">
        <v>1.315E-3</v>
      </c>
      <c r="C24" s="129">
        <v>5.3600000000000002E-4</v>
      </c>
      <c r="D24" s="120">
        <f t="shared" si="0"/>
        <v>1.1835000000000001E-3</v>
      </c>
      <c r="E24" s="112">
        <f t="shared" si="1"/>
        <v>9830842</v>
      </c>
      <c r="F24" s="112">
        <f t="shared" si="2"/>
        <v>11635</v>
      </c>
      <c r="G24" s="112">
        <f t="shared" si="3"/>
        <v>7211.1591248808672</v>
      </c>
      <c r="H24" s="112">
        <f t="shared" si="4"/>
        <v>6161139.8376916712</v>
      </c>
      <c r="I24" s="112">
        <f>SUM(G24:G$113)</f>
        <v>1945988.1354986629</v>
      </c>
      <c r="J24" s="134">
        <f>SUM(H24:H$113)</f>
        <v>192533633.79476464</v>
      </c>
      <c r="K24" s="120">
        <f t="shared" si="5"/>
        <v>1.315E-3</v>
      </c>
      <c r="L24" s="112">
        <f t="shared" si="6"/>
        <v>9812202</v>
      </c>
      <c r="M24" s="112">
        <f t="shared" si="7"/>
        <v>12903</v>
      </c>
      <c r="N24" s="112">
        <f t="shared" si="8"/>
        <v>7997.0422164450219</v>
      </c>
      <c r="O24" s="112">
        <f t="shared" si="9"/>
        <v>6149457.8630882176</v>
      </c>
      <c r="P24" s="112">
        <f>SUM(N24:N$113)</f>
        <v>1994491.5783942875</v>
      </c>
      <c r="Q24" s="112">
        <f>SUM(O24:O$113)</f>
        <v>189822927.55681098</v>
      </c>
      <c r="R24" s="113">
        <f t="shared" si="10"/>
        <v>1.3149953496676893E-3</v>
      </c>
    </row>
    <row r="25" spans="1:18" x14ac:dyDescent="0.3">
      <c r="A25" s="123">
        <v>22</v>
      </c>
      <c r="B25" s="120">
        <v>1.312E-3</v>
      </c>
      <c r="C25" s="129">
        <v>5.3300000000000005E-4</v>
      </c>
      <c r="D25" s="120">
        <f t="shared" si="0"/>
        <v>1.1808000000000001E-3</v>
      </c>
      <c r="E25" s="112">
        <f t="shared" si="1"/>
        <v>9819207</v>
      </c>
      <c r="F25" s="112">
        <f t="shared" si="2"/>
        <v>11595</v>
      </c>
      <c r="G25" s="112">
        <f t="shared" si="3"/>
        <v>7028.2326260760456</v>
      </c>
      <c r="H25" s="112">
        <f t="shared" si="4"/>
        <v>6018433.2560343761</v>
      </c>
      <c r="I25" s="112">
        <f>SUM(G25:G$113)</f>
        <v>1938776.9763737821</v>
      </c>
      <c r="J25" s="134">
        <f>SUM(H25:H$113)</f>
        <v>186372493.95707297</v>
      </c>
      <c r="K25" s="120">
        <f t="shared" si="5"/>
        <v>1.312E-3</v>
      </c>
      <c r="L25" s="112">
        <f t="shared" si="6"/>
        <v>9799299</v>
      </c>
      <c r="M25" s="112">
        <f t="shared" si="7"/>
        <v>12857</v>
      </c>
      <c r="N25" s="112">
        <f t="shared" si="8"/>
        <v>7793.1855863268402</v>
      </c>
      <c r="O25" s="112">
        <f t="shared" si="9"/>
        <v>6006231.153638416</v>
      </c>
      <c r="P25" s="112">
        <f>SUM(N25:N$113)</f>
        <v>1986494.5361778426</v>
      </c>
      <c r="Q25" s="112">
        <f>SUM(O25:O$113)</f>
        <v>183673469.69372275</v>
      </c>
      <c r="R25" s="113">
        <f t="shared" si="10"/>
        <v>1.3120326260072277E-3</v>
      </c>
    </row>
    <row r="26" spans="1:18" x14ac:dyDescent="0.3">
      <c r="A26" s="123">
        <v>23</v>
      </c>
      <c r="B26" s="120">
        <v>1.307E-3</v>
      </c>
      <c r="C26" s="129">
        <v>5.2499999999999997E-4</v>
      </c>
      <c r="D26" s="120">
        <f t="shared" si="0"/>
        <v>1.1763000000000001E-3</v>
      </c>
      <c r="E26" s="112">
        <f t="shared" si="1"/>
        <v>9807612</v>
      </c>
      <c r="F26" s="112">
        <f t="shared" si="2"/>
        <v>11537</v>
      </c>
      <c r="G26" s="112">
        <f t="shared" si="3"/>
        <v>6839.1944345827615</v>
      </c>
      <c r="H26" s="112">
        <f t="shared" si="4"/>
        <v>5879047.8196698073</v>
      </c>
      <c r="I26" s="112">
        <f>SUM(G26:G$113)</f>
        <v>1931748.7437477063</v>
      </c>
      <c r="J26" s="134">
        <f>SUM(H26:H$113)</f>
        <v>180354060.70103863</v>
      </c>
      <c r="K26" s="120">
        <f t="shared" si="5"/>
        <v>1.307E-3</v>
      </c>
      <c r="L26" s="112">
        <f t="shared" si="6"/>
        <v>9786442</v>
      </c>
      <c r="M26" s="112">
        <f t="shared" si="7"/>
        <v>12791</v>
      </c>
      <c r="N26" s="112">
        <f t="shared" si="8"/>
        <v>7582.5722469227785</v>
      </c>
      <c r="O26" s="112">
        <f t="shared" si="9"/>
        <v>5866357.7334039137</v>
      </c>
      <c r="P26" s="112">
        <f>SUM(N26:N$113)</f>
        <v>1978701.3505915157</v>
      </c>
      <c r="Q26" s="112">
        <f>SUM(O26:O$113)</f>
        <v>177667238.54008439</v>
      </c>
      <c r="R26" s="113">
        <f t="shared" si="10"/>
        <v>1.3070122931296176E-3</v>
      </c>
    </row>
    <row r="27" spans="1:18" x14ac:dyDescent="0.3">
      <c r="A27" s="123">
        <v>24</v>
      </c>
      <c r="B27" s="120">
        <v>1.3010000000000001E-3</v>
      </c>
      <c r="C27" s="129">
        <v>5.1500000000000005E-4</v>
      </c>
      <c r="D27" s="120">
        <f t="shared" si="0"/>
        <v>1.1709000000000001E-3</v>
      </c>
      <c r="E27" s="112">
        <f t="shared" si="1"/>
        <v>9796075</v>
      </c>
      <c r="F27" s="112">
        <f t="shared" si="2"/>
        <v>11470</v>
      </c>
      <c r="G27" s="112">
        <f t="shared" si="3"/>
        <v>6649.8547494297</v>
      </c>
      <c r="H27" s="112">
        <f t="shared" si="4"/>
        <v>5742916.4912362816</v>
      </c>
      <c r="I27" s="112">
        <f>SUM(G27:G$113)</f>
        <v>1924909.5493131236</v>
      </c>
      <c r="J27" s="134">
        <f>SUM(H27:H$113)</f>
        <v>174475012.88136885</v>
      </c>
      <c r="K27" s="120">
        <f t="shared" si="5"/>
        <v>1.3010000000000001E-3</v>
      </c>
      <c r="L27" s="112">
        <f t="shared" si="6"/>
        <v>9773651</v>
      </c>
      <c r="M27" s="112">
        <f t="shared" si="7"/>
        <v>12716</v>
      </c>
      <c r="N27" s="112">
        <f t="shared" si="8"/>
        <v>7372.2365295333966</v>
      </c>
      <c r="O27" s="112">
        <f t="shared" si="9"/>
        <v>5729770.4955799114</v>
      </c>
      <c r="P27" s="112">
        <f>SUM(N27:N$113)</f>
        <v>1971118.778344593</v>
      </c>
      <c r="Q27" s="112">
        <f>SUM(O27:O$113)</f>
        <v>171800880.80668044</v>
      </c>
      <c r="R27" s="113">
        <f t="shared" si="10"/>
        <v>1.3010491166504717E-3</v>
      </c>
    </row>
    <row r="28" spans="1:18" x14ac:dyDescent="0.3">
      <c r="A28" s="142">
        <v>25</v>
      </c>
      <c r="B28" s="143">
        <v>1.2979999999999999E-3</v>
      </c>
      <c r="C28" s="144">
        <v>5.0699999999999996E-4</v>
      </c>
      <c r="D28" s="143">
        <f t="shared" si="0"/>
        <v>1.1681999999999999E-3</v>
      </c>
      <c r="E28" s="145">
        <f t="shared" si="1"/>
        <v>9784605</v>
      </c>
      <c r="F28" s="145">
        <f t="shared" si="2"/>
        <v>11430</v>
      </c>
      <c r="G28" s="145">
        <f t="shared" si="3"/>
        <v>6480.845303767368</v>
      </c>
      <c r="H28" s="145">
        <f t="shared" si="4"/>
        <v>5609967.9626048515</v>
      </c>
      <c r="I28" s="145">
        <f>SUM(G28:G$113)</f>
        <v>1918259.6945636938</v>
      </c>
      <c r="J28" s="146">
        <f>SUM(H28:H$113)</f>
        <v>168732096.39013258</v>
      </c>
      <c r="K28" s="143">
        <f t="shared" si="5"/>
        <v>1.2979999999999999E-3</v>
      </c>
      <c r="L28" s="145">
        <f t="shared" si="6"/>
        <v>9760935</v>
      </c>
      <c r="M28" s="145">
        <f t="shared" si="7"/>
        <v>12670</v>
      </c>
      <c r="N28" s="145">
        <f t="shared" si="8"/>
        <v>7183.9291337473796</v>
      </c>
      <c r="O28" s="145">
        <f t="shared" si="9"/>
        <v>5596396.8535335241</v>
      </c>
      <c r="P28" s="145">
        <f>SUM(N28:N$113)</f>
        <v>1963746.5418150595</v>
      </c>
      <c r="Q28" s="145">
        <f>SUM(O28:O$113)</f>
        <v>166071110.31110051</v>
      </c>
      <c r="R28" s="147">
        <f t="shared" si="10"/>
        <v>1.2980313873619689E-3</v>
      </c>
    </row>
    <row r="29" spans="1:18" x14ac:dyDescent="0.3">
      <c r="A29" s="123">
        <v>26</v>
      </c>
      <c r="B29" s="120">
        <v>1.299E-3</v>
      </c>
      <c r="C29" s="129">
        <v>5.04E-4</v>
      </c>
      <c r="D29" s="120">
        <f t="shared" si="0"/>
        <v>1.1691E-3</v>
      </c>
      <c r="E29" s="112">
        <f t="shared" si="1"/>
        <v>9773175</v>
      </c>
      <c r="F29" s="112">
        <f t="shared" si="2"/>
        <v>11426</v>
      </c>
      <c r="G29" s="112">
        <f t="shared" si="3"/>
        <v>6336.0169109169628</v>
      </c>
      <c r="H29" s="112">
        <f t="shared" si="4"/>
        <v>5480112.0913031595</v>
      </c>
      <c r="I29" s="112">
        <f>SUM(G29:G$113)</f>
        <v>1911778.8492599265</v>
      </c>
      <c r="J29" s="134">
        <f>SUM(H29:H$113)</f>
        <v>163122128.42752773</v>
      </c>
      <c r="K29" s="120">
        <f t="shared" si="5"/>
        <v>1.299E-3</v>
      </c>
      <c r="L29" s="112">
        <f t="shared" si="6"/>
        <v>9748265</v>
      </c>
      <c r="M29" s="112">
        <f t="shared" si="7"/>
        <v>12663</v>
      </c>
      <c r="N29" s="112">
        <f t="shared" si="8"/>
        <v>7021.9658798303426</v>
      </c>
      <c r="O29" s="112">
        <f t="shared" si="9"/>
        <v>5466144.307835211</v>
      </c>
      <c r="P29" s="112">
        <f>SUM(N29:N$113)</f>
        <v>1956562.6126813123</v>
      </c>
      <c r="Q29" s="112">
        <f>SUM(O29:O$113)</f>
        <v>160474713.45756695</v>
      </c>
      <c r="R29" s="113">
        <f t="shared" si="10"/>
        <v>1.2990003862225739E-3</v>
      </c>
    </row>
    <row r="30" spans="1:18" x14ac:dyDescent="0.3">
      <c r="A30" s="123">
        <v>27</v>
      </c>
      <c r="B30" s="120">
        <v>1.307E-3</v>
      </c>
      <c r="C30" s="129">
        <v>5.1000000000000004E-4</v>
      </c>
      <c r="D30" s="120">
        <f t="shared" si="0"/>
        <v>1.1763000000000001E-3</v>
      </c>
      <c r="E30" s="112">
        <f t="shared" si="1"/>
        <v>9761749</v>
      </c>
      <c r="F30" s="112">
        <f t="shared" si="2"/>
        <v>11483</v>
      </c>
      <c r="G30" s="112">
        <f t="shared" si="3"/>
        <v>6227.5060215738813</v>
      </c>
      <c r="H30" s="112">
        <f t="shared" si="4"/>
        <v>5353256.9102247572</v>
      </c>
      <c r="I30" s="112">
        <f>SUM(G30:G$113)</f>
        <v>1905442.8323490096</v>
      </c>
      <c r="J30" s="134">
        <f>SUM(H30:H$113)</f>
        <v>157642016.33622459</v>
      </c>
      <c r="K30" s="120">
        <f t="shared" si="5"/>
        <v>1.307E-3</v>
      </c>
      <c r="L30" s="112">
        <f t="shared" si="6"/>
        <v>9735602</v>
      </c>
      <c r="M30" s="112">
        <f t="shared" si="7"/>
        <v>12724</v>
      </c>
      <c r="N30" s="112">
        <f t="shared" si="8"/>
        <v>6900.5300547336119</v>
      </c>
      <c r="O30" s="112">
        <f t="shared" si="9"/>
        <v>5338918.1264236532</v>
      </c>
      <c r="P30" s="112">
        <f>SUM(N30:N$113)</f>
        <v>1949540.646801482</v>
      </c>
      <c r="Q30" s="112">
        <f>SUM(O30:O$113)</f>
        <v>155008569.14973176</v>
      </c>
      <c r="R30" s="113">
        <f t="shared" si="10"/>
        <v>1.3069556458860992E-3</v>
      </c>
    </row>
    <row r="31" spans="1:18" x14ac:dyDescent="0.3">
      <c r="A31" s="123">
        <v>28</v>
      </c>
      <c r="B31" s="120">
        <v>1.323E-3</v>
      </c>
      <c r="C31" s="129">
        <v>5.2700000000000002E-4</v>
      </c>
      <c r="D31" s="120">
        <f t="shared" si="0"/>
        <v>1.1907E-3</v>
      </c>
      <c r="E31" s="112">
        <f t="shared" si="1"/>
        <v>9750266</v>
      </c>
      <c r="F31" s="112">
        <f t="shared" si="2"/>
        <v>11610</v>
      </c>
      <c r="G31" s="112">
        <f t="shared" si="3"/>
        <v>6157.8299896049384</v>
      </c>
      <c r="H31" s="112">
        <f t="shared" si="4"/>
        <v>5229300.4738119673</v>
      </c>
      <c r="I31" s="112">
        <f>SUM(G31:G$113)</f>
        <v>1899215.3263274357</v>
      </c>
      <c r="J31" s="134">
        <f>SUM(H31:H$113)</f>
        <v>152288759.42599985</v>
      </c>
      <c r="K31" s="120">
        <f t="shared" si="5"/>
        <v>1.323E-3</v>
      </c>
      <c r="L31" s="112">
        <f t="shared" si="6"/>
        <v>9722878</v>
      </c>
      <c r="M31" s="112">
        <f t="shared" si="7"/>
        <v>12863</v>
      </c>
      <c r="N31" s="112">
        <f t="shared" si="8"/>
        <v>6822.4088851238866</v>
      </c>
      <c r="O31" s="112">
        <f t="shared" si="9"/>
        <v>5214611.6354380446</v>
      </c>
      <c r="P31" s="112">
        <f>SUM(N31:N$113)</f>
        <v>1942640.1167467483</v>
      </c>
      <c r="Q31" s="112">
        <f>SUM(O31:O$113)</f>
        <v>149669651.02330807</v>
      </c>
      <c r="R31" s="113">
        <f t="shared" si="10"/>
        <v>1.3229621928815727E-3</v>
      </c>
    </row>
    <row r="32" spans="1:18" x14ac:dyDescent="0.3">
      <c r="A32" s="123">
        <v>29</v>
      </c>
      <c r="B32" s="120">
        <v>1.351E-3</v>
      </c>
      <c r="C32" s="129">
        <v>5.5599999999999996E-4</v>
      </c>
      <c r="D32" s="120">
        <f t="shared" si="0"/>
        <v>1.2159E-3</v>
      </c>
      <c r="E32" s="112">
        <f t="shared" si="1"/>
        <v>9738656</v>
      </c>
      <c r="F32" s="112">
        <f t="shared" si="2"/>
        <v>11841</v>
      </c>
      <c r="G32" s="112">
        <f t="shared" si="3"/>
        <v>6142.151707756535</v>
      </c>
      <c r="H32" s="112">
        <f t="shared" si="4"/>
        <v>5108140.5903051402</v>
      </c>
      <c r="I32" s="112">
        <f>SUM(G32:G$113)</f>
        <v>1893057.4963378308</v>
      </c>
      <c r="J32" s="134">
        <f>SUM(H32:H$113)</f>
        <v>147059458.9521879</v>
      </c>
      <c r="K32" s="120">
        <f t="shared" si="5"/>
        <v>1.351E-3</v>
      </c>
      <c r="L32" s="112">
        <f t="shared" si="6"/>
        <v>9710015</v>
      </c>
      <c r="M32" s="112">
        <f t="shared" si="7"/>
        <v>13118</v>
      </c>
      <c r="N32" s="112">
        <f t="shared" si="8"/>
        <v>6804.5558738578011</v>
      </c>
      <c r="O32" s="112">
        <f t="shared" si="9"/>
        <v>5093117.7519743759</v>
      </c>
      <c r="P32" s="112">
        <f>SUM(N32:N$113)</f>
        <v>1935817.7078616244</v>
      </c>
      <c r="Q32" s="112">
        <f>SUM(O32:O$113)</f>
        <v>144455039.38787001</v>
      </c>
      <c r="R32" s="113">
        <f t="shared" si="10"/>
        <v>1.3509762858244813E-3</v>
      </c>
    </row>
    <row r="33" spans="1:18" x14ac:dyDescent="0.3">
      <c r="A33" s="142">
        <v>30</v>
      </c>
      <c r="B33" s="143">
        <v>1.3929999999999999E-3</v>
      </c>
      <c r="C33" s="144">
        <v>5.9299999999999999E-4</v>
      </c>
      <c r="D33" s="143">
        <f t="shared" si="0"/>
        <v>1.2537E-3</v>
      </c>
      <c r="E33" s="145">
        <f t="shared" si="1"/>
        <v>9726815</v>
      </c>
      <c r="F33" s="145">
        <f t="shared" si="2"/>
        <v>12195</v>
      </c>
      <c r="G33" s="145">
        <f t="shared" si="3"/>
        <v>6186.580180553784</v>
      </c>
      <c r="H33" s="145">
        <f t="shared" si="4"/>
        <v>4989662.3215272008</v>
      </c>
      <c r="I33" s="145">
        <f>SUM(G33:G$113)</f>
        <v>1886915.3446300742</v>
      </c>
      <c r="J33" s="146">
        <f>SUM(H33:H$113)</f>
        <v>141951318.36188272</v>
      </c>
      <c r="K33" s="143">
        <f t="shared" si="5"/>
        <v>1.3929999999999999E-3</v>
      </c>
      <c r="L33" s="145">
        <f t="shared" si="6"/>
        <v>9696897</v>
      </c>
      <c r="M33" s="145">
        <f t="shared" si="7"/>
        <v>13508</v>
      </c>
      <c r="N33" s="145">
        <f t="shared" si="8"/>
        <v>6852.6711831833136</v>
      </c>
      <c r="O33" s="145">
        <f t="shared" si="9"/>
        <v>4974314.9835408768</v>
      </c>
      <c r="P33" s="145">
        <f>SUM(N33:N$113)</f>
        <v>1929013.1519877666</v>
      </c>
      <c r="Q33" s="145">
        <f>SUM(O33:O$113)</f>
        <v>139361921.63589564</v>
      </c>
      <c r="R33" s="147">
        <f t="shared" si="10"/>
        <v>1.3930229433188781E-3</v>
      </c>
    </row>
    <row r="34" spans="1:18" x14ac:dyDescent="0.3">
      <c r="A34" s="123">
        <v>31</v>
      </c>
      <c r="B34" s="120">
        <v>1.4519999999999999E-3</v>
      </c>
      <c r="C34" s="129">
        <v>6.38E-4</v>
      </c>
      <c r="D34" s="120">
        <f t="shared" si="0"/>
        <v>1.3067999999999999E-3</v>
      </c>
      <c r="E34" s="112">
        <f t="shared" si="1"/>
        <v>9714620</v>
      </c>
      <c r="F34" s="112">
        <f t="shared" si="2"/>
        <v>12695</v>
      </c>
      <c r="G34" s="112">
        <f t="shared" si="3"/>
        <v>6298.5158968016913</v>
      </c>
      <c r="H34" s="112">
        <f t="shared" si="4"/>
        <v>4873747.2170863627</v>
      </c>
      <c r="I34" s="112">
        <f>SUM(G34:G$113)</f>
        <v>1880728.7644495203</v>
      </c>
      <c r="J34" s="134">
        <f>SUM(H34:H$113)</f>
        <v>136961656.04035553</v>
      </c>
      <c r="K34" s="120">
        <f t="shared" si="5"/>
        <v>1.4519999999999999E-3</v>
      </c>
      <c r="L34" s="112">
        <f t="shared" si="6"/>
        <v>9683389</v>
      </c>
      <c r="M34" s="112">
        <f t="shared" si="7"/>
        <v>14060</v>
      </c>
      <c r="N34" s="112">
        <f t="shared" si="8"/>
        <v>6975.7489963790294</v>
      </c>
      <c r="O34" s="112">
        <f t="shared" si="9"/>
        <v>4858078.873977026</v>
      </c>
      <c r="P34" s="112">
        <f>SUM(N34:N$113)</f>
        <v>1922160.4808045833</v>
      </c>
      <c r="Q34" s="112">
        <f>SUM(O34:O$113)</f>
        <v>134387606.65235481</v>
      </c>
      <c r="R34" s="113">
        <f t="shared" si="10"/>
        <v>1.4519709989963224E-3</v>
      </c>
    </row>
    <row r="35" spans="1:18" x14ac:dyDescent="0.3">
      <c r="A35" s="123">
        <v>32</v>
      </c>
      <c r="B35" s="120">
        <v>1.5299999999999999E-3</v>
      </c>
      <c r="C35" s="129">
        <v>6.8800000000000003E-4</v>
      </c>
      <c r="D35" s="120">
        <f t="shared" ref="D35:D66" si="11">IF(A35=110,1,IF($A$1=1,B35,C35)*$F$1)</f>
        <v>1.377E-3</v>
      </c>
      <c r="E35" s="112">
        <f t="shared" ref="E35:E66" si="12">IF(A35=0,10^7,E34-F34)</f>
        <v>9701925</v>
      </c>
      <c r="F35" s="112">
        <f t="shared" ref="F35:F66" si="13">ROUND(E35*D35,0)</f>
        <v>13360</v>
      </c>
      <c r="G35" s="112">
        <f t="shared" ref="G35:G66" si="14">F35*(1+$H$1)^(-A35-0.5)</f>
        <v>6482.5916586354551</v>
      </c>
      <c r="H35" s="112">
        <f t="shared" ref="H35:H66" si="15">E35*(1+$H$1)^(-A35)</f>
        <v>4760272.1144662695</v>
      </c>
      <c r="I35" s="112">
        <f>SUM(G35:G$113)</f>
        <v>1874430.2485527187</v>
      </c>
      <c r="J35" s="134">
        <f>SUM(H35:H$113)</f>
        <v>132087908.82326908</v>
      </c>
      <c r="K35" s="120">
        <f t="shared" ref="K35:K66" si="16">IF(A35=110,1,IF($A$1=1,B35,C35)*$M$1)</f>
        <v>1.5299999999999999E-3</v>
      </c>
      <c r="L35" s="112">
        <f t="shared" ref="L35:L66" si="17">IF(A35=0,10^7,L34-M34)</f>
        <v>9669329</v>
      </c>
      <c r="M35" s="112">
        <f t="shared" ref="M35:M66" si="18">ROUND(L35*K35,0)</f>
        <v>14794</v>
      </c>
      <c r="N35" s="112">
        <f t="shared" ref="N35:N66" si="19">M35*(1+$O$1)^(-A35-0.5)</f>
        <v>7178.4027693003682</v>
      </c>
      <c r="O35" s="112">
        <f t="shared" ref="O35:O66" si="20">L35*(1+$O$1)^(-A35)</f>
        <v>4744278.8110916158</v>
      </c>
      <c r="P35" s="112">
        <f>SUM(N35:N$113)</f>
        <v>1915184.7318082044</v>
      </c>
      <c r="Q35" s="112">
        <f>SUM(O35:O$113)</f>
        <v>129529527.77837773</v>
      </c>
      <c r="R35" s="113">
        <f t="shared" ref="R35:R66" si="21">M35/L35</f>
        <v>1.5299924120898152E-3</v>
      </c>
    </row>
    <row r="36" spans="1:18" x14ac:dyDescent="0.3">
      <c r="A36" s="123">
        <v>33</v>
      </c>
      <c r="B36" s="120">
        <v>1.6299999999999999E-3</v>
      </c>
      <c r="C36" s="129">
        <v>7.4299999999999995E-4</v>
      </c>
      <c r="D36" s="120">
        <f t="shared" si="11"/>
        <v>1.467E-3</v>
      </c>
      <c r="E36" s="112">
        <f t="shared" si="12"/>
        <v>9688565</v>
      </c>
      <c r="F36" s="112">
        <f t="shared" si="13"/>
        <v>14213</v>
      </c>
      <c r="G36" s="112">
        <f t="shared" si="14"/>
        <v>6744.7312156263806</v>
      </c>
      <c r="H36" s="112">
        <f t="shared" si="15"/>
        <v>4649111.9797817348</v>
      </c>
      <c r="I36" s="112">
        <f>SUM(G36:G$113)</f>
        <v>1867947.6568940834</v>
      </c>
      <c r="J36" s="134">
        <f>SUM(H36:H$113)</f>
        <v>127327636.70880282</v>
      </c>
      <c r="K36" s="120">
        <f t="shared" si="16"/>
        <v>1.6299999999999999E-3</v>
      </c>
      <c r="L36" s="112">
        <f t="shared" si="17"/>
        <v>9654535</v>
      </c>
      <c r="M36" s="112">
        <f t="shared" si="18"/>
        <v>15737</v>
      </c>
      <c r="N36" s="112">
        <f t="shared" si="19"/>
        <v>7467.9402758258175</v>
      </c>
      <c r="O36" s="112">
        <f t="shared" si="20"/>
        <v>4632782.4943861188</v>
      </c>
      <c r="P36" s="112">
        <f>SUM(N36:N$113)</f>
        <v>1908006.3290389038</v>
      </c>
      <c r="Q36" s="112">
        <f>SUM(O36:O$113)</f>
        <v>124785248.96728612</v>
      </c>
      <c r="R36" s="113">
        <f t="shared" si="21"/>
        <v>1.6300111812738781E-3</v>
      </c>
    </row>
    <row r="37" spans="1:18" x14ac:dyDescent="0.3">
      <c r="A37" s="123">
        <v>34</v>
      </c>
      <c r="B37" s="120">
        <v>1.75E-3</v>
      </c>
      <c r="C37" s="129">
        <v>8.0199999999999998E-4</v>
      </c>
      <c r="D37" s="120">
        <f t="shared" si="11"/>
        <v>1.575E-3</v>
      </c>
      <c r="E37" s="112">
        <f t="shared" si="12"/>
        <v>9674352</v>
      </c>
      <c r="F37" s="112">
        <f t="shared" si="13"/>
        <v>15237</v>
      </c>
      <c r="G37" s="112">
        <f t="shared" si="14"/>
        <v>7071.5569311609697</v>
      </c>
      <c r="H37" s="112">
        <f t="shared" si="15"/>
        <v>4540138.6722931676</v>
      </c>
      <c r="I37" s="112">
        <f>SUM(G37:G$113)</f>
        <v>1861202.9256784569</v>
      </c>
      <c r="J37" s="134">
        <f>SUM(H37:H$113)</f>
        <v>122678524.72902107</v>
      </c>
      <c r="K37" s="120">
        <f t="shared" si="16"/>
        <v>1.75E-3</v>
      </c>
      <c r="L37" s="112">
        <f t="shared" si="17"/>
        <v>9638798</v>
      </c>
      <c r="M37" s="112">
        <f t="shared" si="18"/>
        <v>16868</v>
      </c>
      <c r="N37" s="112">
        <f t="shared" si="19"/>
        <v>7828.5110136393805</v>
      </c>
      <c r="O37" s="112">
        <f t="shared" si="20"/>
        <v>4523453.3076966852</v>
      </c>
      <c r="P37" s="112">
        <f>SUM(N37:N$113)</f>
        <v>1900538.3887630783</v>
      </c>
      <c r="Q37" s="112">
        <f>SUM(O37:O$113)</f>
        <v>120152466.4729</v>
      </c>
      <c r="R37" s="113">
        <f t="shared" si="21"/>
        <v>1.7500107378534129E-3</v>
      </c>
    </row>
    <row r="38" spans="1:18" x14ac:dyDescent="0.3">
      <c r="A38" s="142">
        <v>35</v>
      </c>
      <c r="B38" s="143">
        <v>1.8860000000000001E-3</v>
      </c>
      <c r="C38" s="144">
        <v>8.6499999999999999E-4</v>
      </c>
      <c r="D38" s="143">
        <f t="shared" si="11"/>
        <v>1.6974000000000002E-3</v>
      </c>
      <c r="E38" s="145">
        <f t="shared" si="12"/>
        <v>9659115</v>
      </c>
      <c r="F38" s="145">
        <f t="shared" si="13"/>
        <v>16395</v>
      </c>
      <c r="G38" s="145">
        <f t="shared" si="14"/>
        <v>7441.5547077533793</v>
      </c>
      <c r="H38" s="145">
        <f t="shared" si="15"/>
        <v>4433240.1006150134</v>
      </c>
      <c r="I38" s="145">
        <f>SUM(G38:G$113)</f>
        <v>1854131.368747296</v>
      </c>
      <c r="J38" s="146">
        <f>SUM(H38:H$113)</f>
        <v>118138386.0567279</v>
      </c>
      <c r="K38" s="143">
        <f t="shared" si="16"/>
        <v>1.8860000000000001E-3</v>
      </c>
      <c r="L38" s="145">
        <f t="shared" si="17"/>
        <v>9621930</v>
      </c>
      <c r="M38" s="145">
        <f t="shared" si="18"/>
        <v>18147</v>
      </c>
      <c r="N38" s="145">
        <f t="shared" si="19"/>
        <v>8236.7729967429441</v>
      </c>
      <c r="O38" s="145">
        <f t="shared" si="20"/>
        <v>4416173.316221063</v>
      </c>
      <c r="P38" s="145">
        <f>SUM(N38:N$113)</f>
        <v>1892709.8777494386</v>
      </c>
      <c r="Q38" s="145">
        <f>SUM(O38:O$113)</f>
        <v>115629013.16520332</v>
      </c>
      <c r="R38" s="147">
        <f t="shared" si="21"/>
        <v>1.8860041592487161E-3</v>
      </c>
    </row>
    <row r="39" spans="1:18" x14ac:dyDescent="0.3">
      <c r="A39" s="123">
        <v>36</v>
      </c>
      <c r="B39" s="120">
        <v>2.0370000000000002E-3</v>
      </c>
      <c r="C39" s="129">
        <v>9.3099999999999997E-4</v>
      </c>
      <c r="D39" s="120">
        <f t="shared" si="11"/>
        <v>1.8333000000000002E-3</v>
      </c>
      <c r="E39" s="112">
        <f t="shared" si="12"/>
        <v>9642720</v>
      </c>
      <c r="F39" s="112">
        <f t="shared" si="13"/>
        <v>17678</v>
      </c>
      <c r="G39" s="112">
        <f t="shared" si="14"/>
        <v>7847.3327934027375</v>
      </c>
      <c r="H39" s="112">
        <f t="shared" si="15"/>
        <v>4328327.9159934279</v>
      </c>
      <c r="I39" s="112">
        <f>SUM(G39:G$113)</f>
        <v>1846689.8140395426</v>
      </c>
      <c r="J39" s="134">
        <f>SUM(H39:H$113)</f>
        <v>113705145.95611288</v>
      </c>
      <c r="K39" s="120">
        <f t="shared" si="16"/>
        <v>2.0370000000000002E-3</v>
      </c>
      <c r="L39" s="112">
        <f t="shared" si="17"/>
        <v>9603783</v>
      </c>
      <c r="M39" s="112">
        <f t="shared" si="18"/>
        <v>19563</v>
      </c>
      <c r="N39" s="112">
        <f t="shared" si="19"/>
        <v>8684.0916074973284</v>
      </c>
      <c r="O39" s="112">
        <f t="shared" si="20"/>
        <v>4310850.2640378559</v>
      </c>
      <c r="P39" s="112">
        <f>SUM(N39:N$113)</f>
        <v>1884473.1047526957</v>
      </c>
      <c r="Q39" s="112">
        <f>SUM(O39:O$113)</f>
        <v>111212839.84898226</v>
      </c>
      <c r="R39" s="113">
        <f t="shared" si="21"/>
        <v>2.0370097908293011E-3</v>
      </c>
    </row>
    <row r="40" spans="1:18" x14ac:dyDescent="0.3">
      <c r="A40" s="123">
        <v>37</v>
      </c>
      <c r="B40" s="120">
        <v>2.2009999999999998E-3</v>
      </c>
      <c r="C40" s="129">
        <v>1.0009999999999999E-3</v>
      </c>
      <c r="D40" s="120">
        <f t="shared" si="11"/>
        <v>1.9808999999999998E-3</v>
      </c>
      <c r="E40" s="112">
        <f t="shared" si="12"/>
        <v>9625042</v>
      </c>
      <c r="F40" s="112">
        <f t="shared" si="13"/>
        <v>19066</v>
      </c>
      <c r="G40" s="112">
        <f t="shared" si="14"/>
        <v>8277.2336225522322</v>
      </c>
      <c r="H40" s="112">
        <f t="shared" si="15"/>
        <v>4225323.0237514386</v>
      </c>
      <c r="I40" s="112">
        <f>SUM(G40:G$113)</f>
        <v>1838842.4812461399</v>
      </c>
      <c r="J40" s="134">
        <f>SUM(H40:H$113)</f>
        <v>109376818.04011944</v>
      </c>
      <c r="K40" s="120">
        <f t="shared" si="16"/>
        <v>2.2009999999999998E-3</v>
      </c>
      <c r="L40" s="112">
        <f t="shared" si="17"/>
        <v>9584220</v>
      </c>
      <c r="M40" s="112">
        <f t="shared" si="18"/>
        <v>21095</v>
      </c>
      <c r="N40" s="112">
        <f t="shared" si="19"/>
        <v>9158.0952096789752</v>
      </c>
      <c r="O40" s="112">
        <f t="shared" si="20"/>
        <v>4207402.4643943384</v>
      </c>
      <c r="P40" s="112">
        <f>SUM(N40:N$113)</f>
        <v>1875789.0131451983</v>
      </c>
      <c r="Q40" s="112">
        <f>SUM(O40:O$113)</f>
        <v>106901989.5849444</v>
      </c>
      <c r="R40" s="113">
        <f t="shared" si="21"/>
        <v>2.201013749684377E-3</v>
      </c>
    </row>
    <row r="41" spans="1:18" x14ac:dyDescent="0.3">
      <c r="A41" s="123">
        <v>38</v>
      </c>
      <c r="B41" s="120">
        <v>2.3739999999999998E-3</v>
      </c>
      <c r="C41" s="129">
        <v>1.0740000000000001E-3</v>
      </c>
      <c r="D41" s="120">
        <f t="shared" si="11"/>
        <v>2.1365999999999998E-3</v>
      </c>
      <c r="E41" s="112">
        <f t="shared" si="12"/>
        <v>9605976</v>
      </c>
      <c r="F41" s="112">
        <f t="shared" si="13"/>
        <v>20524</v>
      </c>
      <c r="G41" s="112">
        <f t="shared" si="14"/>
        <v>8714.1356030416027</v>
      </c>
      <c r="H41" s="112">
        <f t="shared" si="15"/>
        <v>4124159.5982721043</v>
      </c>
      <c r="I41" s="112">
        <f>SUM(G41:G$113)</f>
        <v>1830565.2476235877</v>
      </c>
      <c r="J41" s="134">
        <f>SUM(H41:H$113)</f>
        <v>105151495.016368</v>
      </c>
      <c r="K41" s="120">
        <f t="shared" si="16"/>
        <v>2.3739999999999998E-3</v>
      </c>
      <c r="L41" s="112">
        <f t="shared" si="17"/>
        <v>9563125</v>
      </c>
      <c r="M41" s="112">
        <f t="shared" si="18"/>
        <v>22703</v>
      </c>
      <c r="N41" s="112">
        <f t="shared" si="19"/>
        <v>9639.3013348203822</v>
      </c>
      <c r="O41" s="112">
        <f t="shared" si="20"/>
        <v>4105762.2628066028</v>
      </c>
      <c r="P41" s="112">
        <f>SUM(N41:N$113)</f>
        <v>1866630.9179355195</v>
      </c>
      <c r="Q41" s="112">
        <f>SUM(O41:O$113)</f>
        <v>102694587.12055007</v>
      </c>
      <c r="R41" s="113">
        <f t="shared" si="21"/>
        <v>2.3740147702764527E-3</v>
      </c>
    </row>
    <row r="42" spans="1:18" x14ac:dyDescent="0.3">
      <c r="A42" s="123">
        <v>39</v>
      </c>
      <c r="B42" s="120">
        <v>2.5600000000000002E-3</v>
      </c>
      <c r="C42" s="129">
        <v>1.1529999999999999E-3</v>
      </c>
      <c r="D42" s="120">
        <f t="shared" si="11"/>
        <v>2.3040000000000001E-3</v>
      </c>
      <c r="E42" s="112">
        <f t="shared" si="12"/>
        <v>9585452</v>
      </c>
      <c r="F42" s="112">
        <f t="shared" si="13"/>
        <v>22085</v>
      </c>
      <c r="G42" s="112">
        <f t="shared" si="14"/>
        <v>9170.5713624873697</v>
      </c>
      <c r="H42" s="112">
        <f t="shared" si="15"/>
        <v>4024790.1945888461</v>
      </c>
      <c r="I42" s="112">
        <f>SUM(G42:G$113)</f>
        <v>1821851.1120205461</v>
      </c>
      <c r="J42" s="134">
        <f>SUM(H42:H$113)</f>
        <v>101027335.41809592</v>
      </c>
      <c r="K42" s="120">
        <f t="shared" si="16"/>
        <v>2.5600000000000002E-3</v>
      </c>
      <c r="L42" s="112">
        <f t="shared" si="17"/>
        <v>9540422</v>
      </c>
      <c r="M42" s="112">
        <f t="shared" si="18"/>
        <v>24423</v>
      </c>
      <c r="N42" s="112">
        <f t="shared" si="19"/>
        <v>10141.40205506131</v>
      </c>
      <c r="O42" s="112">
        <f t="shared" si="20"/>
        <v>4005882.7604415221</v>
      </c>
      <c r="P42" s="112">
        <f>SUM(N42:N$113)</f>
        <v>1856991.616600699</v>
      </c>
      <c r="Q42" s="112">
        <f>SUM(O42:O$113)</f>
        <v>98588824.857743457</v>
      </c>
      <c r="R42" s="113">
        <f t="shared" si="21"/>
        <v>2.5599496542186499E-3</v>
      </c>
    </row>
    <row r="43" spans="1:18" x14ac:dyDescent="0.3">
      <c r="A43" s="142">
        <v>40</v>
      </c>
      <c r="B43" s="143">
        <v>2.761E-3</v>
      </c>
      <c r="C43" s="144">
        <v>1.24E-3</v>
      </c>
      <c r="D43" s="143">
        <f t="shared" si="11"/>
        <v>2.4849E-3</v>
      </c>
      <c r="E43" s="145">
        <f t="shared" si="12"/>
        <v>9563367</v>
      </c>
      <c r="F43" s="145">
        <f t="shared" si="13"/>
        <v>23764</v>
      </c>
      <c r="G43" s="145">
        <f t="shared" si="14"/>
        <v>9650.6200640955394</v>
      </c>
      <c r="H43" s="145">
        <f t="shared" si="15"/>
        <v>3927156.0177853093</v>
      </c>
      <c r="I43" s="145">
        <f>SUM(G43:G$113)</f>
        <v>1812680.5406580586</v>
      </c>
      <c r="J43" s="146">
        <f>SUM(H43:H$113)</f>
        <v>97002545.223507077</v>
      </c>
      <c r="K43" s="143">
        <f t="shared" si="16"/>
        <v>2.761E-3</v>
      </c>
      <c r="L43" s="145">
        <f t="shared" si="17"/>
        <v>9515999</v>
      </c>
      <c r="M43" s="145">
        <f t="shared" si="18"/>
        <v>26274</v>
      </c>
      <c r="N43" s="145">
        <f t="shared" si="19"/>
        <v>10669.937365933605</v>
      </c>
      <c r="O43" s="145">
        <f t="shared" si="20"/>
        <v>3907704.5498817507</v>
      </c>
      <c r="P43" s="145">
        <f>SUM(N43:N$113)</f>
        <v>1846850.2145456376</v>
      </c>
      <c r="Q43" s="145">
        <f>SUM(O43:O$113)</f>
        <v>94582942.097301945</v>
      </c>
      <c r="R43" s="147">
        <f t="shared" si="21"/>
        <v>2.7610343380658196E-3</v>
      </c>
    </row>
    <row r="44" spans="1:18" x14ac:dyDescent="0.3">
      <c r="A44" s="123">
        <v>41</v>
      </c>
      <c r="B44" s="120">
        <v>2.98E-3</v>
      </c>
      <c r="C44" s="129">
        <v>1.3359999999999999E-3</v>
      </c>
      <c r="D44" s="120">
        <f t="shared" si="11"/>
        <v>2.6819999999999999E-3</v>
      </c>
      <c r="E44" s="112">
        <f t="shared" si="12"/>
        <v>9539603</v>
      </c>
      <c r="F44" s="112">
        <f t="shared" si="13"/>
        <v>25585</v>
      </c>
      <c r="G44" s="112">
        <f t="shared" si="14"/>
        <v>10161.499008377999</v>
      </c>
      <c r="H44" s="112">
        <f t="shared" si="15"/>
        <v>3831195.5326880203</v>
      </c>
      <c r="I44" s="112">
        <f>SUM(G44:G$113)</f>
        <v>1803029.920593963</v>
      </c>
      <c r="J44" s="134">
        <f>SUM(H44:H$113)</f>
        <v>93075389.205721766</v>
      </c>
      <c r="K44" s="120">
        <f t="shared" si="16"/>
        <v>2.98E-3</v>
      </c>
      <c r="L44" s="112">
        <f t="shared" si="17"/>
        <v>9489725</v>
      </c>
      <c r="M44" s="112">
        <f t="shared" si="18"/>
        <v>28279</v>
      </c>
      <c r="N44" s="112">
        <f t="shared" si="19"/>
        <v>11231.464938750105</v>
      </c>
      <c r="O44" s="112">
        <f t="shared" si="20"/>
        <v>3811164.0522606466</v>
      </c>
      <c r="P44" s="112">
        <f>SUM(N44:N$113)</f>
        <v>1836180.277179704</v>
      </c>
      <c r="Q44" s="112">
        <f>SUM(O44:O$113)</f>
        <v>90675237.547420189</v>
      </c>
      <c r="R44" s="113">
        <f t="shared" si="21"/>
        <v>2.9799599040014331E-3</v>
      </c>
    </row>
    <row r="45" spans="1:18" x14ac:dyDescent="0.3">
      <c r="A45" s="123">
        <v>42</v>
      </c>
      <c r="B45" s="120">
        <v>3.2200000000000002E-3</v>
      </c>
      <c r="C45" s="129">
        <v>1.4450000000000001E-3</v>
      </c>
      <c r="D45" s="120">
        <f t="shared" si="11"/>
        <v>2.8980000000000004E-3</v>
      </c>
      <c r="E45" s="112">
        <f t="shared" si="12"/>
        <v>9514018</v>
      </c>
      <c r="F45" s="112">
        <f t="shared" si="13"/>
        <v>27572</v>
      </c>
      <c r="G45" s="112">
        <f t="shared" si="14"/>
        <v>10709.700133129205</v>
      </c>
      <c r="H45" s="112">
        <f t="shared" si="15"/>
        <v>3736841.4207473812</v>
      </c>
      <c r="I45" s="112">
        <f>SUM(G45:G$113)</f>
        <v>1792868.4215855852</v>
      </c>
      <c r="J45" s="134">
        <f>SUM(H45:H$113)</f>
        <v>89244193.673033744</v>
      </c>
      <c r="K45" s="120">
        <f t="shared" si="16"/>
        <v>3.2200000000000002E-3</v>
      </c>
      <c r="L45" s="112">
        <f t="shared" si="17"/>
        <v>9461446</v>
      </c>
      <c r="M45" s="112">
        <f t="shared" si="18"/>
        <v>30466</v>
      </c>
      <c r="N45" s="112">
        <f t="shared" si="19"/>
        <v>11833.806914838038</v>
      </c>
      <c r="O45" s="112">
        <f t="shared" si="20"/>
        <v>3716192.6026379843</v>
      </c>
      <c r="P45" s="112">
        <f>SUM(N45:N$113)</f>
        <v>1824948.8122409538</v>
      </c>
      <c r="Q45" s="112">
        <f>SUM(O45:O$113)</f>
        <v>86864073.495159537</v>
      </c>
      <c r="R45" s="113">
        <f t="shared" si="21"/>
        <v>3.2200152069778764E-3</v>
      </c>
    </row>
    <row r="46" spans="1:18" x14ac:dyDescent="0.3">
      <c r="A46" s="123">
        <v>43</v>
      </c>
      <c r="B46" s="120">
        <v>3.4840000000000001E-3</v>
      </c>
      <c r="C46" s="129">
        <v>1.567E-3</v>
      </c>
      <c r="D46" s="120">
        <f t="shared" si="11"/>
        <v>3.1356000000000001E-3</v>
      </c>
      <c r="E46" s="112">
        <f t="shared" si="12"/>
        <v>9486446</v>
      </c>
      <c r="F46" s="112">
        <f t="shared" si="13"/>
        <v>29746</v>
      </c>
      <c r="G46" s="112">
        <f t="shared" si="14"/>
        <v>11299.892139612997</v>
      </c>
      <c r="H46" s="112">
        <f t="shared" si="15"/>
        <v>3644021.424637787</v>
      </c>
      <c r="I46" s="112">
        <f>SUM(G46:G$113)</f>
        <v>1782158.721452456</v>
      </c>
      <c r="J46" s="134">
        <f>SUM(H46:H$113)</f>
        <v>85507352.252286375</v>
      </c>
      <c r="K46" s="120">
        <f t="shared" si="16"/>
        <v>3.4840000000000001E-3</v>
      </c>
      <c r="L46" s="112">
        <f t="shared" si="17"/>
        <v>9430980</v>
      </c>
      <c r="M46" s="112">
        <f t="shared" si="18"/>
        <v>32858</v>
      </c>
      <c r="N46" s="112">
        <f t="shared" si="19"/>
        <v>12482.07678085806</v>
      </c>
      <c r="O46" s="112">
        <f t="shared" si="20"/>
        <v>3622715.3114380743</v>
      </c>
      <c r="P46" s="112">
        <f>SUM(N46:N$113)</f>
        <v>1813115.0053261158</v>
      </c>
      <c r="Q46" s="112">
        <f>SUM(O46:O$113)</f>
        <v>83147880.89252156</v>
      </c>
      <c r="R46" s="113">
        <f t="shared" si="21"/>
        <v>3.4840493776892752E-3</v>
      </c>
    </row>
    <row r="47" spans="1:18" x14ac:dyDescent="0.3">
      <c r="A47" s="123">
        <v>44</v>
      </c>
      <c r="B47" s="120">
        <v>3.771E-3</v>
      </c>
      <c r="C47" s="129">
        <v>1.707E-3</v>
      </c>
      <c r="D47" s="120">
        <f t="shared" si="11"/>
        <v>3.3939E-3</v>
      </c>
      <c r="E47" s="112">
        <f t="shared" si="12"/>
        <v>9456700</v>
      </c>
      <c r="F47" s="112">
        <f t="shared" si="13"/>
        <v>32095</v>
      </c>
      <c r="G47" s="112">
        <f t="shared" si="14"/>
        <v>11923.940157748948</v>
      </c>
      <c r="H47" s="112">
        <f t="shared" si="15"/>
        <v>3552660.2599997311</v>
      </c>
      <c r="I47" s="112">
        <f>SUM(G47:G$113)</f>
        <v>1770858.8293128428</v>
      </c>
      <c r="J47" s="134">
        <f>SUM(H47:H$113)</f>
        <v>81863330.827648565</v>
      </c>
      <c r="K47" s="120">
        <f t="shared" si="16"/>
        <v>3.771E-3</v>
      </c>
      <c r="L47" s="112">
        <f t="shared" si="17"/>
        <v>9398122</v>
      </c>
      <c r="M47" s="112">
        <f t="shared" si="18"/>
        <v>35440</v>
      </c>
      <c r="N47" s="112">
        <f t="shared" si="19"/>
        <v>13166.675157832145</v>
      </c>
      <c r="O47" s="112">
        <f t="shared" si="20"/>
        <v>3530653.8801092547</v>
      </c>
      <c r="P47" s="112">
        <f>SUM(N47:N$113)</f>
        <v>1800632.9285452578</v>
      </c>
      <c r="Q47" s="112">
        <f>SUM(O47:O$113)</f>
        <v>79525165.581083491</v>
      </c>
      <c r="R47" s="113">
        <f t="shared" si="21"/>
        <v>3.7709661568555929E-3</v>
      </c>
    </row>
    <row r="48" spans="1:18" x14ac:dyDescent="0.3">
      <c r="A48" s="142">
        <v>45</v>
      </c>
      <c r="B48" s="143">
        <v>4.084E-3</v>
      </c>
      <c r="C48" s="144">
        <v>1.867E-3</v>
      </c>
      <c r="D48" s="143">
        <f t="shared" si="11"/>
        <v>3.6756000000000002E-3</v>
      </c>
      <c r="E48" s="145">
        <f t="shared" si="12"/>
        <v>9424605</v>
      </c>
      <c r="F48" s="145">
        <f t="shared" si="13"/>
        <v>34641</v>
      </c>
      <c r="G48" s="145">
        <f t="shared" si="14"/>
        <v>12586.631329578375</v>
      </c>
      <c r="H48" s="145">
        <f t="shared" si="15"/>
        <v>3462692.3439665036</v>
      </c>
      <c r="I48" s="145">
        <f>SUM(G48:G$113)</f>
        <v>1758934.889155094</v>
      </c>
      <c r="J48" s="146">
        <f>SUM(H48:H$113)</f>
        <v>78310670.567648843</v>
      </c>
      <c r="K48" s="143">
        <f t="shared" si="16"/>
        <v>4.084E-3</v>
      </c>
      <c r="L48" s="145">
        <f t="shared" si="17"/>
        <v>9362682</v>
      </c>
      <c r="M48" s="145">
        <f t="shared" si="18"/>
        <v>38237</v>
      </c>
      <c r="N48" s="145">
        <f t="shared" si="19"/>
        <v>13893.219657316136</v>
      </c>
      <c r="O48" s="145">
        <f t="shared" si="20"/>
        <v>3439941.2262257137</v>
      </c>
      <c r="P48" s="145">
        <f>SUM(N48:N$113)</f>
        <v>1787466.2533874258</v>
      </c>
      <c r="Q48" s="145">
        <f>SUM(O48:O$113)</f>
        <v>75994511.700974241</v>
      </c>
      <c r="R48" s="147">
        <f t="shared" si="21"/>
        <v>4.0839793554880962E-3</v>
      </c>
    </row>
    <row r="49" spans="1:18" x14ac:dyDescent="0.3">
      <c r="A49" s="123">
        <v>46</v>
      </c>
      <c r="B49" s="120">
        <v>4.4209999999999996E-3</v>
      </c>
      <c r="C49" s="129">
        <v>2.049E-3</v>
      </c>
      <c r="D49" s="120">
        <f t="shared" si="11"/>
        <v>3.9788999999999996E-3</v>
      </c>
      <c r="E49" s="112">
        <f t="shared" si="12"/>
        <v>9389964</v>
      </c>
      <c r="F49" s="112">
        <f t="shared" si="13"/>
        <v>37362</v>
      </c>
      <c r="G49" s="112">
        <f t="shared" si="14"/>
        <v>13276.57002780549</v>
      </c>
      <c r="H49" s="112">
        <f t="shared" si="15"/>
        <v>3374048.8026363701</v>
      </c>
      <c r="I49" s="112">
        <f>SUM(G49:G$113)</f>
        <v>1746348.2578255155</v>
      </c>
      <c r="J49" s="134">
        <f>SUM(H49:H$113)</f>
        <v>74847978.223682359</v>
      </c>
      <c r="K49" s="120">
        <f t="shared" si="16"/>
        <v>4.4209999999999996E-3</v>
      </c>
      <c r="L49" s="112">
        <f t="shared" si="17"/>
        <v>9324445</v>
      </c>
      <c r="M49" s="112">
        <f t="shared" si="18"/>
        <v>41223</v>
      </c>
      <c r="N49" s="112">
        <f t="shared" si="19"/>
        <v>14648.574654896036</v>
      </c>
      <c r="O49" s="112">
        <f t="shared" si="20"/>
        <v>3350506.1880427534</v>
      </c>
      <c r="P49" s="112">
        <f>SUM(N49:N$113)</f>
        <v>1773573.0337301095</v>
      </c>
      <c r="Q49" s="112">
        <f>SUM(O49:O$113)</f>
        <v>72554570.474748507</v>
      </c>
      <c r="R49" s="113">
        <f t="shared" si="21"/>
        <v>4.4209601751096176E-3</v>
      </c>
    </row>
    <row r="50" spans="1:18" x14ac:dyDescent="0.3">
      <c r="A50" s="123">
        <v>47</v>
      </c>
      <c r="B50" s="120">
        <v>4.7840000000000001E-3</v>
      </c>
      <c r="C50" s="129">
        <v>2.2569999999999999E-3</v>
      </c>
      <c r="D50" s="120">
        <f t="shared" si="11"/>
        <v>4.3056000000000006E-3</v>
      </c>
      <c r="E50" s="112">
        <f t="shared" si="12"/>
        <v>9352602</v>
      </c>
      <c r="F50" s="112">
        <f t="shared" si="13"/>
        <v>40269</v>
      </c>
      <c r="G50" s="112">
        <f t="shared" si="14"/>
        <v>13994.690641176792</v>
      </c>
      <c r="H50" s="112">
        <f t="shared" si="15"/>
        <v>3286673.5472203218</v>
      </c>
      <c r="I50" s="112">
        <f>SUM(G50:G$113)</f>
        <v>1733071.6877977101</v>
      </c>
      <c r="J50" s="134">
        <f>SUM(H50:H$113)</f>
        <v>71473929.421045974</v>
      </c>
      <c r="K50" s="120">
        <f t="shared" si="16"/>
        <v>4.7840000000000001E-3</v>
      </c>
      <c r="L50" s="112">
        <f t="shared" si="17"/>
        <v>9283222</v>
      </c>
      <c r="M50" s="112">
        <f t="shared" si="18"/>
        <v>44411</v>
      </c>
      <c r="N50" s="112">
        <f t="shared" si="19"/>
        <v>15434.160422789304</v>
      </c>
      <c r="O50" s="112">
        <f t="shared" si="20"/>
        <v>3262292.1600185414</v>
      </c>
      <c r="P50" s="112">
        <f>SUM(N50:N$113)</f>
        <v>1758924.4590752134</v>
      </c>
      <c r="Q50" s="112">
        <f>SUM(O50:O$113)</f>
        <v>69204064.286705762</v>
      </c>
      <c r="R50" s="113">
        <f t="shared" si="21"/>
        <v>4.7840071044299055E-3</v>
      </c>
    </row>
    <row r="51" spans="1:18" x14ac:dyDescent="0.3">
      <c r="A51" s="123">
        <v>48</v>
      </c>
      <c r="B51" s="120">
        <v>5.1749999999999999E-3</v>
      </c>
      <c r="C51" s="129">
        <v>2.4910000000000002E-3</v>
      </c>
      <c r="D51" s="120">
        <f t="shared" si="11"/>
        <v>4.6575000000000002E-3</v>
      </c>
      <c r="E51" s="112">
        <f t="shared" si="12"/>
        <v>9312333</v>
      </c>
      <c r="F51" s="112">
        <f t="shared" si="13"/>
        <v>43372</v>
      </c>
      <c r="G51" s="112">
        <f t="shared" si="14"/>
        <v>14741.395229286465</v>
      </c>
      <c r="H51" s="112">
        <f t="shared" si="15"/>
        <v>3200510.7991059828</v>
      </c>
      <c r="I51" s="112">
        <f>SUM(G51:G$113)</f>
        <v>1719076.9971565332</v>
      </c>
      <c r="J51" s="134">
        <f>SUM(H51:H$113)</f>
        <v>68187255.873825669</v>
      </c>
      <c r="K51" s="120">
        <f t="shared" si="16"/>
        <v>5.1749999999999999E-3</v>
      </c>
      <c r="L51" s="112">
        <f t="shared" si="17"/>
        <v>9238811</v>
      </c>
      <c r="M51" s="112">
        <f t="shared" si="18"/>
        <v>47811</v>
      </c>
      <c r="N51" s="112">
        <f t="shared" si="19"/>
        <v>16250.134817564676</v>
      </c>
      <c r="O51" s="112">
        <f t="shared" si="20"/>
        <v>3175242.3776511368</v>
      </c>
      <c r="P51" s="112">
        <f>SUM(N51:N$113)</f>
        <v>1743490.2986524242</v>
      </c>
      <c r="Q51" s="112">
        <f>SUM(O51:O$113)</f>
        <v>65941772.126687266</v>
      </c>
      <c r="R51" s="113">
        <f t="shared" si="21"/>
        <v>5.175016568690495E-3</v>
      </c>
    </row>
    <row r="52" spans="1:18" x14ac:dyDescent="0.3">
      <c r="A52" s="123">
        <v>49</v>
      </c>
      <c r="B52" s="120">
        <v>5.5970000000000004E-3</v>
      </c>
      <c r="C52" s="129">
        <v>2.7469999999999999E-3</v>
      </c>
      <c r="D52" s="120">
        <f t="shared" si="11"/>
        <v>5.0373000000000006E-3</v>
      </c>
      <c r="E52" s="112">
        <f t="shared" si="12"/>
        <v>9268961</v>
      </c>
      <c r="F52" s="112">
        <f t="shared" si="13"/>
        <v>46691</v>
      </c>
      <c r="G52" s="112">
        <f t="shared" si="14"/>
        <v>15520.260266177709</v>
      </c>
      <c r="H52" s="112">
        <f t="shared" si="15"/>
        <v>3115505.6094718548</v>
      </c>
      <c r="I52" s="112">
        <f>SUM(G52:G$113)</f>
        <v>1704335.6019272469</v>
      </c>
      <c r="J52" s="134">
        <f>SUM(H52:H$113)</f>
        <v>64986745.074719682</v>
      </c>
      <c r="K52" s="120">
        <f t="shared" si="16"/>
        <v>5.5970000000000004E-3</v>
      </c>
      <c r="L52" s="112">
        <f t="shared" si="17"/>
        <v>9191000</v>
      </c>
      <c r="M52" s="112">
        <f t="shared" si="18"/>
        <v>51442</v>
      </c>
      <c r="N52" s="112">
        <f t="shared" si="19"/>
        <v>17099.510154263429</v>
      </c>
      <c r="O52" s="112">
        <f t="shared" si="20"/>
        <v>3089301.1694251187</v>
      </c>
      <c r="P52" s="112">
        <f>SUM(N52:N$113)</f>
        <v>1727240.1638348594</v>
      </c>
      <c r="Q52" s="112">
        <f>SUM(O52:O$113)</f>
        <v>62766529.749036126</v>
      </c>
      <c r="R52" s="113">
        <f t="shared" si="21"/>
        <v>5.5969970623435967E-3</v>
      </c>
    </row>
    <row r="53" spans="1:18" x14ac:dyDescent="0.3">
      <c r="A53" s="142">
        <v>50</v>
      </c>
      <c r="B53" s="143">
        <v>6.0559999999999998E-3</v>
      </c>
      <c r="C53" s="144">
        <v>3.0170000000000002E-3</v>
      </c>
      <c r="D53" s="143">
        <f t="shared" si="11"/>
        <v>5.4504000000000002E-3</v>
      </c>
      <c r="E53" s="145">
        <f t="shared" si="12"/>
        <v>9222270</v>
      </c>
      <c r="F53" s="145">
        <f t="shared" si="13"/>
        <v>50265</v>
      </c>
      <c r="G53" s="145">
        <f t="shared" si="14"/>
        <v>16340.607356295324</v>
      </c>
      <c r="H53" s="145">
        <f t="shared" si="15"/>
        <v>3031600.7017340176</v>
      </c>
      <c r="I53" s="145">
        <f>SUM(G53:G$113)</f>
        <v>1688815.3416610691</v>
      </c>
      <c r="J53" s="146">
        <f>SUM(H53:H$113)</f>
        <v>61871239.46524781</v>
      </c>
      <c r="K53" s="143">
        <f t="shared" si="16"/>
        <v>6.0559999999999998E-3</v>
      </c>
      <c r="L53" s="145">
        <f t="shared" si="17"/>
        <v>9139558</v>
      </c>
      <c r="M53" s="145">
        <f t="shared" si="18"/>
        <v>55349</v>
      </c>
      <c r="N53" s="145">
        <f t="shared" si="19"/>
        <v>17993.360719458666</v>
      </c>
      <c r="O53" s="145">
        <f t="shared" si="20"/>
        <v>3004411.1098827897</v>
      </c>
      <c r="P53" s="145">
        <f>SUM(N53:N$113)</f>
        <v>1710140.653680596</v>
      </c>
      <c r="Q53" s="145">
        <f>SUM(O53:O$113)</f>
        <v>59677228.579610996</v>
      </c>
      <c r="R53" s="147">
        <f t="shared" si="21"/>
        <v>6.0559821383047189E-3</v>
      </c>
    </row>
    <row r="54" spans="1:18" x14ac:dyDescent="0.3">
      <c r="A54" s="123">
        <v>51</v>
      </c>
      <c r="B54" s="120">
        <v>6.5579999999999996E-3</v>
      </c>
      <c r="C54" s="129">
        <v>3.2940000000000001E-3</v>
      </c>
      <c r="D54" s="120">
        <f t="shared" si="11"/>
        <v>5.9021999999999998E-3</v>
      </c>
      <c r="E54" s="112">
        <f t="shared" si="12"/>
        <v>9172005</v>
      </c>
      <c r="F54" s="112">
        <f t="shared" si="13"/>
        <v>54135</v>
      </c>
      <c r="G54" s="112">
        <f t="shared" si="14"/>
        <v>17211.444950234123</v>
      </c>
      <c r="H54" s="112">
        <f t="shared" si="15"/>
        <v>2948730.8411999722</v>
      </c>
      <c r="I54" s="112">
        <f>SUM(G54:G$113)</f>
        <v>1672474.7343047736</v>
      </c>
      <c r="J54" s="134">
        <f>SUM(H54:H$113)</f>
        <v>58839638.763513789</v>
      </c>
      <c r="K54" s="120">
        <f t="shared" si="16"/>
        <v>6.5579999999999996E-3</v>
      </c>
      <c r="L54" s="112">
        <f t="shared" si="17"/>
        <v>9084209</v>
      </c>
      <c r="M54" s="112">
        <f t="shared" si="18"/>
        <v>59574</v>
      </c>
      <c r="N54" s="112">
        <f t="shared" si="19"/>
        <v>18940.696803643626</v>
      </c>
      <c r="O54" s="112">
        <f t="shared" si="20"/>
        <v>2920505.085442753</v>
      </c>
      <c r="P54" s="112">
        <f>SUM(N54:N$113)</f>
        <v>1692147.2929611374</v>
      </c>
      <c r="Q54" s="112">
        <f>SUM(O54:O$113)</f>
        <v>56672817.469728209</v>
      </c>
      <c r="R54" s="113">
        <f t="shared" si="21"/>
        <v>6.5579732918958598E-3</v>
      </c>
    </row>
    <row r="55" spans="1:18" x14ac:dyDescent="0.3">
      <c r="A55" s="123">
        <v>52</v>
      </c>
      <c r="B55" s="120">
        <v>7.1079999999999997E-3</v>
      </c>
      <c r="C55" s="129">
        <v>3.5720000000000001E-3</v>
      </c>
      <c r="D55" s="120">
        <f t="shared" si="11"/>
        <v>6.3971999999999996E-3</v>
      </c>
      <c r="E55" s="112">
        <f t="shared" si="12"/>
        <v>9117870</v>
      </c>
      <c r="F55" s="112">
        <f t="shared" si="13"/>
        <v>58329</v>
      </c>
      <c r="G55" s="112">
        <f t="shared" si="14"/>
        <v>18136.789196116042</v>
      </c>
      <c r="H55" s="112">
        <f t="shared" si="15"/>
        <v>2866823.3198751775</v>
      </c>
      <c r="I55" s="112">
        <f>SUM(G55:G$113)</f>
        <v>1655263.2893545397</v>
      </c>
      <c r="J55" s="134">
        <f>SUM(H55:H$113)</f>
        <v>55890907.922313817</v>
      </c>
      <c r="K55" s="120">
        <f t="shared" si="16"/>
        <v>7.1079999999999997E-3</v>
      </c>
      <c r="L55" s="112">
        <f t="shared" si="17"/>
        <v>9024635</v>
      </c>
      <c r="M55" s="112">
        <f t="shared" si="18"/>
        <v>64147</v>
      </c>
      <c r="N55" s="112">
        <f t="shared" si="19"/>
        <v>19945.83511740739</v>
      </c>
      <c r="O55" s="112">
        <f t="shared" si="20"/>
        <v>2837508.5487467712</v>
      </c>
      <c r="P55" s="112">
        <f>SUM(N55:N$113)</f>
        <v>1673206.5961574938</v>
      </c>
      <c r="Q55" s="112">
        <f>SUM(O55:O$113)</f>
        <v>53752312.384285457</v>
      </c>
      <c r="R55" s="113">
        <f t="shared" si="21"/>
        <v>7.1079883009118926E-3</v>
      </c>
    </row>
    <row r="56" spans="1:18" x14ac:dyDescent="0.3">
      <c r="A56" s="123">
        <v>53</v>
      </c>
      <c r="B56" s="120">
        <v>7.7130000000000002E-3</v>
      </c>
      <c r="C56" s="129">
        <v>3.8479999999999999E-3</v>
      </c>
      <c r="D56" s="120">
        <f t="shared" si="11"/>
        <v>6.9417000000000003E-3</v>
      </c>
      <c r="E56" s="112">
        <f t="shared" si="12"/>
        <v>9059541</v>
      </c>
      <c r="F56" s="112">
        <f t="shared" si="13"/>
        <v>62889</v>
      </c>
      <c r="G56" s="112">
        <f t="shared" si="14"/>
        <v>19124.374812522925</v>
      </c>
      <c r="H56" s="112">
        <f t="shared" si="15"/>
        <v>2785803.0579816345</v>
      </c>
      <c r="I56" s="112">
        <f>SUM(G56:G$113)</f>
        <v>1637126.5001584236</v>
      </c>
      <c r="J56" s="134">
        <f>SUM(H56:H$113)</f>
        <v>53024084.602438644</v>
      </c>
      <c r="K56" s="120">
        <f t="shared" si="16"/>
        <v>7.7130000000000002E-3</v>
      </c>
      <c r="L56" s="112">
        <f t="shared" si="17"/>
        <v>8960488</v>
      </c>
      <c r="M56" s="112">
        <f t="shared" si="18"/>
        <v>69112</v>
      </c>
      <c r="N56" s="112">
        <f t="shared" si="19"/>
        <v>21016.772282006146</v>
      </c>
      <c r="O56" s="112">
        <f t="shared" si="20"/>
        <v>2755344.3238909938</v>
      </c>
      <c r="P56" s="112">
        <f>SUM(N56:N$113)</f>
        <v>1653260.7610400864</v>
      </c>
      <c r="Q56" s="112">
        <f>SUM(O56:O$113)</f>
        <v>50914803.835538693</v>
      </c>
      <c r="R56" s="113">
        <f t="shared" si="21"/>
        <v>7.7129727755899007E-3</v>
      </c>
    </row>
    <row r="57" spans="1:18" x14ac:dyDescent="0.3">
      <c r="A57" s="123">
        <v>54</v>
      </c>
      <c r="B57" s="120">
        <v>8.3800000000000003E-3</v>
      </c>
      <c r="C57" s="129">
        <v>4.1399999999999996E-3</v>
      </c>
      <c r="D57" s="120">
        <f t="shared" si="11"/>
        <v>7.5420000000000001E-3</v>
      </c>
      <c r="E57" s="112">
        <f t="shared" si="12"/>
        <v>8996652</v>
      </c>
      <c r="F57" s="112">
        <f t="shared" si="13"/>
        <v>67853</v>
      </c>
      <c r="G57" s="112">
        <f t="shared" si="14"/>
        <v>20179.86678440612</v>
      </c>
      <c r="H57" s="112">
        <f t="shared" si="15"/>
        <v>2705588.9787192154</v>
      </c>
      <c r="I57" s="112">
        <f>SUM(G57:G$113)</f>
        <v>1618002.1253459007</v>
      </c>
      <c r="J57" s="134">
        <f>SUM(H57:H$113)</f>
        <v>50238281.544457003</v>
      </c>
      <c r="K57" s="120">
        <f t="shared" si="16"/>
        <v>8.3800000000000003E-3</v>
      </c>
      <c r="L57" s="112">
        <f t="shared" si="17"/>
        <v>8891376</v>
      </c>
      <c r="M57" s="112">
        <f t="shared" si="18"/>
        <v>74510</v>
      </c>
      <c r="N57" s="112">
        <f t="shared" si="19"/>
        <v>22159.69631565443</v>
      </c>
      <c r="O57" s="112">
        <f t="shared" si="20"/>
        <v>2673929.0250693858</v>
      </c>
      <c r="P57" s="112">
        <f>SUM(N57:N$113)</f>
        <v>1632243.9887580802</v>
      </c>
      <c r="Q57" s="112">
        <f>SUM(O57:O$113)</f>
        <v>48159459.511647694</v>
      </c>
      <c r="R57" s="113">
        <f t="shared" si="21"/>
        <v>8.3800302675311449E-3</v>
      </c>
    </row>
    <row r="58" spans="1:18" x14ac:dyDescent="0.3">
      <c r="A58" s="142">
        <v>55</v>
      </c>
      <c r="B58" s="143">
        <v>9.1179999999999994E-3</v>
      </c>
      <c r="C58" s="144">
        <v>4.4689999999999999E-3</v>
      </c>
      <c r="D58" s="143">
        <f t="shared" si="11"/>
        <v>8.2062000000000003E-3</v>
      </c>
      <c r="E58" s="145">
        <f t="shared" si="12"/>
        <v>8928799</v>
      </c>
      <c r="F58" s="145">
        <f t="shared" si="13"/>
        <v>73272</v>
      </c>
      <c r="G58" s="145">
        <f t="shared" si="14"/>
        <v>21311.988360672043</v>
      </c>
      <c r="H58" s="145">
        <f t="shared" si="15"/>
        <v>2626096.1870642998</v>
      </c>
      <c r="I58" s="145">
        <f>SUM(G58:G$113)</f>
        <v>1597822.2585614945</v>
      </c>
      <c r="J58" s="146">
        <f>SUM(H58:H$113)</f>
        <v>47532692.565737791</v>
      </c>
      <c r="K58" s="143">
        <f t="shared" si="16"/>
        <v>9.1179999999999994E-3</v>
      </c>
      <c r="L58" s="145">
        <f t="shared" si="17"/>
        <v>8816866</v>
      </c>
      <c r="M58" s="145">
        <f t="shared" si="18"/>
        <v>80392</v>
      </c>
      <c r="N58" s="145">
        <f t="shared" si="19"/>
        <v>23382.920737678058</v>
      </c>
      <c r="O58" s="145">
        <f t="shared" si="20"/>
        <v>2593174.9818152324</v>
      </c>
      <c r="P58" s="145">
        <f>SUM(N58:N$113)</f>
        <v>1610084.2924424259</v>
      </c>
      <c r="Q58" s="145">
        <f>SUM(O58:O$113)</f>
        <v>45485530.486578315</v>
      </c>
      <c r="R58" s="147">
        <f t="shared" si="21"/>
        <v>9.1179791095838368E-3</v>
      </c>
    </row>
    <row r="59" spans="1:18" x14ac:dyDescent="0.3">
      <c r="A59" s="123">
        <v>56</v>
      </c>
      <c r="B59" s="120">
        <v>9.9349999999999994E-3</v>
      </c>
      <c r="C59" s="129">
        <v>4.8580000000000003E-3</v>
      </c>
      <c r="D59" s="120">
        <f t="shared" si="11"/>
        <v>8.9414999999999998E-3</v>
      </c>
      <c r="E59" s="112">
        <f t="shared" si="12"/>
        <v>8855527</v>
      </c>
      <c r="F59" s="112">
        <f t="shared" si="13"/>
        <v>79182</v>
      </c>
      <c r="G59" s="112">
        <f t="shared" si="14"/>
        <v>22524.184428462202</v>
      </c>
      <c r="H59" s="112">
        <f t="shared" si="15"/>
        <v>2547233.029360963</v>
      </c>
      <c r="I59" s="112">
        <f>SUM(G59:G$113)</f>
        <v>1576510.2702008225</v>
      </c>
      <c r="J59" s="134">
        <f>SUM(H59:H$113)</f>
        <v>44906596.378673494</v>
      </c>
      <c r="K59" s="120">
        <f t="shared" si="16"/>
        <v>9.9349999999999994E-3</v>
      </c>
      <c r="L59" s="112">
        <f t="shared" si="17"/>
        <v>8736474</v>
      </c>
      <c r="M59" s="112">
        <f t="shared" si="18"/>
        <v>86797</v>
      </c>
      <c r="N59" s="112">
        <f t="shared" si="19"/>
        <v>24690.354320896589</v>
      </c>
      <c r="O59" s="112">
        <f t="shared" si="20"/>
        <v>2512988.2312993109</v>
      </c>
      <c r="P59" s="112">
        <f>SUM(N59:N$113)</f>
        <v>1586701.3717047477</v>
      </c>
      <c r="Q59" s="112">
        <f>SUM(O59:O$113)</f>
        <v>42892355.504763082</v>
      </c>
      <c r="R59" s="113">
        <f t="shared" si="21"/>
        <v>9.9350149728597605E-3</v>
      </c>
    </row>
    <row r="60" spans="1:18" x14ac:dyDescent="0.3">
      <c r="A60" s="123">
        <v>57</v>
      </c>
      <c r="B60" s="120">
        <v>1.0839E-2</v>
      </c>
      <c r="C60" s="129">
        <v>5.3270000000000001E-3</v>
      </c>
      <c r="D60" s="120">
        <f t="shared" si="11"/>
        <v>9.7550999999999992E-3</v>
      </c>
      <c r="E60" s="112">
        <f t="shared" si="12"/>
        <v>8776345</v>
      </c>
      <c r="F60" s="112">
        <f t="shared" si="13"/>
        <v>85614</v>
      </c>
      <c r="G60" s="112">
        <f t="shared" si="14"/>
        <v>23817.933549743724</v>
      </c>
      <c r="H60" s="112">
        <f t="shared" si="15"/>
        <v>2468906.4620077722</v>
      </c>
      <c r="I60" s="112">
        <f>SUM(G60:G$113)</f>
        <v>1553986.0857723602</v>
      </c>
      <c r="J60" s="134">
        <f>SUM(H60:H$113)</f>
        <v>42359363.349312529</v>
      </c>
      <c r="K60" s="120">
        <f t="shared" si="16"/>
        <v>1.0839E-2</v>
      </c>
      <c r="L60" s="112">
        <f t="shared" si="17"/>
        <v>8649677</v>
      </c>
      <c r="M60" s="112">
        <f t="shared" si="18"/>
        <v>93754</v>
      </c>
      <c r="N60" s="112">
        <f t="shared" si="19"/>
        <v>26082.492840220912</v>
      </c>
      <c r="O60" s="112">
        <f t="shared" si="20"/>
        <v>2433273.0128065841</v>
      </c>
      <c r="P60" s="112">
        <f>SUM(N60:N$113)</f>
        <v>1562011.0173838511</v>
      </c>
      <c r="Q60" s="112">
        <f>SUM(O60:O$113)</f>
        <v>40379367.273463771</v>
      </c>
      <c r="R60" s="113">
        <f t="shared" si="21"/>
        <v>1.0839017456952439E-2</v>
      </c>
    </row>
    <row r="61" spans="1:18" x14ac:dyDescent="0.3">
      <c r="A61" s="123">
        <v>58</v>
      </c>
      <c r="B61" s="120">
        <v>1.184E-2</v>
      </c>
      <c r="C61" s="129">
        <v>5.8950000000000001E-3</v>
      </c>
      <c r="D61" s="120">
        <f t="shared" si="11"/>
        <v>1.0656000000000001E-2</v>
      </c>
      <c r="E61" s="112">
        <f t="shared" si="12"/>
        <v>8690731</v>
      </c>
      <c r="F61" s="112">
        <f t="shared" si="13"/>
        <v>92608</v>
      </c>
      <c r="G61" s="112">
        <f t="shared" si="14"/>
        <v>25196.747237825981</v>
      </c>
      <c r="H61" s="112">
        <f t="shared" si="15"/>
        <v>2391024.0266138236</v>
      </c>
      <c r="I61" s="112">
        <f>SUM(G61:G$113)</f>
        <v>1530168.1522226164</v>
      </c>
      <c r="J61" s="134">
        <f>SUM(H61:H$113)</f>
        <v>39890456.887304753</v>
      </c>
      <c r="K61" s="120">
        <f t="shared" si="16"/>
        <v>1.184E-2</v>
      </c>
      <c r="L61" s="112">
        <f t="shared" si="17"/>
        <v>8555923</v>
      </c>
      <c r="M61" s="112">
        <f t="shared" si="18"/>
        <v>101302</v>
      </c>
      <c r="N61" s="112">
        <f t="shared" si="19"/>
        <v>27562.207246525653</v>
      </c>
      <c r="O61" s="112">
        <f t="shared" si="20"/>
        <v>2353935.1825361787</v>
      </c>
      <c r="P61" s="112">
        <f>SUM(N61:N$113)</f>
        <v>1535928.5245436302</v>
      </c>
      <c r="Q61" s="112">
        <f>SUM(O61:O$113)</f>
        <v>37946094.260657191</v>
      </c>
      <c r="R61" s="113">
        <f t="shared" si="21"/>
        <v>1.1839985002202567E-2</v>
      </c>
    </row>
    <row r="62" spans="1:18" x14ac:dyDescent="0.3">
      <c r="A62" s="123">
        <v>59</v>
      </c>
      <c r="B62" s="120">
        <v>1.2944000000000001E-2</v>
      </c>
      <c r="C62" s="129">
        <v>6.5539999999999999E-3</v>
      </c>
      <c r="D62" s="120">
        <f t="shared" si="11"/>
        <v>1.1649600000000001E-2</v>
      </c>
      <c r="E62" s="112">
        <f t="shared" si="12"/>
        <v>8598123</v>
      </c>
      <c r="F62" s="112">
        <f t="shared" si="13"/>
        <v>100165</v>
      </c>
      <c r="G62" s="112">
        <f t="shared" si="14"/>
        <v>26653.156719543251</v>
      </c>
      <c r="H62" s="112">
        <f t="shared" si="15"/>
        <v>2313491.8266617702</v>
      </c>
      <c r="I62" s="112">
        <f>SUM(G62:G$113)</f>
        <v>1504971.4049847906</v>
      </c>
      <c r="J62" s="134">
        <f>SUM(H62:H$113)</f>
        <v>37499432.860690929</v>
      </c>
      <c r="K62" s="120">
        <f t="shared" si="16"/>
        <v>1.2944000000000001E-2</v>
      </c>
      <c r="L62" s="112">
        <f t="shared" si="17"/>
        <v>8454621</v>
      </c>
      <c r="M62" s="112">
        <f t="shared" si="18"/>
        <v>109437</v>
      </c>
      <c r="N62" s="112">
        <f t="shared" si="19"/>
        <v>29120.366514417758</v>
      </c>
      <c r="O62" s="112">
        <f t="shared" si="20"/>
        <v>2274879.8291235147</v>
      </c>
      <c r="P62" s="112">
        <f>SUM(N62:N$113)</f>
        <v>1508366.3172971045</v>
      </c>
      <c r="Q62" s="112">
        <f>SUM(O62:O$113)</f>
        <v>35592159.078121006</v>
      </c>
      <c r="R62" s="113">
        <f t="shared" si="21"/>
        <v>1.2944045629011637E-2</v>
      </c>
    </row>
    <row r="63" spans="1:18" x14ac:dyDescent="0.3">
      <c r="A63" s="142">
        <v>60</v>
      </c>
      <c r="B63" s="143">
        <v>1.4158E-2</v>
      </c>
      <c r="C63" s="144">
        <v>7.293E-3</v>
      </c>
      <c r="D63" s="143">
        <f t="shared" si="11"/>
        <v>1.27422E-2</v>
      </c>
      <c r="E63" s="145">
        <f t="shared" si="12"/>
        <v>8497958</v>
      </c>
      <c r="F63" s="145">
        <f t="shared" si="13"/>
        <v>108283</v>
      </c>
      <c r="G63" s="145">
        <f t="shared" si="14"/>
        <v>28179.26234976155</v>
      </c>
      <c r="H63" s="145">
        <f t="shared" si="15"/>
        <v>2236225.4179580905</v>
      </c>
      <c r="I63" s="145">
        <f>SUM(G63:G$113)</f>
        <v>1478318.2482652471</v>
      </c>
      <c r="J63" s="146">
        <f>SUM(H63:H$113)</f>
        <v>35185941.034029163</v>
      </c>
      <c r="K63" s="143">
        <f t="shared" si="16"/>
        <v>1.4158E-2</v>
      </c>
      <c r="L63" s="145">
        <f t="shared" si="17"/>
        <v>8345184</v>
      </c>
      <c r="M63" s="145">
        <f t="shared" si="18"/>
        <v>118151</v>
      </c>
      <c r="N63" s="145">
        <f t="shared" si="19"/>
        <v>30747.282822665391</v>
      </c>
      <c r="O63" s="145">
        <f t="shared" si="20"/>
        <v>2196023.1597210965</v>
      </c>
      <c r="P63" s="145">
        <f>SUM(N63:N$113)</f>
        <v>1479245.9507826869</v>
      </c>
      <c r="Q63" s="145">
        <f>SUM(O63:O$113)</f>
        <v>33317279.248997487</v>
      </c>
      <c r="R63" s="147">
        <f t="shared" si="21"/>
        <v>1.4157986210969106E-2</v>
      </c>
    </row>
    <row r="64" spans="1:18" x14ac:dyDescent="0.3">
      <c r="A64" s="123">
        <v>61</v>
      </c>
      <c r="B64" s="120">
        <v>1.5488E-2</v>
      </c>
      <c r="C64" s="129">
        <v>8.1010000000000006E-3</v>
      </c>
      <c r="D64" s="120">
        <f t="shared" si="11"/>
        <v>1.3939200000000001E-2</v>
      </c>
      <c r="E64" s="112">
        <f t="shared" si="12"/>
        <v>8389675</v>
      </c>
      <c r="F64" s="112">
        <f t="shared" si="13"/>
        <v>116945</v>
      </c>
      <c r="G64" s="112">
        <f t="shared" si="14"/>
        <v>29763.752357895872</v>
      </c>
      <c r="H64" s="112">
        <f t="shared" si="15"/>
        <v>2159150.0267407019</v>
      </c>
      <c r="I64" s="112">
        <f>SUM(G64:G$113)</f>
        <v>1450138.9859154858</v>
      </c>
      <c r="J64" s="134">
        <f>SUM(H64:H$113)</f>
        <v>32949715.616071057</v>
      </c>
      <c r="K64" s="120">
        <f t="shared" si="16"/>
        <v>1.5488E-2</v>
      </c>
      <c r="L64" s="112">
        <f t="shared" si="17"/>
        <v>8227033</v>
      </c>
      <c r="M64" s="112">
        <f t="shared" si="18"/>
        <v>127420</v>
      </c>
      <c r="N64" s="112">
        <f t="shared" si="19"/>
        <v>32429.751810193611</v>
      </c>
      <c r="O64" s="112">
        <f t="shared" si="20"/>
        <v>2117292.8059724169</v>
      </c>
      <c r="P64" s="112">
        <f>SUM(N64:N$113)</f>
        <v>1448498.6679600214</v>
      </c>
      <c r="Q64" s="112">
        <f>SUM(O64:O$113)</f>
        <v>31121256.089276388</v>
      </c>
      <c r="R64" s="113">
        <f t="shared" si="21"/>
        <v>1.5487965102364365E-2</v>
      </c>
    </row>
    <row r="65" spans="1:18" x14ac:dyDescent="0.3">
      <c r="A65" s="123">
        <v>62</v>
      </c>
      <c r="B65" s="120">
        <v>1.6941999999999999E-2</v>
      </c>
      <c r="C65" s="129">
        <v>8.966E-3</v>
      </c>
      <c r="D65" s="120">
        <f t="shared" si="11"/>
        <v>1.5247799999999999E-2</v>
      </c>
      <c r="E65" s="112">
        <f t="shared" si="12"/>
        <v>8272730</v>
      </c>
      <c r="F65" s="112">
        <f t="shared" si="13"/>
        <v>126141</v>
      </c>
      <c r="G65" s="112">
        <f t="shared" si="14"/>
        <v>31397.782533781261</v>
      </c>
      <c r="H65" s="112">
        <f t="shared" si="15"/>
        <v>2082203.711257074</v>
      </c>
      <c r="I65" s="112">
        <f>SUM(G65:G$113)</f>
        <v>1420375.2335575898</v>
      </c>
      <c r="J65" s="134">
        <f>SUM(H65:H$113)</f>
        <v>30790565.589330357</v>
      </c>
      <c r="K65" s="120">
        <f t="shared" si="16"/>
        <v>1.6941999999999999E-2</v>
      </c>
      <c r="L65" s="112">
        <f t="shared" si="17"/>
        <v>8099613</v>
      </c>
      <c r="M65" s="112">
        <f t="shared" si="18"/>
        <v>137224</v>
      </c>
      <c r="N65" s="112">
        <f t="shared" si="19"/>
        <v>34156.454367855018</v>
      </c>
      <c r="O65" s="112">
        <f t="shared" si="20"/>
        <v>2038631.0502513733</v>
      </c>
      <c r="P65" s="112">
        <f>SUM(N65:N$113)</f>
        <v>1416068.9161498279</v>
      </c>
      <c r="Q65" s="112">
        <f>SUM(O65:O$113)</f>
        <v>29003963.283303969</v>
      </c>
      <c r="R65" s="113">
        <f t="shared" si="21"/>
        <v>1.6942044021115578E-2</v>
      </c>
    </row>
    <row r="66" spans="1:18" x14ac:dyDescent="0.3">
      <c r="A66" s="123">
        <v>63</v>
      </c>
      <c r="B66" s="120">
        <v>1.8527999999999999E-2</v>
      </c>
      <c r="C66" s="129">
        <v>9.8820000000000002E-3</v>
      </c>
      <c r="D66" s="120">
        <f t="shared" si="11"/>
        <v>1.6675200000000001E-2</v>
      </c>
      <c r="E66" s="112">
        <f t="shared" si="12"/>
        <v>8146589</v>
      </c>
      <c r="F66" s="112">
        <f t="shared" si="13"/>
        <v>135846</v>
      </c>
      <c r="G66" s="112">
        <f t="shared" si="14"/>
        <v>33069.394720175063</v>
      </c>
      <c r="H66" s="112">
        <f t="shared" si="15"/>
        <v>2005334.6391370706</v>
      </c>
      <c r="I66" s="112">
        <f>SUM(G66:G$113)</f>
        <v>1388977.4510238084</v>
      </c>
      <c r="J66" s="134">
        <f>SUM(H66:H$113)</f>
        <v>28708361.878073286</v>
      </c>
      <c r="K66" s="120">
        <f t="shared" si="16"/>
        <v>1.8527999999999999E-2</v>
      </c>
      <c r="L66" s="112">
        <f t="shared" si="17"/>
        <v>7962389</v>
      </c>
      <c r="M66" s="112">
        <f t="shared" si="18"/>
        <v>147527</v>
      </c>
      <c r="N66" s="112">
        <f t="shared" si="19"/>
        <v>35912.935197821556</v>
      </c>
      <c r="O66" s="112">
        <f t="shared" si="20"/>
        <v>1959992.6388803928</v>
      </c>
      <c r="P66" s="112">
        <f>SUM(N66:N$113)</f>
        <v>1381912.4617819726</v>
      </c>
      <c r="Q66" s="112">
        <f>SUM(O66:O$113)</f>
        <v>26965332.233052604</v>
      </c>
      <c r="R66" s="113">
        <f t="shared" si="21"/>
        <v>1.852798199133451E-2</v>
      </c>
    </row>
    <row r="67" spans="1:18" x14ac:dyDescent="0.3">
      <c r="A67" s="123">
        <v>64</v>
      </c>
      <c r="B67" s="120">
        <v>2.0261000000000001E-2</v>
      </c>
      <c r="C67" s="129">
        <v>1.0867E-2</v>
      </c>
      <c r="D67" s="120">
        <f t="shared" ref="D67:D98" si="22">IF(A67=110,1,IF($A$1=1,B67,C67)*$F$1)</f>
        <v>1.8234900000000002E-2</v>
      </c>
      <c r="E67" s="112">
        <f t="shared" ref="E67:E98" si="23">IF(A67=0,10^7,E66-F66)</f>
        <v>8010743</v>
      </c>
      <c r="F67" s="112">
        <f t="shared" ref="F67:F98" si="24">ROUND(E67*D67,0)</f>
        <v>146075</v>
      </c>
      <c r="G67" s="112">
        <f t="shared" ref="G67:G98" si="25">F67*(1+$H$1)^(-A67-0.5)</f>
        <v>34776.988294343028</v>
      </c>
      <c r="H67" s="112">
        <f t="shared" ref="H67:H98" si="26">E67*(1+$H$1)^(-A67)</f>
        <v>1928503.944432568</v>
      </c>
      <c r="I67" s="112">
        <f>SUM(G67:G$113)</f>
        <v>1355908.0563036334</v>
      </c>
      <c r="J67" s="134">
        <f>SUM(H67:H$113)</f>
        <v>26703027.238936212</v>
      </c>
      <c r="K67" s="120">
        <f t="shared" ref="K67:K98" si="27">IF(A67=110,1,IF($A$1=1,B67,C67)*$M$1)</f>
        <v>2.0261000000000001E-2</v>
      </c>
      <c r="L67" s="112">
        <f t="shared" ref="L67:L98" si="28">IF(A67=0,10^7,L66-M66)</f>
        <v>7814862</v>
      </c>
      <c r="M67" s="112">
        <f t="shared" ref="M67:M98" si="29">ROUND(L67*K67,0)</f>
        <v>158337</v>
      </c>
      <c r="N67" s="112">
        <f t="shared" ref="N67:N98" si="30">M67*(1+$O$1)^(-A67-0.5)</f>
        <v>37696.279278188544</v>
      </c>
      <c r="O67" s="112">
        <f t="shared" ref="O67:O98" si="31">L67*(1+$O$1)^(-A67)</f>
        <v>1881347.6093536126</v>
      </c>
      <c r="P67" s="112">
        <f>SUM(N67:N$113)</f>
        <v>1345999.526584151</v>
      </c>
      <c r="Q67" s="112">
        <f>SUM(O67:O$113)</f>
        <v>25005339.59417221</v>
      </c>
      <c r="R67" s="113">
        <f t="shared" ref="R67:R98" si="32">M67/L67</f>
        <v>2.0261010367169631E-2</v>
      </c>
    </row>
    <row r="68" spans="1:18" x14ac:dyDescent="0.3">
      <c r="A68" s="142">
        <v>65</v>
      </c>
      <c r="B68" s="143">
        <v>2.2157E-2</v>
      </c>
      <c r="C68" s="144">
        <v>1.1941999999999999E-2</v>
      </c>
      <c r="D68" s="143">
        <f t="shared" si="22"/>
        <v>1.9941299999999999E-2</v>
      </c>
      <c r="E68" s="145">
        <f t="shared" si="23"/>
        <v>7864668</v>
      </c>
      <c r="F68" s="145">
        <f t="shared" si="24"/>
        <v>156832</v>
      </c>
      <c r="G68" s="145">
        <f t="shared" si="25"/>
        <v>36516.356499911715</v>
      </c>
      <c r="H68" s="145">
        <f t="shared" si="26"/>
        <v>1851675.1993503638</v>
      </c>
      <c r="I68" s="145">
        <f>SUM(G68:G$113)</f>
        <v>1321131.0680092904</v>
      </c>
      <c r="J68" s="146">
        <f>SUM(H68:H$113)</f>
        <v>24774523.29450364</v>
      </c>
      <c r="K68" s="143">
        <f t="shared" si="27"/>
        <v>2.2157E-2</v>
      </c>
      <c r="L68" s="145">
        <f t="shared" si="28"/>
        <v>7656525</v>
      </c>
      <c r="M68" s="145">
        <f t="shared" si="29"/>
        <v>169646</v>
      </c>
      <c r="N68" s="145">
        <f t="shared" si="30"/>
        <v>39499.935056519222</v>
      </c>
      <c r="O68" s="145">
        <f t="shared" si="31"/>
        <v>1802669.5412579456</v>
      </c>
      <c r="P68" s="145">
        <f>SUM(N68:N$113)</f>
        <v>1308303.2473059625</v>
      </c>
      <c r="Q68" s="145">
        <f>SUM(O68:O$113)</f>
        <v>23123991.984818593</v>
      </c>
      <c r="R68" s="147">
        <f t="shared" si="32"/>
        <v>2.2157049052931976E-2</v>
      </c>
    </row>
    <row r="69" spans="1:18" x14ac:dyDescent="0.3">
      <c r="A69" s="123">
        <v>66</v>
      </c>
      <c r="B69" s="120">
        <v>2.4233000000000001E-2</v>
      </c>
      <c r="C69" s="129">
        <v>1.3129999999999999E-2</v>
      </c>
      <c r="D69" s="120">
        <f t="shared" si="22"/>
        <v>2.1809700000000001E-2</v>
      </c>
      <c r="E69" s="112">
        <f t="shared" si="23"/>
        <v>7707836</v>
      </c>
      <c r="F69" s="112">
        <f t="shared" si="24"/>
        <v>168106</v>
      </c>
      <c r="G69" s="112">
        <f t="shared" si="25"/>
        <v>38280.064006785185</v>
      </c>
      <c r="H69" s="112">
        <f t="shared" si="26"/>
        <v>1774816.937901143</v>
      </c>
      <c r="I69" s="112">
        <f>SUM(G69:G$113)</f>
        <v>1284614.7115093786</v>
      </c>
      <c r="J69" s="134">
        <f>SUM(H69:H$113)</f>
        <v>22922848.095153276</v>
      </c>
      <c r="K69" s="120">
        <f t="shared" si="27"/>
        <v>2.4233000000000001E-2</v>
      </c>
      <c r="L69" s="112">
        <f t="shared" si="28"/>
        <v>7486879</v>
      </c>
      <c r="M69" s="112">
        <f t="shared" si="29"/>
        <v>181430</v>
      </c>
      <c r="N69" s="112">
        <f t="shared" si="30"/>
        <v>41314.123307621601</v>
      </c>
      <c r="O69" s="112">
        <f t="shared" si="31"/>
        <v>1723939.0746269603</v>
      </c>
      <c r="P69" s="112">
        <f>SUM(N69:N$113)</f>
        <v>1268803.3122494433</v>
      </c>
      <c r="Q69" s="112">
        <f>SUM(O69:O$113)</f>
        <v>21321322.443560652</v>
      </c>
      <c r="R69" s="113">
        <f t="shared" si="32"/>
        <v>2.423306160016744E-2</v>
      </c>
    </row>
    <row r="70" spans="1:18" x14ac:dyDescent="0.3">
      <c r="A70" s="123">
        <v>67</v>
      </c>
      <c r="B70" s="120">
        <v>2.6505000000000001E-2</v>
      </c>
      <c r="C70" s="129">
        <v>1.4453000000000001E-2</v>
      </c>
      <c r="D70" s="120">
        <f t="shared" si="22"/>
        <v>2.3854500000000001E-2</v>
      </c>
      <c r="E70" s="112">
        <f t="shared" si="23"/>
        <v>7539730</v>
      </c>
      <c r="F70" s="112">
        <f t="shared" si="24"/>
        <v>179856</v>
      </c>
      <c r="G70" s="112">
        <f t="shared" si="25"/>
        <v>40054.476001996045</v>
      </c>
      <c r="H70" s="112">
        <f t="shared" si="26"/>
        <v>1697905.7395694507</v>
      </c>
      <c r="I70" s="112">
        <f>SUM(G70:G$113)</f>
        <v>1246334.6475025935</v>
      </c>
      <c r="J70" s="134">
        <f>SUM(H70:H$113)</f>
        <v>21148031.157252129</v>
      </c>
      <c r="K70" s="120">
        <f t="shared" si="27"/>
        <v>2.6505000000000001E-2</v>
      </c>
      <c r="L70" s="112">
        <f t="shared" si="28"/>
        <v>7305449</v>
      </c>
      <c r="M70" s="112">
        <f t="shared" si="29"/>
        <v>193631</v>
      </c>
      <c r="N70" s="112">
        <f t="shared" si="30"/>
        <v>43122.210227862823</v>
      </c>
      <c r="O70" s="112">
        <f t="shared" si="31"/>
        <v>1645146.9465394523</v>
      </c>
      <c r="P70" s="112">
        <f>SUM(N70:N$113)</f>
        <v>1227489.1889418217</v>
      </c>
      <c r="Q70" s="112">
        <f>SUM(O70:O$113)</f>
        <v>19597383.368933693</v>
      </c>
      <c r="R70" s="113">
        <f t="shared" si="32"/>
        <v>2.6505010164330763E-2</v>
      </c>
    </row>
    <row r="71" spans="1:18" x14ac:dyDescent="0.3">
      <c r="A71" s="123">
        <v>68</v>
      </c>
      <c r="B71" s="120">
        <v>2.8992E-2</v>
      </c>
      <c r="C71" s="129">
        <v>1.5934E-2</v>
      </c>
      <c r="D71" s="120">
        <f t="shared" si="22"/>
        <v>2.6092799999999999E-2</v>
      </c>
      <c r="E71" s="112">
        <f t="shared" si="23"/>
        <v>7359874</v>
      </c>
      <c r="F71" s="112">
        <f t="shared" si="24"/>
        <v>192040</v>
      </c>
      <c r="G71" s="112">
        <f t="shared" si="25"/>
        <v>41826.78700103968</v>
      </c>
      <c r="H71" s="112">
        <f t="shared" si="26"/>
        <v>1620932.1831679051</v>
      </c>
      <c r="I71" s="112">
        <f>SUM(G71:G$113)</f>
        <v>1206280.1715005974</v>
      </c>
      <c r="J71" s="134">
        <f>SUM(H71:H$113)</f>
        <v>19450125.417682689</v>
      </c>
      <c r="K71" s="120">
        <f t="shared" si="27"/>
        <v>2.8992E-2</v>
      </c>
      <c r="L71" s="112">
        <f t="shared" si="28"/>
        <v>7111818</v>
      </c>
      <c r="M71" s="112">
        <f t="shared" si="29"/>
        <v>206186</v>
      </c>
      <c r="N71" s="112">
        <f t="shared" si="30"/>
        <v>44907.820790441408</v>
      </c>
      <c r="O71" s="112">
        <f t="shared" si="31"/>
        <v>1566300.5476768764</v>
      </c>
      <c r="P71" s="112">
        <f>SUM(N71:N$113)</f>
        <v>1184366.9787139585</v>
      </c>
      <c r="Q71" s="112">
        <f>SUM(O71:O$113)</f>
        <v>17952236.422394238</v>
      </c>
      <c r="R71" s="113">
        <f t="shared" si="32"/>
        <v>2.8992024261588246E-2</v>
      </c>
    </row>
    <row r="72" spans="1:18" x14ac:dyDescent="0.3">
      <c r="A72" s="123">
        <v>69</v>
      </c>
      <c r="B72" s="120">
        <v>3.1715E-2</v>
      </c>
      <c r="C72" s="129">
        <v>1.7587999999999999E-2</v>
      </c>
      <c r="D72" s="120">
        <f t="shared" si="22"/>
        <v>2.8543499999999999E-2</v>
      </c>
      <c r="E72" s="112">
        <f t="shared" si="23"/>
        <v>7167834</v>
      </c>
      <c r="F72" s="112">
        <f t="shared" si="24"/>
        <v>204595</v>
      </c>
      <c r="G72" s="112">
        <f t="shared" si="25"/>
        <v>43580.730616317785</v>
      </c>
      <c r="H72" s="112">
        <f t="shared" si="26"/>
        <v>1543899.7186304596</v>
      </c>
      <c r="I72" s="112">
        <f>SUM(G72:G$113)</f>
        <v>1164453.3844995575</v>
      </c>
      <c r="J72" s="134">
        <f>SUM(H72:H$113)</f>
        <v>17829193.23451478</v>
      </c>
      <c r="K72" s="120">
        <f t="shared" si="27"/>
        <v>3.1715E-2</v>
      </c>
      <c r="L72" s="112">
        <f t="shared" si="28"/>
        <v>6905632</v>
      </c>
      <c r="M72" s="112">
        <f t="shared" si="29"/>
        <v>219012</v>
      </c>
      <c r="N72" s="112">
        <f t="shared" si="30"/>
        <v>46651.692239502387</v>
      </c>
      <c r="O72" s="112">
        <f t="shared" si="31"/>
        <v>1487423.2999488406</v>
      </c>
      <c r="P72" s="112">
        <f>SUM(N72:N$113)</f>
        <v>1139459.1579235171</v>
      </c>
      <c r="Q72" s="112">
        <f>SUM(O72:O$113)</f>
        <v>16385935.874717366</v>
      </c>
      <c r="R72" s="113">
        <f t="shared" si="32"/>
        <v>3.1714982785065869E-2</v>
      </c>
    </row>
    <row r="73" spans="1:18" x14ac:dyDescent="0.3">
      <c r="A73" s="142">
        <v>70</v>
      </c>
      <c r="B73" s="143">
        <v>3.4698E-2</v>
      </c>
      <c r="C73" s="144">
        <v>1.9431E-2</v>
      </c>
      <c r="D73" s="143">
        <f t="shared" si="22"/>
        <v>3.1228200000000001E-2</v>
      </c>
      <c r="E73" s="145">
        <f t="shared" si="23"/>
        <v>6963239</v>
      </c>
      <c r="F73" s="145">
        <f t="shared" si="24"/>
        <v>217449</v>
      </c>
      <c r="G73" s="145">
        <f t="shared" si="25"/>
        <v>45299.518820563018</v>
      </c>
      <c r="H73" s="145">
        <f t="shared" si="26"/>
        <v>1466827.8063976765</v>
      </c>
      <c r="I73" s="145">
        <f>SUM(G73:G$113)</f>
        <v>1120872.6538832397</v>
      </c>
      <c r="J73" s="146">
        <f>SUM(H73:H$113)</f>
        <v>16285293.515884323</v>
      </c>
      <c r="K73" s="143">
        <f t="shared" si="27"/>
        <v>3.4698E-2</v>
      </c>
      <c r="L73" s="145">
        <f t="shared" si="28"/>
        <v>6686620</v>
      </c>
      <c r="M73" s="145">
        <f t="shared" si="29"/>
        <v>232012</v>
      </c>
      <c r="N73" s="145">
        <f t="shared" si="30"/>
        <v>48333.31935578672</v>
      </c>
      <c r="O73" s="145">
        <f t="shared" si="31"/>
        <v>1408557.1595079289</v>
      </c>
      <c r="P73" s="145">
        <f>SUM(N73:N$113)</f>
        <v>1092807.4656840146</v>
      </c>
      <c r="Q73" s="145">
        <f>SUM(O73:O$113)</f>
        <v>14898512.574768525</v>
      </c>
      <c r="R73" s="147">
        <f t="shared" si="32"/>
        <v>3.4697949038527687E-2</v>
      </c>
    </row>
    <row r="74" spans="1:18" x14ac:dyDescent="0.3">
      <c r="A74" s="123">
        <v>71</v>
      </c>
      <c r="B74" s="120">
        <v>3.7962999999999997E-2</v>
      </c>
      <c r="C74" s="129">
        <v>2.1478000000000001E-2</v>
      </c>
      <c r="D74" s="120">
        <f t="shared" si="22"/>
        <v>3.4166700000000001E-2</v>
      </c>
      <c r="E74" s="112">
        <f t="shared" si="23"/>
        <v>6745790</v>
      </c>
      <c r="F74" s="112">
        <f t="shared" si="24"/>
        <v>230481</v>
      </c>
      <c r="G74" s="112">
        <f t="shared" si="25"/>
        <v>46957.826515090375</v>
      </c>
      <c r="H74" s="112">
        <f t="shared" si="26"/>
        <v>1389752.0809757218</v>
      </c>
      <c r="I74" s="112">
        <f>SUM(G74:G$113)</f>
        <v>1075573.1350626769</v>
      </c>
      <c r="J74" s="134">
        <f>SUM(H74:H$113)</f>
        <v>14818465.709486647</v>
      </c>
      <c r="K74" s="120">
        <f t="shared" si="27"/>
        <v>3.7962999999999997E-2</v>
      </c>
      <c r="L74" s="112">
        <f t="shared" si="28"/>
        <v>6454608</v>
      </c>
      <c r="M74" s="112">
        <f t="shared" si="29"/>
        <v>245036</v>
      </c>
      <c r="N74" s="112">
        <f t="shared" si="30"/>
        <v>49923.23869625559</v>
      </c>
      <c r="O74" s="112">
        <f t="shared" si="31"/>
        <v>1329763.4376229532</v>
      </c>
      <c r="P74" s="112">
        <f>SUM(N74:N$113)</f>
        <v>1044474.1463282276</v>
      </c>
      <c r="Q74" s="112">
        <f>SUM(O74:O$113)</f>
        <v>13489955.415260598</v>
      </c>
      <c r="R74" s="113">
        <f t="shared" si="32"/>
        <v>3.7962956077270689E-2</v>
      </c>
    </row>
    <row r="75" spans="1:18" x14ac:dyDescent="0.3">
      <c r="A75" s="123">
        <v>72</v>
      </c>
      <c r="B75" s="120">
        <v>4.1535000000000002E-2</v>
      </c>
      <c r="C75" s="129">
        <v>2.3744999999999999E-2</v>
      </c>
      <c r="D75" s="120">
        <f t="shared" si="22"/>
        <v>3.7381500000000005E-2</v>
      </c>
      <c r="E75" s="112">
        <f t="shared" si="23"/>
        <v>6515309</v>
      </c>
      <c r="F75" s="112">
        <f t="shared" si="24"/>
        <v>243552</v>
      </c>
      <c r="G75" s="112">
        <f t="shared" si="25"/>
        <v>48528.988688695434</v>
      </c>
      <c r="H75" s="112">
        <f t="shared" si="26"/>
        <v>1312732.4376481036</v>
      </c>
      <c r="I75" s="112">
        <f>SUM(G75:G$113)</f>
        <v>1028615.3085475861</v>
      </c>
      <c r="J75" s="134">
        <f>SUM(H75:H$113)</f>
        <v>13428713.628510924</v>
      </c>
      <c r="K75" s="120">
        <f t="shared" si="27"/>
        <v>4.1535000000000002E-2</v>
      </c>
      <c r="L75" s="112">
        <f t="shared" si="28"/>
        <v>6209572</v>
      </c>
      <c r="M75" s="112">
        <f t="shared" si="29"/>
        <v>257915</v>
      </c>
      <c r="N75" s="112">
        <f t="shared" si="30"/>
        <v>51390.890313546523</v>
      </c>
      <c r="O75" s="112">
        <f t="shared" si="31"/>
        <v>1251131.2338849024</v>
      </c>
      <c r="P75" s="112">
        <f>SUM(N75:N$113)</f>
        <v>994550.90763197187</v>
      </c>
      <c r="Q75" s="112">
        <f>SUM(O75:O$113)</f>
        <v>12160191.977637643</v>
      </c>
      <c r="R75" s="113">
        <f t="shared" si="32"/>
        <v>4.1535068761582923E-2</v>
      </c>
    </row>
    <row r="76" spans="1:18" x14ac:dyDescent="0.3">
      <c r="A76" s="123">
        <v>73</v>
      </c>
      <c r="B76" s="120">
        <v>4.5435999999999997E-2</v>
      </c>
      <c r="C76" s="129">
        <v>2.6248E-2</v>
      </c>
      <c r="D76" s="120">
        <f t="shared" si="22"/>
        <v>4.0892399999999995E-2</v>
      </c>
      <c r="E76" s="112">
        <f t="shared" si="23"/>
        <v>6271757</v>
      </c>
      <c r="F76" s="112">
        <f t="shared" si="24"/>
        <v>256467</v>
      </c>
      <c r="G76" s="112">
        <f t="shared" si="25"/>
        <v>49977.866861499722</v>
      </c>
      <c r="H76" s="112">
        <f t="shared" si="26"/>
        <v>1235853.8237081361</v>
      </c>
      <c r="I76" s="112">
        <f>SUM(G76:G$113)</f>
        <v>980086.31985889061</v>
      </c>
      <c r="J76" s="134">
        <f>SUM(H76:H$113)</f>
        <v>12115981.190862821</v>
      </c>
      <c r="K76" s="120">
        <f t="shared" si="27"/>
        <v>4.5435999999999997E-2</v>
      </c>
      <c r="L76" s="112">
        <f t="shared" si="28"/>
        <v>5951657</v>
      </c>
      <c r="M76" s="112">
        <f t="shared" si="29"/>
        <v>270419</v>
      </c>
      <c r="N76" s="112">
        <f t="shared" si="30"/>
        <v>52696.700857497824</v>
      </c>
      <c r="O76" s="112">
        <f t="shared" si="31"/>
        <v>1172777.9091009574</v>
      </c>
      <c r="P76" s="112">
        <f>SUM(N76:N$113)</f>
        <v>943160.01731842547</v>
      </c>
      <c r="Q76" s="112">
        <f>SUM(O76:O$113)</f>
        <v>10909060.743752737</v>
      </c>
      <c r="R76" s="113">
        <f t="shared" si="32"/>
        <v>4.5435918098102761E-2</v>
      </c>
    </row>
    <row r="77" spans="1:18" x14ac:dyDescent="0.3">
      <c r="A77" s="123">
        <v>74</v>
      </c>
      <c r="B77" s="120">
        <v>4.9701000000000002E-2</v>
      </c>
      <c r="C77" s="129">
        <v>2.9016E-2</v>
      </c>
      <c r="D77" s="120">
        <f t="shared" si="22"/>
        <v>4.4730900000000004E-2</v>
      </c>
      <c r="E77" s="112">
        <f t="shared" si="23"/>
        <v>6015290</v>
      </c>
      <c r="F77" s="112">
        <f t="shared" si="24"/>
        <v>269069</v>
      </c>
      <c r="G77" s="112">
        <f t="shared" si="25"/>
        <v>51279.82944452318</v>
      </c>
      <c r="H77" s="112">
        <f t="shared" si="26"/>
        <v>1159234.0669134269</v>
      </c>
      <c r="I77" s="112">
        <f>SUM(G77:G$113)</f>
        <v>930108.45299739088</v>
      </c>
      <c r="J77" s="134">
        <f>SUM(H77:H$113)</f>
        <v>10880127.367154686</v>
      </c>
      <c r="K77" s="120">
        <f t="shared" si="27"/>
        <v>4.9701000000000002E-2</v>
      </c>
      <c r="L77" s="112">
        <f t="shared" si="28"/>
        <v>5681238</v>
      </c>
      <c r="M77" s="112">
        <f t="shared" si="29"/>
        <v>282363</v>
      </c>
      <c r="N77" s="112">
        <f t="shared" si="30"/>
        <v>53813.432544975076</v>
      </c>
      <c r="O77" s="112">
        <f t="shared" si="31"/>
        <v>1094857.3770912297</v>
      </c>
      <c r="P77" s="112">
        <f>SUM(N77:N$113)</f>
        <v>890463.31646092748</v>
      </c>
      <c r="Q77" s="112">
        <f>SUM(O77:O$113)</f>
        <v>9736282.8346517794</v>
      </c>
      <c r="R77" s="113">
        <f t="shared" si="32"/>
        <v>4.9700963064740464E-2</v>
      </c>
    </row>
    <row r="78" spans="1:18" x14ac:dyDescent="0.3">
      <c r="A78" s="142">
        <v>75</v>
      </c>
      <c r="B78" s="143">
        <v>5.4363000000000002E-2</v>
      </c>
      <c r="C78" s="144">
        <v>3.2079000000000003E-2</v>
      </c>
      <c r="D78" s="143">
        <f t="shared" si="22"/>
        <v>4.8926700000000004E-2</v>
      </c>
      <c r="E78" s="145">
        <f t="shared" si="23"/>
        <v>5746221</v>
      </c>
      <c r="F78" s="145">
        <f t="shared" si="24"/>
        <v>281144</v>
      </c>
      <c r="G78" s="145">
        <f t="shared" si="25"/>
        <v>52402.066051339076</v>
      </c>
      <c r="H78" s="145">
        <f t="shared" si="26"/>
        <v>1083012.7613085122</v>
      </c>
      <c r="I78" s="145">
        <f>SUM(G78:G$113)</f>
        <v>878828.62355286768</v>
      </c>
      <c r="J78" s="146">
        <f>SUM(H78:H$113)</f>
        <v>9720893.3002412599</v>
      </c>
      <c r="K78" s="143">
        <f t="shared" si="27"/>
        <v>5.4363000000000002E-2</v>
      </c>
      <c r="L78" s="145">
        <f t="shared" si="28"/>
        <v>5398875</v>
      </c>
      <c r="M78" s="145">
        <f t="shared" si="29"/>
        <v>293499</v>
      </c>
      <c r="N78" s="145">
        <f t="shared" si="30"/>
        <v>54704.898500419593</v>
      </c>
      <c r="O78" s="145">
        <f t="shared" si="31"/>
        <v>1017547.1012530659</v>
      </c>
      <c r="P78" s="145">
        <f>SUM(N78:N$113)</f>
        <v>836649.88391595241</v>
      </c>
      <c r="Q78" s="145">
        <f>SUM(O78:O$113)</f>
        <v>8641425.4575605486</v>
      </c>
      <c r="R78" s="147">
        <f t="shared" si="32"/>
        <v>5.4362992290060426E-2</v>
      </c>
    </row>
    <row r="79" spans="1:18" x14ac:dyDescent="0.3">
      <c r="A79" s="123">
        <v>76</v>
      </c>
      <c r="B79" s="120">
        <v>5.9457000000000003E-2</v>
      </c>
      <c r="C79" s="129">
        <v>3.5465999999999998E-2</v>
      </c>
      <c r="D79" s="120">
        <f t="shared" si="22"/>
        <v>5.3511300000000005E-2</v>
      </c>
      <c r="E79" s="112">
        <f t="shared" si="23"/>
        <v>5465077</v>
      </c>
      <c r="F79" s="112">
        <f t="shared" si="24"/>
        <v>292443</v>
      </c>
      <c r="G79" s="112">
        <f t="shared" si="25"/>
        <v>53308.627900285268</v>
      </c>
      <c r="H79" s="112">
        <f t="shared" si="26"/>
        <v>1007358.8765702266</v>
      </c>
      <c r="I79" s="112">
        <f>SUM(G79:G$113)</f>
        <v>826426.55750152864</v>
      </c>
      <c r="J79" s="134">
        <f>SUM(H79:H$113)</f>
        <v>8637880.53893275</v>
      </c>
      <c r="K79" s="120">
        <f t="shared" si="27"/>
        <v>5.9457000000000003E-2</v>
      </c>
      <c r="L79" s="112">
        <f t="shared" si="28"/>
        <v>5105376</v>
      </c>
      <c r="M79" s="112">
        <f t="shared" si="29"/>
        <v>303550</v>
      </c>
      <c r="N79" s="112">
        <f t="shared" si="30"/>
        <v>55333.292296726519</v>
      </c>
      <c r="O79" s="112">
        <f t="shared" si="31"/>
        <v>941056.42643801682</v>
      </c>
      <c r="P79" s="112">
        <f>SUM(N79:N$113)</f>
        <v>781944.98541553295</v>
      </c>
      <c r="Q79" s="112">
        <f>SUM(O79:O$113)</f>
        <v>7623878.3563074814</v>
      </c>
      <c r="R79" s="113">
        <f t="shared" si="32"/>
        <v>5.9456933240568374E-2</v>
      </c>
    </row>
    <row r="80" spans="1:18" x14ac:dyDescent="0.3">
      <c r="A80" s="123">
        <v>77</v>
      </c>
      <c r="B80" s="120">
        <v>6.5016000000000004E-2</v>
      </c>
      <c r="C80" s="129">
        <v>3.9208E-2</v>
      </c>
      <c r="D80" s="120">
        <f t="shared" si="22"/>
        <v>5.8514400000000008E-2</v>
      </c>
      <c r="E80" s="112">
        <f t="shared" si="23"/>
        <v>5172634</v>
      </c>
      <c r="F80" s="112">
        <f t="shared" si="24"/>
        <v>302674</v>
      </c>
      <c r="G80" s="112">
        <f t="shared" si="25"/>
        <v>53959.519484371856</v>
      </c>
      <c r="H80" s="112">
        <f t="shared" si="26"/>
        <v>932473.21527328365</v>
      </c>
      <c r="I80" s="112">
        <f>SUM(G80:G$113)</f>
        <v>773117.92960124335</v>
      </c>
      <c r="J80" s="134">
        <f>SUM(H80:H$113)</f>
        <v>7630521.6623625234</v>
      </c>
      <c r="K80" s="120">
        <f t="shared" si="27"/>
        <v>6.5016000000000004E-2</v>
      </c>
      <c r="L80" s="112">
        <f t="shared" si="28"/>
        <v>4801826</v>
      </c>
      <c r="M80" s="112">
        <f t="shared" si="29"/>
        <v>312196</v>
      </c>
      <c r="N80" s="112">
        <f t="shared" si="30"/>
        <v>55657.063853991276</v>
      </c>
      <c r="O80" s="112">
        <f t="shared" si="31"/>
        <v>865627.47903734352</v>
      </c>
      <c r="P80" s="112">
        <f>SUM(N80:N$113)</f>
        <v>726611.69311880623</v>
      </c>
      <c r="Q80" s="112">
        <f>SUM(O80:O$113)</f>
        <v>6682821.9298694646</v>
      </c>
      <c r="R80" s="113">
        <f t="shared" si="32"/>
        <v>6.5016100125244017E-2</v>
      </c>
    </row>
    <row r="81" spans="1:18" x14ac:dyDescent="0.3">
      <c r="A81" s="123">
        <v>78</v>
      </c>
      <c r="B81" s="120">
        <v>7.1077000000000001E-2</v>
      </c>
      <c r="C81" s="129">
        <v>4.3337000000000001E-2</v>
      </c>
      <c r="D81" s="120">
        <f t="shared" si="22"/>
        <v>6.3969300000000007E-2</v>
      </c>
      <c r="E81" s="112">
        <f t="shared" si="23"/>
        <v>4869960</v>
      </c>
      <c r="F81" s="112">
        <f t="shared" si="24"/>
        <v>311528</v>
      </c>
      <c r="G81" s="112">
        <f t="shared" si="25"/>
        <v>54315.868425537694</v>
      </c>
      <c r="H81" s="112">
        <f t="shared" si="26"/>
        <v>858591.71436464682</v>
      </c>
      <c r="I81" s="112">
        <f>SUM(G81:G$113)</f>
        <v>719158.41011687159</v>
      </c>
      <c r="J81" s="134">
        <f>SUM(H81:H$113)</f>
        <v>6698048.44708924</v>
      </c>
      <c r="K81" s="120">
        <f t="shared" si="27"/>
        <v>7.1077000000000001E-2</v>
      </c>
      <c r="L81" s="112">
        <f t="shared" si="28"/>
        <v>4489630</v>
      </c>
      <c r="M81" s="112">
        <f t="shared" si="29"/>
        <v>319109</v>
      </c>
      <c r="N81" s="112">
        <f t="shared" si="30"/>
        <v>55637.639176590572</v>
      </c>
      <c r="O81" s="112">
        <f t="shared" si="31"/>
        <v>791538.14786218968</v>
      </c>
      <c r="P81" s="112">
        <f>SUM(N81:N$113)</f>
        <v>670954.62926481501</v>
      </c>
      <c r="Q81" s="112">
        <f>SUM(O81:O$113)</f>
        <v>5817194.450832122</v>
      </c>
      <c r="R81" s="113">
        <f t="shared" si="32"/>
        <v>7.1076903887402745E-2</v>
      </c>
    </row>
    <row r="82" spans="1:18" x14ac:dyDescent="0.3">
      <c r="A82" s="123">
        <v>79</v>
      </c>
      <c r="B82" s="120">
        <v>7.7686000000000005E-2</v>
      </c>
      <c r="C82" s="129">
        <v>4.7896000000000001E-2</v>
      </c>
      <c r="D82" s="120">
        <f t="shared" si="22"/>
        <v>6.9917400000000005E-2</v>
      </c>
      <c r="E82" s="112">
        <f t="shared" si="23"/>
        <v>4558432</v>
      </c>
      <c r="F82" s="112">
        <f t="shared" si="24"/>
        <v>318714</v>
      </c>
      <c r="G82" s="112">
        <f t="shared" si="25"/>
        <v>54345.985043817534</v>
      </c>
      <c r="H82" s="112">
        <f t="shared" si="26"/>
        <v>785983.56133250822</v>
      </c>
      <c r="I82" s="112">
        <f>SUM(G82:G$113)</f>
        <v>664842.54169133387</v>
      </c>
      <c r="J82" s="134">
        <f>SUM(H82:H$113)</f>
        <v>5839456.7327245921</v>
      </c>
      <c r="K82" s="120">
        <f t="shared" si="27"/>
        <v>7.7686000000000005E-2</v>
      </c>
      <c r="L82" s="112">
        <f t="shared" si="28"/>
        <v>4170521</v>
      </c>
      <c r="M82" s="112">
        <f t="shared" si="29"/>
        <v>323991</v>
      </c>
      <c r="N82" s="112">
        <f t="shared" si="30"/>
        <v>55245.800436540245</v>
      </c>
      <c r="O82" s="112">
        <f t="shared" si="31"/>
        <v>719098.35403753165</v>
      </c>
      <c r="P82" s="112">
        <f>SUM(N82:N$113)</f>
        <v>615316.99008822441</v>
      </c>
      <c r="Q82" s="112">
        <f>SUM(O82:O$113)</f>
        <v>5025656.3029699316</v>
      </c>
      <c r="R82" s="113">
        <f t="shared" si="32"/>
        <v>7.7685977363499664E-2</v>
      </c>
    </row>
    <row r="83" spans="1:18" x14ac:dyDescent="0.3">
      <c r="A83" s="142">
        <v>80</v>
      </c>
      <c r="B83" s="143">
        <v>8.4889000000000006E-2</v>
      </c>
      <c r="C83" s="144">
        <v>5.2932E-2</v>
      </c>
      <c r="D83" s="143">
        <f t="shared" si="22"/>
        <v>7.6400100000000012E-2</v>
      </c>
      <c r="E83" s="145">
        <f t="shared" si="23"/>
        <v>4239718</v>
      </c>
      <c r="F83" s="145">
        <f t="shared" si="24"/>
        <v>323915</v>
      </c>
      <c r="G83" s="145">
        <f t="shared" si="25"/>
        <v>54017.44859178544</v>
      </c>
      <c r="H83" s="145">
        <f t="shared" si="26"/>
        <v>714943.35930052749</v>
      </c>
      <c r="I83" s="145">
        <f>SUM(G83:G$113)</f>
        <v>610496.55664751632</v>
      </c>
      <c r="J83" s="146">
        <f>SUM(H83:H$113)</f>
        <v>5053473.1713920832</v>
      </c>
      <c r="K83" s="143">
        <f t="shared" si="27"/>
        <v>8.4889000000000006E-2</v>
      </c>
      <c r="L83" s="145">
        <f t="shared" si="28"/>
        <v>3846530</v>
      </c>
      <c r="M83" s="145">
        <f t="shared" si="29"/>
        <v>326528</v>
      </c>
      <c r="N83" s="145">
        <f t="shared" si="30"/>
        <v>54453.203629898322</v>
      </c>
      <c r="O83" s="145">
        <f t="shared" si="31"/>
        <v>648640.09348033473</v>
      </c>
      <c r="P83" s="145">
        <f>SUM(N83:N$113)</f>
        <v>560071.18965168437</v>
      </c>
      <c r="Q83" s="145">
        <f>SUM(O83:O$113)</f>
        <v>4306557.9489324009</v>
      </c>
      <c r="R83" s="147">
        <f t="shared" si="32"/>
        <v>8.4888977857965495E-2</v>
      </c>
    </row>
    <row r="84" spans="1:18" x14ac:dyDescent="0.3">
      <c r="A84" s="123">
        <v>81</v>
      </c>
      <c r="B84" s="120">
        <v>9.2733999999999997E-2</v>
      </c>
      <c r="C84" s="129">
        <v>5.8488999999999999E-2</v>
      </c>
      <c r="D84" s="120">
        <f t="shared" si="22"/>
        <v>8.3460599999999996E-2</v>
      </c>
      <c r="E84" s="112">
        <f t="shared" si="23"/>
        <v>3915803</v>
      </c>
      <c r="F84" s="112">
        <f t="shared" si="24"/>
        <v>326815</v>
      </c>
      <c r="G84" s="112">
        <f t="shared" si="25"/>
        <v>53301.775037119362</v>
      </c>
      <c r="H84" s="112">
        <f t="shared" si="26"/>
        <v>645791.29073875793</v>
      </c>
      <c r="I84" s="112">
        <f>SUM(G84:G$113)</f>
        <v>556479.10805573105</v>
      </c>
      <c r="J84" s="134">
        <f>SUM(H84:H$113)</f>
        <v>4338529.8120915554</v>
      </c>
      <c r="K84" s="120">
        <f t="shared" si="27"/>
        <v>9.2733999999999997E-2</v>
      </c>
      <c r="L84" s="112">
        <f t="shared" si="28"/>
        <v>3520002</v>
      </c>
      <c r="M84" s="112">
        <f t="shared" si="29"/>
        <v>326424</v>
      </c>
      <c r="N84" s="112">
        <f t="shared" si="30"/>
        <v>53238.005032561698</v>
      </c>
      <c r="O84" s="112">
        <f t="shared" si="31"/>
        <v>580516.08698982291</v>
      </c>
      <c r="P84" s="112">
        <f>SUM(N84:N$113)</f>
        <v>505617.98602178623</v>
      </c>
      <c r="Q84" s="112">
        <f>SUM(O84:O$113)</f>
        <v>3657917.8554520658</v>
      </c>
      <c r="R84" s="113">
        <f t="shared" si="32"/>
        <v>9.2734038219296461E-2</v>
      </c>
    </row>
    <row r="85" spans="1:18" x14ac:dyDescent="0.3">
      <c r="A85" s="123">
        <v>82</v>
      </c>
      <c r="B85" s="120">
        <v>0.101268</v>
      </c>
      <c r="C85" s="129">
        <v>6.4614000000000005E-2</v>
      </c>
      <c r="D85" s="120">
        <f t="shared" si="22"/>
        <v>9.1141200000000006E-2</v>
      </c>
      <c r="E85" s="112">
        <f t="shared" si="23"/>
        <v>3588988</v>
      </c>
      <c r="F85" s="112">
        <f t="shared" si="24"/>
        <v>327105</v>
      </c>
      <c r="G85" s="112">
        <f t="shared" si="25"/>
        <v>52175.132012669892</v>
      </c>
      <c r="H85" s="112">
        <f t="shared" si="26"/>
        <v>578868.66143226787</v>
      </c>
      <c r="I85" s="112">
        <f>SUM(G85:G$113)</f>
        <v>503177.33301861194</v>
      </c>
      <c r="J85" s="134">
        <f>SUM(H85:H$113)</f>
        <v>3692738.5213527991</v>
      </c>
      <c r="K85" s="120">
        <f t="shared" si="27"/>
        <v>0.101268</v>
      </c>
      <c r="L85" s="112">
        <f t="shared" si="28"/>
        <v>3193578</v>
      </c>
      <c r="M85" s="112">
        <f t="shared" si="29"/>
        <v>323407</v>
      </c>
      <c r="N85" s="112">
        <f t="shared" si="30"/>
        <v>51585.279707804926</v>
      </c>
      <c r="O85" s="112">
        <f t="shared" si="31"/>
        <v>515092.89583568939</v>
      </c>
      <c r="P85" s="112">
        <f>SUM(N85:N$113)</f>
        <v>452379.98098922451</v>
      </c>
      <c r="Q85" s="112">
        <f>SUM(O85:O$113)</f>
        <v>3077401.768462243</v>
      </c>
      <c r="R85" s="113">
        <f t="shared" si="32"/>
        <v>0.10126791955605907</v>
      </c>
    </row>
    <row r="86" spans="1:18" x14ac:dyDescent="0.3">
      <c r="A86" s="123">
        <v>83</v>
      </c>
      <c r="B86" s="120">
        <v>0.110542</v>
      </c>
      <c r="C86" s="129">
        <v>7.1356000000000003E-2</v>
      </c>
      <c r="D86" s="120">
        <f t="shared" si="22"/>
        <v>9.9487800000000001E-2</v>
      </c>
      <c r="E86" s="112">
        <f t="shared" si="23"/>
        <v>3261883</v>
      </c>
      <c r="F86" s="112">
        <f t="shared" si="24"/>
        <v>324518</v>
      </c>
      <c r="G86" s="112">
        <f t="shared" si="25"/>
        <v>50623.462697782226</v>
      </c>
      <c r="H86" s="112">
        <f t="shared" si="26"/>
        <v>514532.83546412498</v>
      </c>
      <c r="I86" s="112">
        <f>SUM(G86:G$113)</f>
        <v>451002.20100594213</v>
      </c>
      <c r="J86" s="134">
        <f>SUM(H86:H$113)</f>
        <v>3113869.859920531</v>
      </c>
      <c r="K86" s="120">
        <f t="shared" si="27"/>
        <v>0.110542</v>
      </c>
      <c r="L86" s="112">
        <f t="shared" si="28"/>
        <v>2870171</v>
      </c>
      <c r="M86" s="112">
        <f t="shared" si="29"/>
        <v>317274</v>
      </c>
      <c r="N86" s="112">
        <f t="shared" si="30"/>
        <v>49493.428728071041</v>
      </c>
      <c r="O86" s="112">
        <f t="shared" si="31"/>
        <v>452743.77495970979</v>
      </c>
      <c r="P86" s="112">
        <f>SUM(N86:N$113)</f>
        <v>400794.70128141955</v>
      </c>
      <c r="Q86" s="112">
        <f>SUM(O86:O$113)</f>
        <v>2562308.8726265542</v>
      </c>
      <c r="R86" s="113">
        <f t="shared" si="32"/>
        <v>0.11054184576459034</v>
      </c>
    </row>
    <row r="87" spans="1:18" x14ac:dyDescent="0.3">
      <c r="A87" s="123">
        <v>84</v>
      </c>
      <c r="B87" s="120">
        <v>0.120611</v>
      </c>
      <c r="C87" s="129">
        <v>7.8778000000000001E-2</v>
      </c>
      <c r="D87" s="120">
        <f t="shared" si="22"/>
        <v>0.1085499</v>
      </c>
      <c r="E87" s="112">
        <f t="shared" si="23"/>
        <v>2937365</v>
      </c>
      <c r="F87" s="112">
        <f t="shared" si="24"/>
        <v>318851</v>
      </c>
      <c r="G87" s="112">
        <f t="shared" si="25"/>
        <v>48644.923413745819</v>
      </c>
      <c r="H87" s="112">
        <f t="shared" si="26"/>
        <v>453147.21446101984</v>
      </c>
      <c r="I87" s="112">
        <f>SUM(G87:G$113)</f>
        <v>400378.73830815993</v>
      </c>
      <c r="J87" s="134">
        <f>SUM(H87:H$113)</f>
        <v>2599337.024456406</v>
      </c>
      <c r="K87" s="120">
        <f t="shared" si="27"/>
        <v>0.120611</v>
      </c>
      <c r="L87" s="112">
        <f t="shared" si="28"/>
        <v>2552897</v>
      </c>
      <c r="M87" s="112">
        <f t="shared" si="29"/>
        <v>307907</v>
      </c>
      <c r="N87" s="112">
        <f t="shared" si="30"/>
        <v>46975.271940675222</v>
      </c>
      <c r="O87" s="112">
        <f t="shared" si="31"/>
        <v>393835.34710732038</v>
      </c>
      <c r="P87" s="112">
        <f>SUM(N87:N$113)</f>
        <v>351301.27255334851</v>
      </c>
      <c r="Q87" s="112">
        <f>SUM(O87:O$113)</f>
        <v>2109565.0976668443</v>
      </c>
      <c r="R87" s="113">
        <f t="shared" si="32"/>
        <v>0.12061081978630551</v>
      </c>
    </row>
    <row r="88" spans="1:18" x14ac:dyDescent="0.3">
      <c r="A88" s="142">
        <v>85</v>
      </c>
      <c r="B88" s="143">
        <v>0.13153599999999999</v>
      </c>
      <c r="C88" s="144">
        <v>8.6945999999999996E-2</v>
      </c>
      <c r="D88" s="143">
        <f t="shared" si="22"/>
        <v>0.11838239999999998</v>
      </c>
      <c r="E88" s="145">
        <f t="shared" si="23"/>
        <v>2618514</v>
      </c>
      <c r="F88" s="145">
        <f t="shared" si="24"/>
        <v>309986</v>
      </c>
      <c r="G88" s="145">
        <f t="shared" si="25"/>
        <v>46251.785621332827</v>
      </c>
      <c r="H88" s="145">
        <f t="shared" si="26"/>
        <v>395069.02671773056</v>
      </c>
      <c r="I88" s="145">
        <f>SUM(G88:G$113)</f>
        <v>351733.81489441404</v>
      </c>
      <c r="J88" s="146">
        <f>SUM(H88:H$113)</f>
        <v>2146189.8099953863</v>
      </c>
      <c r="K88" s="143">
        <f t="shared" si="27"/>
        <v>0.13153599999999999</v>
      </c>
      <c r="L88" s="145">
        <f t="shared" si="28"/>
        <v>2244990</v>
      </c>
      <c r="M88" s="145">
        <f t="shared" si="29"/>
        <v>295297</v>
      </c>
      <c r="N88" s="145">
        <f t="shared" si="30"/>
        <v>44060.097999982965</v>
      </c>
      <c r="O88" s="145">
        <f t="shared" si="31"/>
        <v>338713.48951773334</v>
      </c>
      <c r="P88" s="145">
        <f>SUM(N88:N$113)</f>
        <v>304326.00061267329</v>
      </c>
      <c r="Q88" s="145">
        <f>SUM(O88:O$113)</f>
        <v>1715729.7505595246</v>
      </c>
      <c r="R88" s="147">
        <f t="shared" si="32"/>
        <v>0.13153599793317564</v>
      </c>
    </row>
    <row r="89" spans="1:18" x14ac:dyDescent="0.3">
      <c r="A89" s="123">
        <v>86</v>
      </c>
      <c r="B89" s="120">
        <v>0.143375</v>
      </c>
      <c r="C89" s="129">
        <v>9.5924999999999996E-2</v>
      </c>
      <c r="D89" s="120">
        <f t="shared" si="22"/>
        <v>0.1290375</v>
      </c>
      <c r="E89" s="112">
        <f t="shared" si="23"/>
        <v>2308528</v>
      </c>
      <c r="F89" s="112">
        <f t="shared" si="24"/>
        <v>297887</v>
      </c>
      <c r="G89" s="112">
        <f t="shared" si="25"/>
        <v>43468.500402130216</v>
      </c>
      <c r="H89" s="112">
        <f t="shared" si="26"/>
        <v>340635.50406605192</v>
      </c>
      <c r="I89" s="112">
        <f>SUM(G89:G$113)</f>
        <v>305482.02927308122</v>
      </c>
      <c r="J89" s="134">
        <f>SUM(H89:H$113)</f>
        <v>1751120.7832776555</v>
      </c>
      <c r="K89" s="120">
        <f t="shared" si="27"/>
        <v>0.143375</v>
      </c>
      <c r="L89" s="112">
        <f t="shared" si="28"/>
        <v>1949693</v>
      </c>
      <c r="M89" s="112">
        <f t="shared" si="29"/>
        <v>279537</v>
      </c>
      <c r="N89" s="112">
        <f t="shared" si="30"/>
        <v>40790.817312975305</v>
      </c>
      <c r="O89" s="112">
        <f t="shared" si="31"/>
        <v>287687.50382453797</v>
      </c>
      <c r="P89" s="112">
        <f>SUM(N89:N$113)</f>
        <v>260265.90261269023</v>
      </c>
      <c r="Q89" s="112">
        <f>SUM(O89:O$113)</f>
        <v>1377016.2610417912</v>
      </c>
      <c r="R89" s="113">
        <f t="shared" si="32"/>
        <v>0.14337488004521737</v>
      </c>
    </row>
    <row r="90" spans="1:18" x14ac:dyDescent="0.3">
      <c r="A90" s="123">
        <v>87</v>
      </c>
      <c r="B90" s="120">
        <v>0.15618799999999999</v>
      </c>
      <c r="C90" s="129">
        <v>0.105783</v>
      </c>
      <c r="D90" s="120">
        <f t="shared" si="22"/>
        <v>0.14056920000000001</v>
      </c>
      <c r="E90" s="112">
        <f t="shared" si="23"/>
        <v>2010641</v>
      </c>
      <c r="F90" s="112">
        <f t="shared" si="24"/>
        <v>282634</v>
      </c>
      <c r="G90" s="112">
        <f t="shared" si="25"/>
        <v>40335.198215636447</v>
      </c>
      <c r="H90" s="112">
        <f t="shared" si="26"/>
        <v>290152.27702497551</v>
      </c>
      <c r="I90" s="112">
        <f>SUM(G90:G$113)</f>
        <v>262013.52887095101</v>
      </c>
      <c r="J90" s="134">
        <f>SUM(H90:H$113)</f>
        <v>1410485.2792116036</v>
      </c>
      <c r="K90" s="120">
        <f t="shared" si="27"/>
        <v>0.15618799999999999</v>
      </c>
      <c r="L90" s="112">
        <f t="shared" si="28"/>
        <v>1670156</v>
      </c>
      <c r="M90" s="112">
        <f t="shared" si="29"/>
        <v>260858</v>
      </c>
      <c r="N90" s="112">
        <f t="shared" si="30"/>
        <v>37227.506726489002</v>
      </c>
      <c r="O90" s="112">
        <f t="shared" si="31"/>
        <v>241017.44985152746</v>
      </c>
      <c r="P90" s="112">
        <f>SUM(N90:N$113)</f>
        <v>219475.08529971488</v>
      </c>
      <c r="Q90" s="112">
        <f>SUM(O90:O$113)</f>
        <v>1089328.7572172533</v>
      </c>
      <c r="R90" s="113">
        <f t="shared" si="32"/>
        <v>0.15618780521101022</v>
      </c>
    </row>
    <row r="91" spans="1:18" x14ac:dyDescent="0.3">
      <c r="A91" s="123">
        <v>88</v>
      </c>
      <c r="B91" s="120">
        <v>0.17003299999999999</v>
      </c>
      <c r="C91" s="129">
        <v>0.116587</v>
      </c>
      <c r="D91" s="120">
        <f t="shared" si="22"/>
        <v>0.15302969999999999</v>
      </c>
      <c r="E91" s="112">
        <f t="shared" si="23"/>
        <v>1728007</v>
      </c>
      <c r="F91" s="112">
        <f t="shared" si="24"/>
        <v>264436</v>
      </c>
      <c r="G91" s="112">
        <f t="shared" si="25"/>
        <v>36907.70605103908</v>
      </c>
      <c r="H91" s="112">
        <f t="shared" si="26"/>
        <v>243878.56427729418</v>
      </c>
      <c r="I91" s="112">
        <f>SUM(G91:G$113)</f>
        <v>221678.33065531452</v>
      </c>
      <c r="J91" s="134">
        <f>SUM(H91:H$113)</f>
        <v>1120333.0021866281</v>
      </c>
      <c r="K91" s="120">
        <f t="shared" si="27"/>
        <v>0.17003299999999999</v>
      </c>
      <c r="L91" s="112">
        <f t="shared" si="28"/>
        <v>1409298</v>
      </c>
      <c r="M91" s="112">
        <f t="shared" si="29"/>
        <v>239627</v>
      </c>
      <c r="N91" s="112">
        <f t="shared" si="30"/>
        <v>33445.078876901563</v>
      </c>
      <c r="O91" s="112">
        <f t="shared" si="31"/>
        <v>198898.25265688283</v>
      </c>
      <c r="P91" s="112">
        <f>SUM(N91:N$113)</f>
        <v>182247.57857322594</v>
      </c>
      <c r="Q91" s="112">
        <f>SUM(O91:O$113)</f>
        <v>848311.3073657254</v>
      </c>
      <c r="R91" s="113">
        <f t="shared" si="32"/>
        <v>0.17003288161907559</v>
      </c>
    </row>
    <row r="92" spans="1:18" x14ac:dyDescent="0.3">
      <c r="A92" s="123">
        <v>89</v>
      </c>
      <c r="B92" s="120">
        <v>0.18497</v>
      </c>
      <c r="C92" s="129">
        <v>0.12841900000000001</v>
      </c>
      <c r="D92" s="120">
        <f t="shared" si="22"/>
        <v>0.16647300000000001</v>
      </c>
      <c r="E92" s="112">
        <f t="shared" si="23"/>
        <v>1463571</v>
      </c>
      <c r="F92" s="112">
        <f t="shared" si="24"/>
        <v>243645</v>
      </c>
      <c r="G92" s="112">
        <f t="shared" si="25"/>
        <v>33257.581234774916</v>
      </c>
      <c r="H92" s="112">
        <f t="shared" si="26"/>
        <v>202012.67108812733</v>
      </c>
      <c r="I92" s="112">
        <f>SUM(G92:G$113)</f>
        <v>184770.62460427542</v>
      </c>
      <c r="J92" s="134">
        <f>SUM(H92:H$113)</f>
        <v>876454.43790933397</v>
      </c>
      <c r="K92" s="120">
        <f t="shared" si="27"/>
        <v>0.18497</v>
      </c>
      <c r="L92" s="112">
        <f t="shared" si="28"/>
        <v>1169671</v>
      </c>
      <c r="M92" s="112">
        <f t="shared" si="29"/>
        <v>216354</v>
      </c>
      <c r="N92" s="112">
        <f t="shared" si="30"/>
        <v>29532.355396041341</v>
      </c>
      <c r="O92" s="112">
        <f t="shared" si="31"/>
        <v>161446.46416492332</v>
      </c>
      <c r="P92" s="112">
        <f>SUM(N92:N$113)</f>
        <v>148802.49969632438</v>
      </c>
      <c r="Q92" s="112">
        <f>SUM(O92:O$113)</f>
        <v>649413.05470884254</v>
      </c>
      <c r="R92" s="113">
        <f t="shared" si="32"/>
        <v>0.1849699616387856</v>
      </c>
    </row>
    <row r="93" spans="1:18" x14ac:dyDescent="0.3">
      <c r="A93" s="142">
        <v>90</v>
      </c>
      <c r="B93" s="143">
        <v>0.20105500000000001</v>
      </c>
      <c r="C93" s="144">
        <v>0.14136099999999999</v>
      </c>
      <c r="D93" s="143">
        <f t="shared" si="22"/>
        <v>0.18094950000000001</v>
      </c>
      <c r="E93" s="145">
        <f t="shared" si="23"/>
        <v>1219926</v>
      </c>
      <c r="F93" s="145">
        <f t="shared" si="24"/>
        <v>220745</v>
      </c>
      <c r="G93" s="145">
        <f t="shared" si="25"/>
        <v>29468.682243642252</v>
      </c>
      <c r="H93" s="145">
        <f t="shared" si="26"/>
        <v>164677.77339562657</v>
      </c>
      <c r="I93" s="145">
        <f>SUM(G93:G$113)</f>
        <v>151513.04336950049</v>
      </c>
      <c r="J93" s="146">
        <f>SUM(H93:H$113)</f>
        <v>674441.76682120666</v>
      </c>
      <c r="K93" s="143">
        <f t="shared" si="27"/>
        <v>0.20105500000000001</v>
      </c>
      <c r="L93" s="145">
        <f t="shared" si="28"/>
        <v>953317</v>
      </c>
      <c r="M93" s="145">
        <f t="shared" si="29"/>
        <v>191669</v>
      </c>
      <c r="N93" s="145">
        <f t="shared" si="30"/>
        <v>25587.13835854342</v>
      </c>
      <c r="O93" s="145">
        <f t="shared" si="31"/>
        <v>128688.23264706101</v>
      </c>
      <c r="P93" s="145">
        <f>SUM(N93:N$113)</f>
        <v>119270.14430028305</v>
      </c>
      <c r="Q93" s="145">
        <f>SUM(O93:O$113)</f>
        <v>487966.59054391918</v>
      </c>
      <c r="R93" s="147">
        <f t="shared" si="32"/>
        <v>0.20105484324731437</v>
      </c>
    </row>
    <row r="94" spans="1:18" x14ac:dyDescent="0.3">
      <c r="A94" s="123">
        <v>91</v>
      </c>
      <c r="B94" s="120">
        <v>0.21834799999999999</v>
      </c>
      <c r="C94" s="129">
        <v>0.155497</v>
      </c>
      <c r="D94" s="120">
        <f t="shared" si="22"/>
        <v>0.1965132</v>
      </c>
      <c r="E94" s="112">
        <f t="shared" si="23"/>
        <v>999181</v>
      </c>
      <c r="F94" s="112">
        <f t="shared" si="24"/>
        <v>196352</v>
      </c>
      <c r="G94" s="112">
        <f t="shared" si="25"/>
        <v>25635.503581270568</v>
      </c>
      <c r="H94" s="112">
        <f t="shared" si="26"/>
        <v>131911.4059687749</v>
      </c>
      <c r="I94" s="112">
        <f>SUM(G94:G$113)</f>
        <v>122044.36112585821</v>
      </c>
      <c r="J94" s="134">
        <f>SUM(H94:H$113)</f>
        <v>509763.99342557992</v>
      </c>
      <c r="K94" s="120">
        <f t="shared" si="27"/>
        <v>0.21834799999999999</v>
      </c>
      <c r="L94" s="112">
        <f t="shared" si="28"/>
        <v>761648</v>
      </c>
      <c r="M94" s="112">
        <f t="shared" si="29"/>
        <v>166304</v>
      </c>
      <c r="N94" s="112">
        <f t="shared" si="30"/>
        <v>21712.469379377955</v>
      </c>
      <c r="O94" s="112">
        <f t="shared" si="31"/>
        <v>100552.41095787995</v>
      </c>
      <c r="P94" s="112">
        <f>SUM(N94:N$113)</f>
        <v>93683.005941739626</v>
      </c>
      <c r="Q94" s="112">
        <f>SUM(O94:O$113)</f>
        <v>359278.35789685819</v>
      </c>
      <c r="R94" s="113">
        <f t="shared" si="32"/>
        <v>0.21834758313551667</v>
      </c>
    </row>
    <row r="95" spans="1:18" x14ac:dyDescent="0.3">
      <c r="A95" s="123">
        <v>92</v>
      </c>
      <c r="B95" s="120">
        <v>0.23690700000000001</v>
      </c>
      <c r="C95" s="129">
        <v>0.17090900000000001</v>
      </c>
      <c r="D95" s="120">
        <f t="shared" si="22"/>
        <v>0.2132163</v>
      </c>
      <c r="E95" s="112">
        <f t="shared" si="23"/>
        <v>802829</v>
      </c>
      <c r="F95" s="112">
        <f t="shared" si="24"/>
        <v>171176</v>
      </c>
      <c r="G95" s="112">
        <f t="shared" si="25"/>
        <v>21856.774964235534</v>
      </c>
      <c r="H95" s="112">
        <f t="shared" si="26"/>
        <v>103656.82857830789</v>
      </c>
      <c r="I95" s="112">
        <f>SUM(G95:G$113)</f>
        <v>96408.857544587634</v>
      </c>
      <c r="J95" s="134">
        <f>SUM(H95:H$113)</f>
        <v>377852.58745680505</v>
      </c>
      <c r="K95" s="120">
        <f t="shared" si="27"/>
        <v>0.23690700000000001</v>
      </c>
      <c r="L95" s="112">
        <f t="shared" si="28"/>
        <v>595344</v>
      </c>
      <c r="M95" s="112">
        <f t="shared" si="29"/>
        <v>141041</v>
      </c>
      <c r="N95" s="112">
        <f t="shared" si="30"/>
        <v>18008.958018242884</v>
      </c>
      <c r="O95" s="112">
        <f t="shared" si="31"/>
        <v>76867.515938168814</v>
      </c>
      <c r="P95" s="112">
        <f>SUM(N95:N$113)</f>
        <v>71970.536562361667</v>
      </c>
      <c r="Q95" s="112">
        <f>SUM(O95:O$113)</f>
        <v>258725.94693897825</v>
      </c>
      <c r="R95" s="113">
        <f t="shared" si="32"/>
        <v>0.23690672955467762</v>
      </c>
    </row>
    <row r="96" spans="1:18" x14ac:dyDescent="0.3">
      <c r="A96" s="123">
        <v>93</v>
      </c>
      <c r="B96" s="120">
        <v>0.25678299999999998</v>
      </c>
      <c r="C96" s="129">
        <v>0.18768099999999999</v>
      </c>
      <c r="D96" s="120">
        <f t="shared" si="22"/>
        <v>0.2311047</v>
      </c>
      <c r="E96" s="112">
        <f t="shared" si="23"/>
        <v>631653</v>
      </c>
      <c r="F96" s="112">
        <f t="shared" si="24"/>
        <v>145978</v>
      </c>
      <c r="G96" s="112">
        <f t="shared" si="25"/>
        <v>18229.186984311924</v>
      </c>
      <c r="H96" s="112">
        <f t="shared" si="26"/>
        <v>79760.912151633514</v>
      </c>
      <c r="I96" s="112">
        <f>SUM(G96:G$113)</f>
        <v>74552.082580352115</v>
      </c>
      <c r="J96" s="134">
        <f>SUM(H96:H$113)</f>
        <v>274195.75887849717</v>
      </c>
      <c r="K96" s="120">
        <f t="shared" si="27"/>
        <v>0.25678299999999998</v>
      </c>
      <c r="L96" s="112">
        <f t="shared" si="28"/>
        <v>454303</v>
      </c>
      <c r="M96" s="112">
        <f t="shared" si="29"/>
        <v>116657</v>
      </c>
      <c r="N96" s="112">
        <f t="shared" si="30"/>
        <v>14567.690104186084</v>
      </c>
      <c r="O96" s="112">
        <f t="shared" si="31"/>
        <v>57366.341445736121</v>
      </c>
      <c r="P96" s="112">
        <f>SUM(N96:N$113)</f>
        <v>53961.578544118805</v>
      </c>
      <c r="Q96" s="112">
        <f>SUM(O96:O$113)</f>
        <v>181858.43100080945</v>
      </c>
      <c r="R96" s="113">
        <f t="shared" si="32"/>
        <v>0.25678236771493917</v>
      </c>
    </row>
    <row r="97" spans="1:18" x14ac:dyDescent="0.3">
      <c r="A97" s="123">
        <v>94</v>
      </c>
      <c r="B97" s="120">
        <v>0.278003</v>
      </c>
      <c r="C97" s="129">
        <v>0.20588500000000001</v>
      </c>
      <c r="D97" s="120">
        <f t="shared" si="22"/>
        <v>0.2502027</v>
      </c>
      <c r="E97" s="112">
        <f t="shared" si="23"/>
        <v>485675</v>
      </c>
      <c r="F97" s="112">
        <f t="shared" si="24"/>
        <v>121517</v>
      </c>
      <c r="G97" s="112">
        <f t="shared" si="25"/>
        <v>14840.67358224111</v>
      </c>
      <c r="H97" s="112">
        <f t="shared" si="26"/>
        <v>59978.276363367586</v>
      </c>
      <c r="I97" s="112">
        <f>SUM(G97:G$113)</f>
        <v>56322.895596040173</v>
      </c>
      <c r="J97" s="134">
        <f>SUM(H97:H$113)</f>
        <v>194434.8467268637</v>
      </c>
      <c r="K97" s="120">
        <f t="shared" si="27"/>
        <v>0.278003</v>
      </c>
      <c r="L97" s="112">
        <f t="shared" si="28"/>
        <v>337646</v>
      </c>
      <c r="M97" s="112">
        <f t="shared" si="29"/>
        <v>93867</v>
      </c>
      <c r="N97" s="112">
        <f t="shared" si="30"/>
        <v>11463.824050496854</v>
      </c>
      <c r="O97" s="112">
        <f t="shared" si="31"/>
        <v>41697.483092573457</v>
      </c>
      <c r="P97" s="112">
        <f>SUM(N97:N$113)</f>
        <v>39393.888439932722</v>
      </c>
      <c r="Q97" s="112">
        <f>SUM(O97:O$113)</f>
        <v>124492.08955507331</v>
      </c>
      <c r="R97" s="113">
        <f t="shared" si="32"/>
        <v>0.27800418189464704</v>
      </c>
    </row>
    <row r="98" spans="1:18" x14ac:dyDescent="0.3">
      <c r="A98" s="142">
        <v>95</v>
      </c>
      <c r="B98" s="143">
        <v>0.300589</v>
      </c>
      <c r="C98" s="144">
        <v>0.22559599999999999</v>
      </c>
      <c r="D98" s="143">
        <f t="shared" si="22"/>
        <v>0.2705301</v>
      </c>
      <c r="E98" s="145">
        <f t="shared" si="23"/>
        <v>364158</v>
      </c>
      <c r="F98" s="145">
        <f t="shared" si="24"/>
        <v>98516</v>
      </c>
      <c r="G98" s="145">
        <f t="shared" si="25"/>
        <v>11766.844850513258</v>
      </c>
      <c r="H98" s="145">
        <f t="shared" si="26"/>
        <v>43981.979384538099</v>
      </c>
      <c r="I98" s="145">
        <f>SUM(G98:G$113)</f>
        <v>41482.222013799066</v>
      </c>
      <c r="J98" s="146">
        <f>SUM(H98:H$113)</f>
        <v>134456.57036349605</v>
      </c>
      <c r="K98" s="143">
        <f t="shared" si="27"/>
        <v>0.300589</v>
      </c>
      <c r="L98" s="145">
        <f t="shared" si="28"/>
        <v>243779</v>
      </c>
      <c r="M98" s="145">
        <f t="shared" si="29"/>
        <v>73277</v>
      </c>
      <c r="N98" s="145">
        <f t="shared" si="30"/>
        <v>8752.2746570207892</v>
      </c>
      <c r="O98" s="145">
        <f t="shared" si="31"/>
        <v>29442.942218441756</v>
      </c>
      <c r="P98" s="145">
        <f>SUM(N98:N$113)</f>
        <v>27930.064389435862</v>
      </c>
      <c r="Q98" s="145">
        <f>SUM(O98:O$113)</f>
        <v>82794.606462499854</v>
      </c>
      <c r="R98" s="147">
        <f t="shared" si="32"/>
        <v>0.30058782749949747</v>
      </c>
    </row>
    <row r="99" spans="1:18" x14ac:dyDescent="0.3">
      <c r="A99" s="123">
        <v>96</v>
      </c>
      <c r="B99" s="120">
        <v>0.32455899999999999</v>
      </c>
      <c r="C99" s="129">
        <v>0.246887</v>
      </c>
      <c r="D99" s="120">
        <f t="shared" ref="D99:D113" si="33">IF(A99=110,1,IF($A$1=1,B99,C99)*$F$1)</f>
        <v>0.2921031</v>
      </c>
      <c r="E99" s="112">
        <f t="shared" ref="E99:E113" si="34">IF(A99=0,10^7,E98-F98)</f>
        <v>265642</v>
      </c>
      <c r="F99" s="112">
        <f t="shared" ref="F99:F113" si="35">ROUND(E99*D99,0)</f>
        <v>77595</v>
      </c>
      <c r="G99" s="112">
        <f t="shared" ref="G99:G113" si="36">F99*(1+$H$1)^(-A99-0.5)</f>
        <v>9064.0789132295522</v>
      </c>
      <c r="H99" s="112">
        <f t="shared" ref="H99:H113" si="37">E99*(1+$H$1)^(-A99)</f>
        <v>31377.500136040715</v>
      </c>
      <c r="I99" s="112">
        <f>SUM(G99:G$113)</f>
        <v>29715.377163285815</v>
      </c>
      <c r="J99" s="134">
        <f>SUM(H99:H$113)</f>
        <v>90474.590978958004</v>
      </c>
      <c r="K99" s="120">
        <f t="shared" ref="K99:K113" si="38">IF(A99=110,1,IF($A$1=1,B99,C99)*$M$1)</f>
        <v>0.32455899999999999</v>
      </c>
      <c r="L99" s="112">
        <f t="shared" ref="L99:L113" si="39">IF(A99=0,10^7,L98-M98)</f>
        <v>170502</v>
      </c>
      <c r="M99" s="112">
        <f t="shared" ref="M99:M113" si="40">ROUND(L99*K99,0)</f>
        <v>55338</v>
      </c>
      <c r="N99" s="112">
        <f t="shared" ref="N99:N113" si="41">M99*(1+$O$1)^(-A99-0.5)</f>
        <v>6464.1793788297819</v>
      </c>
      <c r="O99" s="112">
        <f t="shared" ref="O99:O113" si="42">L99*(1+$O$1)^(-A99)</f>
        <v>20139.61093575268</v>
      </c>
      <c r="P99" s="112">
        <f>SUM(N99:N$113)</f>
        <v>19177.789732415073</v>
      </c>
      <c r="Q99" s="112">
        <f>SUM(O99:O$113)</f>
        <v>53351.664244058091</v>
      </c>
      <c r="R99" s="113">
        <f t="shared" ref="R99:R113" si="43">M99/L99</f>
        <v>0.3245592427068304</v>
      </c>
    </row>
    <row r="100" spans="1:18" x14ac:dyDescent="0.3">
      <c r="A100" s="123">
        <v>97</v>
      </c>
      <c r="B100" s="120">
        <v>0.34993600000000002</v>
      </c>
      <c r="C100" s="129">
        <v>0.26983000000000001</v>
      </c>
      <c r="D100" s="120">
        <f t="shared" si="33"/>
        <v>0.31494240000000001</v>
      </c>
      <c r="E100" s="112">
        <f t="shared" si="34"/>
        <v>188047</v>
      </c>
      <c r="F100" s="112">
        <f t="shared" si="35"/>
        <v>59224</v>
      </c>
      <c r="G100" s="112">
        <f t="shared" si="36"/>
        <v>6765.8810793754583</v>
      </c>
      <c r="H100" s="112">
        <f t="shared" si="37"/>
        <v>21723.244555279638</v>
      </c>
      <c r="I100" s="112">
        <f>SUM(G100:G$113)</f>
        <v>20651.298250056261</v>
      </c>
      <c r="J100" s="134">
        <f>SUM(H100:H$113)</f>
        <v>59097.090842917263</v>
      </c>
      <c r="K100" s="120">
        <f t="shared" si="38"/>
        <v>0.34993600000000002</v>
      </c>
      <c r="L100" s="112">
        <f t="shared" si="39"/>
        <v>115164</v>
      </c>
      <c r="M100" s="112">
        <f t="shared" si="40"/>
        <v>40300</v>
      </c>
      <c r="N100" s="112">
        <f t="shared" si="41"/>
        <v>4603.9613585511106</v>
      </c>
      <c r="O100" s="112">
        <f t="shared" si="42"/>
        <v>13303.779033774663</v>
      </c>
      <c r="P100" s="112">
        <f>SUM(N100:N$113)</f>
        <v>12713.610353585291</v>
      </c>
      <c r="Q100" s="112">
        <f>SUM(O100:O$113)</f>
        <v>33212.053308305411</v>
      </c>
      <c r="R100" s="113">
        <f t="shared" si="43"/>
        <v>0.34993574380882914</v>
      </c>
    </row>
    <row r="101" spans="1:18" x14ac:dyDescent="0.3">
      <c r="A101" s="123">
        <v>98</v>
      </c>
      <c r="B101" s="120">
        <v>0.37671700000000002</v>
      </c>
      <c r="C101" s="129">
        <v>0.29448000000000002</v>
      </c>
      <c r="D101" s="120">
        <f t="shared" si="33"/>
        <v>0.33904530000000005</v>
      </c>
      <c r="E101" s="112">
        <f t="shared" si="34"/>
        <v>128823</v>
      </c>
      <c r="F101" s="112">
        <f t="shared" si="35"/>
        <v>43677</v>
      </c>
      <c r="G101" s="112">
        <f t="shared" si="36"/>
        <v>4879.9582655132208</v>
      </c>
      <c r="H101" s="112">
        <f t="shared" si="37"/>
        <v>14554.201190350537</v>
      </c>
      <c r="I101" s="112">
        <f>SUM(G101:G$113)</f>
        <v>13885.417170680807</v>
      </c>
      <c r="J101" s="134">
        <f>SUM(H101:H$113)</f>
        <v>37373.846287637636</v>
      </c>
      <c r="K101" s="120">
        <f t="shared" si="38"/>
        <v>0.37671700000000002</v>
      </c>
      <c r="L101" s="112">
        <f t="shared" si="39"/>
        <v>74864</v>
      </c>
      <c r="M101" s="112">
        <f t="shared" si="40"/>
        <v>28203</v>
      </c>
      <c r="N101" s="112">
        <f t="shared" si="41"/>
        <v>3151.074088473782</v>
      </c>
      <c r="O101" s="112">
        <f t="shared" si="42"/>
        <v>8458.0060852053011</v>
      </c>
      <c r="P101" s="112">
        <f>SUM(N101:N$113)</f>
        <v>8109.6489950341802</v>
      </c>
      <c r="Q101" s="112">
        <f>SUM(O101:O$113)</f>
        <v>19908.274274530751</v>
      </c>
      <c r="R101" s="113">
        <f t="shared" si="43"/>
        <v>0.37672312459927337</v>
      </c>
    </row>
    <row r="102" spans="1:18" x14ac:dyDescent="0.3">
      <c r="A102" s="123">
        <v>99</v>
      </c>
      <c r="B102" s="120">
        <v>0.40481499999999998</v>
      </c>
      <c r="C102" s="129">
        <v>0.32080900000000001</v>
      </c>
      <c r="D102" s="120">
        <f t="shared" si="33"/>
        <v>0.36433349999999998</v>
      </c>
      <c r="E102" s="112">
        <f t="shared" si="34"/>
        <v>85146</v>
      </c>
      <c r="F102" s="112">
        <f t="shared" si="35"/>
        <v>31022</v>
      </c>
      <c r="G102" s="112">
        <f t="shared" si="36"/>
        <v>3389.7665041489245</v>
      </c>
      <c r="H102" s="112">
        <f t="shared" si="37"/>
        <v>9407.9694652286926</v>
      </c>
      <c r="I102" s="112">
        <f>SUM(G102:G$113)</f>
        <v>9005.4589051675885</v>
      </c>
      <c r="J102" s="134">
        <f>SUM(H102:H$113)</f>
        <v>22819.645097287099</v>
      </c>
      <c r="K102" s="120">
        <f t="shared" si="38"/>
        <v>0.40481499999999998</v>
      </c>
      <c r="L102" s="112">
        <f t="shared" si="39"/>
        <v>46661</v>
      </c>
      <c r="M102" s="112">
        <f t="shared" si="40"/>
        <v>18889</v>
      </c>
      <c r="N102" s="112">
        <f t="shared" si="41"/>
        <v>2063.9965023811824</v>
      </c>
      <c r="O102" s="112">
        <f t="shared" si="42"/>
        <v>5155.6768752147609</v>
      </c>
      <c r="P102" s="112">
        <f>SUM(N102:N$113)</f>
        <v>4958.5749065603977</v>
      </c>
      <c r="Q102" s="112">
        <f>SUM(O102:O$113)</f>
        <v>11450.268189325448</v>
      </c>
      <c r="R102" s="113">
        <f t="shared" si="43"/>
        <v>0.40481344163219818</v>
      </c>
    </row>
    <row r="103" spans="1:18" x14ac:dyDescent="0.3">
      <c r="A103" s="142">
        <v>100</v>
      </c>
      <c r="B103" s="143">
        <v>0.43411899999999998</v>
      </c>
      <c r="C103" s="144">
        <v>0.348771</v>
      </c>
      <c r="D103" s="143">
        <f t="shared" si="33"/>
        <v>0.39070709999999997</v>
      </c>
      <c r="E103" s="145">
        <f t="shared" si="34"/>
        <v>54124</v>
      </c>
      <c r="F103" s="145">
        <f t="shared" si="35"/>
        <v>21147</v>
      </c>
      <c r="G103" s="145">
        <f t="shared" si="36"/>
        <v>2259.8803140806708</v>
      </c>
      <c r="H103" s="145">
        <f t="shared" si="37"/>
        <v>5848.6848085648344</v>
      </c>
      <c r="I103" s="145">
        <f>SUM(G103:G$113)</f>
        <v>5615.6924010186613</v>
      </c>
      <c r="J103" s="146">
        <f>SUM(H103:H$113)</f>
        <v>13411.675632058403</v>
      </c>
      <c r="K103" s="143">
        <f t="shared" si="38"/>
        <v>0.43411899999999998</v>
      </c>
      <c r="L103" s="145">
        <f t="shared" si="39"/>
        <v>27772</v>
      </c>
      <c r="M103" s="145">
        <f t="shared" si="40"/>
        <v>12056</v>
      </c>
      <c r="N103" s="145">
        <f t="shared" si="41"/>
        <v>1288.3679513196466</v>
      </c>
      <c r="O103" s="145">
        <f t="shared" si="42"/>
        <v>3001.0655994283975</v>
      </c>
      <c r="P103" s="145">
        <f>SUM(N103:N$113)</f>
        <v>2894.5784041792158</v>
      </c>
      <c r="Q103" s="145">
        <f>SUM(O103:O$113)</f>
        <v>6294.5913141106867</v>
      </c>
      <c r="R103" s="147">
        <f t="shared" si="43"/>
        <v>0.43410629410917473</v>
      </c>
    </row>
    <row r="104" spans="1:18" x14ac:dyDescent="0.3">
      <c r="A104" s="123">
        <v>101</v>
      </c>
      <c r="B104" s="120">
        <v>0.46451999999999999</v>
      </c>
      <c r="C104" s="129">
        <v>0.37831900000000002</v>
      </c>
      <c r="D104" s="120">
        <f t="shared" si="33"/>
        <v>0.418068</v>
      </c>
      <c r="E104" s="112">
        <f t="shared" si="34"/>
        <v>32977</v>
      </c>
      <c r="F104" s="112">
        <f t="shared" si="35"/>
        <v>13787</v>
      </c>
      <c r="G104" s="112">
        <f t="shared" si="36"/>
        <v>1440.9308268702027</v>
      </c>
      <c r="H104" s="112">
        <f t="shared" si="37"/>
        <v>3485.1073471248856</v>
      </c>
      <c r="I104" s="112">
        <f>SUM(G104:G$113)</f>
        <v>3355.8120869379909</v>
      </c>
      <c r="J104" s="134">
        <f>SUM(H104:H$113)</f>
        <v>7562.9908234935692</v>
      </c>
      <c r="K104" s="120">
        <f t="shared" si="38"/>
        <v>0.46451999999999999</v>
      </c>
      <c r="L104" s="112">
        <f t="shared" si="39"/>
        <v>15716</v>
      </c>
      <c r="M104" s="112">
        <f t="shared" si="40"/>
        <v>7300</v>
      </c>
      <c r="N104" s="112">
        <f t="shared" si="41"/>
        <v>762.95024560473485</v>
      </c>
      <c r="O104" s="112">
        <f t="shared" si="42"/>
        <v>1660.9135781731115</v>
      </c>
      <c r="P104" s="112">
        <f>SUM(N104:N$113)</f>
        <v>1606.2104528595692</v>
      </c>
      <c r="Q104" s="112">
        <f>SUM(O104:O$113)</f>
        <v>3293.5257146822892</v>
      </c>
      <c r="R104" s="113">
        <f t="shared" si="43"/>
        <v>0.4644947823873759</v>
      </c>
    </row>
    <row r="105" spans="1:18" x14ac:dyDescent="0.3">
      <c r="A105" s="123">
        <v>102</v>
      </c>
      <c r="B105" s="120">
        <v>0.49590800000000002</v>
      </c>
      <c r="C105" s="129">
        <v>0.40940599999999999</v>
      </c>
      <c r="D105" s="120">
        <f t="shared" si="33"/>
        <v>0.44631720000000003</v>
      </c>
      <c r="E105" s="112">
        <f t="shared" si="34"/>
        <v>19190</v>
      </c>
      <c r="F105" s="112">
        <f t="shared" si="35"/>
        <v>8565</v>
      </c>
      <c r="G105" s="112">
        <f t="shared" si="36"/>
        <v>875.46221704853838</v>
      </c>
      <c r="H105" s="112">
        <f t="shared" si="37"/>
        <v>1983.4290667378996</v>
      </c>
      <c r="I105" s="112">
        <f>SUM(G105:G$113)</f>
        <v>1914.8812600677875</v>
      </c>
      <c r="J105" s="134">
        <f>SUM(H105:H$113)</f>
        <v>4077.8834763686841</v>
      </c>
      <c r="K105" s="120">
        <f t="shared" si="38"/>
        <v>0.49590800000000002</v>
      </c>
      <c r="L105" s="112">
        <f t="shared" si="39"/>
        <v>8416</v>
      </c>
      <c r="M105" s="112">
        <f t="shared" si="40"/>
        <v>4174</v>
      </c>
      <c r="N105" s="112">
        <f t="shared" si="41"/>
        <v>426.64089830246343</v>
      </c>
      <c r="O105" s="112">
        <f t="shared" si="42"/>
        <v>869.85612431819504</v>
      </c>
      <c r="P105" s="112">
        <f>SUM(N105:N$113)</f>
        <v>843.2602072548342</v>
      </c>
      <c r="Q105" s="112">
        <f>SUM(O105:O$113)</f>
        <v>1632.6121365091776</v>
      </c>
      <c r="R105" s="113">
        <f t="shared" si="43"/>
        <v>0.49596007604562736</v>
      </c>
    </row>
    <row r="106" spans="1:18" x14ac:dyDescent="0.3">
      <c r="A106" s="123">
        <v>103</v>
      </c>
      <c r="B106" s="120">
        <v>0.52817499999999995</v>
      </c>
      <c r="C106" s="129">
        <v>0.44198700000000002</v>
      </c>
      <c r="D106" s="120">
        <f t="shared" si="33"/>
        <v>0.47535749999999999</v>
      </c>
      <c r="E106" s="112">
        <f t="shared" si="34"/>
        <v>10625</v>
      </c>
      <c r="F106" s="112">
        <f t="shared" si="35"/>
        <v>5051</v>
      </c>
      <c r="G106" s="112">
        <f t="shared" si="36"/>
        <v>504.92176562226359</v>
      </c>
      <c r="H106" s="112">
        <f t="shared" si="37"/>
        <v>1074.0075163480462</v>
      </c>
      <c r="I106" s="112">
        <f>SUM(G106:G$113)</f>
        <v>1039.4190430192491</v>
      </c>
      <c r="J106" s="134">
        <f>SUM(H106:H$113)</f>
        <v>2094.4544096307845</v>
      </c>
      <c r="K106" s="120">
        <f t="shared" si="38"/>
        <v>0.52817499999999995</v>
      </c>
      <c r="L106" s="112">
        <f t="shared" si="39"/>
        <v>4242</v>
      </c>
      <c r="M106" s="112">
        <f t="shared" si="40"/>
        <v>2241</v>
      </c>
      <c r="N106" s="112">
        <f t="shared" si="41"/>
        <v>224.02092194802864</v>
      </c>
      <c r="O106" s="112">
        <f t="shared" si="42"/>
        <v>428.79434205632111</v>
      </c>
      <c r="P106" s="112">
        <f>SUM(N106:N$113)</f>
        <v>416.61930895237083</v>
      </c>
      <c r="Q106" s="112">
        <f>SUM(O106:O$113)</f>
        <v>762.75601219098246</v>
      </c>
      <c r="R106" s="113">
        <f t="shared" si="43"/>
        <v>0.52828854314002827</v>
      </c>
    </row>
    <row r="107" spans="1:18" x14ac:dyDescent="0.3">
      <c r="A107" s="123">
        <v>104</v>
      </c>
      <c r="B107" s="120">
        <v>0.56122499999999997</v>
      </c>
      <c r="C107" s="129">
        <v>0.47603000000000001</v>
      </c>
      <c r="D107" s="120">
        <f t="shared" si="33"/>
        <v>0.50510250000000001</v>
      </c>
      <c r="E107" s="112">
        <f t="shared" si="34"/>
        <v>5574</v>
      </c>
      <c r="F107" s="112">
        <f t="shared" si="35"/>
        <v>2815</v>
      </c>
      <c r="G107" s="112">
        <f t="shared" si="36"/>
        <v>275.20847651784027</v>
      </c>
      <c r="H107" s="112">
        <f t="shared" si="37"/>
        <v>551.03860973958956</v>
      </c>
      <c r="I107" s="112">
        <f>SUM(G107:G$113)</f>
        <v>534.49727739698551</v>
      </c>
      <c r="J107" s="134">
        <f>SUM(H107:H$113)</f>
        <v>1020.4468932827382</v>
      </c>
      <c r="K107" s="120">
        <f t="shared" si="38"/>
        <v>0.56122499999999997</v>
      </c>
      <c r="L107" s="112">
        <f t="shared" si="39"/>
        <v>2001</v>
      </c>
      <c r="M107" s="112">
        <f t="shared" si="40"/>
        <v>1123</v>
      </c>
      <c r="N107" s="112">
        <f t="shared" si="41"/>
        <v>109.7900956055185</v>
      </c>
      <c r="O107" s="112">
        <f t="shared" si="42"/>
        <v>197.81633621975575</v>
      </c>
      <c r="P107" s="112">
        <f>SUM(N107:N$113)</f>
        <v>192.59838700434219</v>
      </c>
      <c r="Q107" s="112">
        <f>SUM(O107:O$113)</f>
        <v>333.9616701346614</v>
      </c>
      <c r="R107" s="113">
        <f t="shared" si="43"/>
        <v>0.56121939030484758</v>
      </c>
    </row>
    <row r="108" spans="1:18" x14ac:dyDescent="0.3">
      <c r="A108" s="142">
        <v>105</v>
      </c>
      <c r="B108" s="143">
        <v>0.59496700000000002</v>
      </c>
      <c r="C108" s="144">
        <v>0.51150099999999998</v>
      </c>
      <c r="D108" s="143">
        <f t="shared" si="33"/>
        <v>0.53547030000000007</v>
      </c>
      <c r="E108" s="145">
        <f t="shared" si="34"/>
        <v>2759</v>
      </c>
      <c r="F108" s="145">
        <f t="shared" si="35"/>
        <v>1477</v>
      </c>
      <c r="G108" s="145">
        <f t="shared" si="36"/>
        <v>141.22142376175481</v>
      </c>
      <c r="H108" s="145">
        <f t="shared" si="37"/>
        <v>266.74939871399573</v>
      </c>
      <c r="I108" s="145">
        <f>SUM(G108:G$113)</f>
        <v>259.28880087914524</v>
      </c>
      <c r="J108" s="146">
        <f>SUM(H108:H$113)</f>
        <v>469.40828354314874</v>
      </c>
      <c r="K108" s="143">
        <f t="shared" si="38"/>
        <v>0.59496700000000002</v>
      </c>
      <c r="L108" s="145">
        <f t="shared" si="39"/>
        <v>878</v>
      </c>
      <c r="M108" s="145">
        <f t="shared" si="40"/>
        <v>522</v>
      </c>
      <c r="N108" s="145">
        <f t="shared" si="41"/>
        <v>49.910347463531487</v>
      </c>
      <c r="O108" s="145">
        <f t="shared" si="42"/>
        <v>84.887992776690197</v>
      </c>
      <c r="P108" s="145">
        <f>SUM(N108:N$113)</f>
        <v>82.808291398823698</v>
      </c>
      <c r="Q108" s="145">
        <f>SUM(O108:O$113)</f>
        <v>136.14533391490565</v>
      </c>
      <c r="R108" s="147">
        <f t="shared" si="43"/>
        <v>0.59453302961275623</v>
      </c>
    </row>
    <row r="109" spans="1:18" x14ac:dyDescent="0.3">
      <c r="A109" s="123">
        <v>106</v>
      </c>
      <c r="B109" s="120">
        <v>0.62930699999999995</v>
      </c>
      <c r="C109" s="129">
        <v>0.54837100000000005</v>
      </c>
      <c r="D109" s="120">
        <f t="shared" si="33"/>
        <v>0.56637629999999994</v>
      </c>
      <c r="E109" s="112">
        <f t="shared" si="34"/>
        <v>1282</v>
      </c>
      <c r="F109" s="112">
        <f t="shared" si="35"/>
        <v>726</v>
      </c>
      <c r="G109" s="112">
        <f t="shared" si="36"/>
        <v>67.888059388891449</v>
      </c>
      <c r="H109" s="112">
        <f t="shared" si="37"/>
        <v>121.22060778243156</v>
      </c>
      <c r="I109" s="112">
        <f>SUM(G109:G$113)</f>
        <v>118.06737711739046</v>
      </c>
      <c r="J109" s="134">
        <f>SUM(H109:H$113)</f>
        <v>202.65888482915298</v>
      </c>
      <c r="K109" s="120">
        <f t="shared" si="38"/>
        <v>0.62930699999999995</v>
      </c>
      <c r="L109" s="112">
        <f t="shared" si="39"/>
        <v>356</v>
      </c>
      <c r="M109" s="112">
        <f t="shared" si="40"/>
        <v>224</v>
      </c>
      <c r="N109" s="112">
        <f t="shared" si="41"/>
        <v>20.946178103459619</v>
      </c>
      <c r="O109" s="112">
        <f t="shared" si="42"/>
        <v>33.661884844419369</v>
      </c>
      <c r="P109" s="112">
        <f>SUM(N109:N$113)</f>
        <v>32.897943935292211</v>
      </c>
      <c r="Q109" s="112">
        <f>SUM(O109:O$113)</f>
        <v>51.257341138215452</v>
      </c>
      <c r="R109" s="113">
        <f t="shared" si="43"/>
        <v>0.6292134831460674</v>
      </c>
    </row>
    <row r="110" spans="1:18" x14ac:dyDescent="0.3">
      <c r="A110" s="123">
        <v>107</v>
      </c>
      <c r="B110" s="120">
        <v>0.66415199999999996</v>
      </c>
      <c r="C110" s="129">
        <v>0.58660699999999999</v>
      </c>
      <c r="D110" s="120">
        <f t="shared" si="33"/>
        <v>0.59773679999999996</v>
      </c>
      <c r="E110" s="112">
        <f t="shared" si="34"/>
        <v>556</v>
      </c>
      <c r="F110" s="112">
        <f t="shared" si="35"/>
        <v>332</v>
      </c>
      <c r="G110" s="112">
        <f t="shared" si="36"/>
        <v>30.362081428346997</v>
      </c>
      <c r="H110" s="112">
        <f t="shared" si="37"/>
        <v>51.416191790052935</v>
      </c>
      <c r="I110" s="112">
        <f>SUM(G110:G$113)</f>
        <v>50.179317728499022</v>
      </c>
      <c r="J110" s="134">
        <f>SUM(H110:H$113)</f>
        <v>81.438277046721424</v>
      </c>
      <c r="K110" s="120">
        <f t="shared" si="38"/>
        <v>0.66415199999999996</v>
      </c>
      <c r="L110" s="112">
        <f t="shared" si="39"/>
        <v>132</v>
      </c>
      <c r="M110" s="112">
        <f t="shared" si="40"/>
        <v>88</v>
      </c>
      <c r="N110" s="112">
        <f t="shared" si="41"/>
        <v>8.0477806195618538</v>
      </c>
      <c r="O110" s="112">
        <f t="shared" si="42"/>
        <v>12.206721791883071</v>
      </c>
      <c r="P110" s="112">
        <f>SUM(N110:N$113)</f>
        <v>11.951765831832587</v>
      </c>
      <c r="Q110" s="112">
        <f>SUM(O110:O$113)</f>
        <v>17.595456293796083</v>
      </c>
      <c r="R110" s="113">
        <f t="shared" si="43"/>
        <v>0.66666666666666663</v>
      </c>
    </row>
    <row r="111" spans="1:18" x14ac:dyDescent="0.3">
      <c r="A111" s="123">
        <v>108</v>
      </c>
      <c r="B111" s="120">
        <v>0.69807799999999998</v>
      </c>
      <c r="C111" s="129">
        <v>0.62455799999999995</v>
      </c>
      <c r="D111" s="120">
        <f t="shared" si="33"/>
        <v>0.6282702</v>
      </c>
      <c r="E111" s="112">
        <f t="shared" si="34"/>
        <v>224</v>
      </c>
      <c r="F111" s="112">
        <f t="shared" si="35"/>
        <v>141</v>
      </c>
      <c r="G111" s="112">
        <f t="shared" si="36"/>
        <v>12.610992079998011</v>
      </c>
      <c r="H111" s="112">
        <f t="shared" si="37"/>
        <v>20.258618073511204</v>
      </c>
      <c r="I111" s="112">
        <f>SUM(G111:G$113)</f>
        <v>19.817236300152025</v>
      </c>
      <c r="J111" s="134">
        <f>SUM(H111:H$113)</f>
        <v>30.022085256668483</v>
      </c>
      <c r="K111" s="120">
        <f t="shared" si="38"/>
        <v>0.69807799999999998</v>
      </c>
      <c r="L111" s="112">
        <f t="shared" si="39"/>
        <v>44</v>
      </c>
      <c r="M111" s="112">
        <f t="shared" si="40"/>
        <v>31</v>
      </c>
      <c r="N111" s="112">
        <f t="shared" si="41"/>
        <v>2.7726294643967262</v>
      </c>
      <c r="O111" s="112">
        <f t="shared" si="42"/>
        <v>3.9793714072968438</v>
      </c>
      <c r="P111" s="112">
        <f>SUM(N111:N$113)</f>
        <v>3.9039852122707348</v>
      </c>
      <c r="Q111" s="112">
        <f>SUM(O111:O$113)</f>
        <v>5.3887345019130084</v>
      </c>
      <c r="R111" s="113">
        <f t="shared" si="43"/>
        <v>0.70454545454545459</v>
      </c>
    </row>
    <row r="112" spans="1:18" x14ac:dyDescent="0.3">
      <c r="A112" s="123">
        <v>109</v>
      </c>
      <c r="B112" s="120">
        <v>0.73138400000000003</v>
      </c>
      <c r="C112" s="129">
        <v>0.66258799999999995</v>
      </c>
      <c r="D112" s="120">
        <f t="shared" si="33"/>
        <v>0.6582456000000001</v>
      </c>
      <c r="E112" s="112">
        <f t="shared" si="34"/>
        <v>83</v>
      </c>
      <c r="F112" s="112">
        <f t="shared" si="35"/>
        <v>55</v>
      </c>
      <c r="G112" s="112">
        <f t="shared" si="36"/>
        <v>4.8109352643527084</v>
      </c>
      <c r="H112" s="112">
        <f t="shared" si="37"/>
        <v>7.3413608981026472</v>
      </c>
      <c r="I112" s="112">
        <f>SUM(G112:G$113)</f>
        <v>7.2062442201540122</v>
      </c>
      <c r="J112" s="134">
        <f>SUM(H112:H$113)</f>
        <v>9.7634671831572817</v>
      </c>
      <c r="K112" s="120">
        <f t="shared" si="38"/>
        <v>0.73138400000000003</v>
      </c>
      <c r="L112" s="112">
        <f t="shared" si="39"/>
        <v>13</v>
      </c>
      <c r="M112" s="112">
        <f t="shared" si="40"/>
        <v>10</v>
      </c>
      <c r="N112" s="112">
        <f t="shared" si="41"/>
        <v>0.87471550260958331</v>
      </c>
      <c r="O112" s="112">
        <f t="shared" si="42"/>
        <v>1.14985170693174</v>
      </c>
      <c r="P112" s="112">
        <f>SUM(N112:N$113)</f>
        <v>1.1313557478740086</v>
      </c>
      <c r="Q112" s="112">
        <f>SUM(O112:O$113)</f>
        <v>1.409363094616165</v>
      </c>
      <c r="R112" s="113">
        <f t="shared" si="43"/>
        <v>0.76923076923076927</v>
      </c>
    </row>
    <row r="113" spans="1:18" ht="15" thickBot="1" x14ac:dyDescent="0.35">
      <c r="A113" s="124">
        <v>110</v>
      </c>
      <c r="B113" s="121">
        <v>1</v>
      </c>
      <c r="C113" s="130">
        <v>1</v>
      </c>
      <c r="D113" s="121">
        <f t="shared" si="33"/>
        <v>1</v>
      </c>
      <c r="E113" s="114">
        <f t="shared" si="34"/>
        <v>28</v>
      </c>
      <c r="F113" s="114">
        <f t="shared" si="35"/>
        <v>28</v>
      </c>
      <c r="G113" s="114">
        <f t="shared" si="36"/>
        <v>2.3953089558013034</v>
      </c>
      <c r="H113" s="114">
        <f t="shared" si="37"/>
        <v>2.4221062850546335</v>
      </c>
      <c r="I113" s="114">
        <f>SUM(G113:G$113)</f>
        <v>2.3953089558013034</v>
      </c>
      <c r="J113" s="135">
        <f>SUM(H113:H$113)</f>
        <v>2.4221062850546335</v>
      </c>
      <c r="K113" s="121">
        <f t="shared" si="38"/>
        <v>1</v>
      </c>
      <c r="L113" s="114">
        <f t="shared" si="39"/>
        <v>3</v>
      </c>
      <c r="M113" s="114">
        <f t="shared" si="40"/>
        <v>3</v>
      </c>
      <c r="N113" s="114">
        <f t="shared" si="41"/>
        <v>0.25664024526442536</v>
      </c>
      <c r="O113" s="114">
        <f t="shared" si="42"/>
        <v>0.25951138768442505</v>
      </c>
      <c r="P113" s="114">
        <f>SUM(N113:N$113)</f>
        <v>0.25664024526442536</v>
      </c>
      <c r="Q113" s="114">
        <f>SUM(O113:O$113)</f>
        <v>0.25951138768442505</v>
      </c>
      <c r="R113" s="115">
        <f t="shared" si="43"/>
        <v>1</v>
      </c>
    </row>
    <row r="114" spans="1:18" x14ac:dyDescent="0.3">
      <c r="A114" s="12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16"/>
  <sheetViews>
    <sheetView showGridLines="0" tabSelected="1" zoomScaleNormal="100" workbookViewId="0">
      <pane xSplit="6" ySplit="4" topLeftCell="G5" activePane="bottomRight" state="frozenSplit"/>
      <selection activeCell="A2" sqref="A2:I2"/>
      <selection pane="topRight" activeCell="A2" sqref="A2:I2"/>
      <selection pane="bottomLeft" activeCell="A2" sqref="A2:I2"/>
      <selection pane="bottomRight" activeCell="U9" sqref="U9"/>
    </sheetView>
  </sheetViews>
  <sheetFormatPr defaultColWidth="7.88671875" defaultRowHeight="14.4" x14ac:dyDescent="0.3"/>
  <cols>
    <col min="1" max="2" width="8.88671875" style="35" customWidth="1"/>
    <col min="3" max="3" width="4.6640625" style="35" customWidth="1"/>
    <col min="4" max="4" width="4.6640625" style="35" hidden="1" customWidth="1"/>
    <col min="5" max="6" width="4.6640625" style="35" customWidth="1"/>
    <col min="7" max="7" width="8" style="35" bestFit="1" customWidth="1"/>
    <col min="8" max="8" width="10.109375" style="35" customWidth="1"/>
    <col min="9" max="22" width="8" style="35" bestFit="1" customWidth="1"/>
    <col min="23" max="16384" width="7.88671875" style="35"/>
  </cols>
  <sheetData>
    <row r="1" spans="1:22" ht="19.8" x14ac:dyDescent="0.3">
      <c r="A1" s="433" t="s">
        <v>14</v>
      </c>
      <c r="B1" s="433"/>
      <c r="C1" s="433"/>
      <c r="D1" s="433"/>
      <c r="E1" s="433"/>
      <c r="F1" s="433"/>
      <c r="G1" s="433"/>
      <c r="H1" s="433"/>
      <c r="I1" s="433"/>
      <c r="J1" s="433"/>
    </row>
    <row r="2" spans="1:22" ht="16.2" x14ac:dyDescent="0.3">
      <c r="A2" s="432" t="s">
        <v>120</v>
      </c>
      <c r="B2" s="432"/>
      <c r="C2" s="432"/>
      <c r="D2" s="432"/>
      <c r="E2" s="432"/>
      <c r="F2" s="432"/>
      <c r="K2" s="193" t="s">
        <v>121</v>
      </c>
    </row>
    <row r="3" spans="1:22" ht="15" thickBot="1" x14ac:dyDescent="0.35">
      <c r="K3" s="194">
        <v>2.2499999999999999E-2</v>
      </c>
      <c r="L3" s="35">
        <f>Code!$K$4</f>
        <v>2</v>
      </c>
    </row>
    <row r="4" spans="1:22" ht="28.2" thickBot="1" x14ac:dyDescent="0.35">
      <c r="D4" s="178" t="s">
        <v>102</v>
      </c>
      <c r="E4" s="179" t="s">
        <v>103</v>
      </c>
      <c r="F4" s="180" t="s">
        <v>74</v>
      </c>
      <c r="G4" s="187" t="s">
        <v>77</v>
      </c>
      <c r="H4" s="188" t="s">
        <v>78</v>
      </c>
      <c r="I4" s="189" t="s">
        <v>122</v>
      </c>
      <c r="J4" s="189" t="s">
        <v>123</v>
      </c>
      <c r="K4" s="189" t="s">
        <v>124</v>
      </c>
      <c r="L4" s="189" t="s">
        <v>125</v>
      </c>
      <c r="M4" s="189" t="s">
        <v>126</v>
      </c>
      <c r="N4" s="188" t="s">
        <v>62</v>
      </c>
      <c r="O4" s="189" t="s">
        <v>127</v>
      </c>
      <c r="P4" s="189" t="s">
        <v>128</v>
      </c>
      <c r="Q4" s="189" t="s">
        <v>129</v>
      </c>
      <c r="R4" s="189" t="s">
        <v>130</v>
      </c>
      <c r="S4" s="189" t="s">
        <v>131</v>
      </c>
      <c r="T4" s="189" t="s">
        <v>132</v>
      </c>
      <c r="U4" s="188" t="s">
        <v>118</v>
      </c>
      <c r="V4" s="190" t="s">
        <v>119</v>
      </c>
    </row>
    <row r="5" spans="1:22" ht="17.399999999999999" thickTop="1" thickBot="1" x14ac:dyDescent="0.35">
      <c r="A5" s="434" t="s">
        <v>133</v>
      </c>
      <c r="B5" s="435"/>
      <c r="D5" s="178">
        <v>0</v>
      </c>
      <c r="E5" s="181">
        <f t="shared" ref="E5:E36" si="0">IF(D5&lt;=$B$10,D5,"")</f>
        <v>0</v>
      </c>
      <c r="F5" s="182">
        <f t="shared" ref="F5:F36" si="1">IF(E5="","",E5+$B$7)</f>
        <v>35</v>
      </c>
      <c r="G5" s="159">
        <f>IF(E5="","",IF(E5=$B$10,0,VLOOKUP(F5,Life!$A$3:$R$113,7,FALSE)))</f>
        <v>7441.5547077533793</v>
      </c>
      <c r="H5" s="160">
        <f>IF(E5="","",IF($F5=111,0,VLOOKUP(F5,Life!$A$3:$R$113,8,FALSE)))</f>
        <v>4433240.1006150134</v>
      </c>
      <c r="I5" s="160">
        <f>IF(E5&gt;=$B$10,"",ROUND(IF(E5&lt;$B$9,FV(1%,$E5+1,-1,0,1)*$B$12,(1+2.25%)^(E5-$B$9+1)*$B$11),0))</f>
        <v>427</v>
      </c>
      <c r="J5" s="160">
        <f>IF(E5&gt;=$B$10,"",IF(E5&lt;$B$9,0,$B$12*$B$9*1.03))</f>
        <v>0</v>
      </c>
      <c r="K5" s="160">
        <f t="shared" ref="K5:K36" si="2">IF(E5&gt;=$B$10,"",IF(F5&lt;16,IF($K$3=0,MIN(E5+1,$B$9),((1+$K$3)^MIN(E5+1,$B$9)-1)/$K$3*(1+$K$3)^(MAX(E5+1-$B$9,0)+0.5)),0)*$B$12)</f>
        <v>0</v>
      </c>
      <c r="L5" s="160">
        <f t="shared" ref="L5:L36" si="3">IF(E5&gt;=$B$10,"",IF(AND($L$3=1,E5+1&lt;=$B$9),0.5*$B$12,0))</f>
        <v>0</v>
      </c>
      <c r="M5" s="160">
        <f t="shared" ref="M5:M36" ca="1" si="4">IF(E5&gt;=$B$10,"",IF(F5&lt;16,K5,IFERROR(MAX(I5,IF(E5&lt;$B$9,0,J5),V5),0)+L5))</f>
        <v>453</v>
      </c>
      <c r="N5" s="160">
        <f>IF(E5="","",IF(E5=$B$10,I4,0))</f>
        <v>0</v>
      </c>
      <c r="O5" s="160">
        <f>IF(E5="","",0)</f>
        <v>0</v>
      </c>
      <c r="P5" s="160">
        <f>IF(E5="","",SUM(O$5:O5))</f>
        <v>0</v>
      </c>
      <c r="Q5" s="160">
        <f ca="1">IF(E5="","",IF($F5=111,$N5,(SUMPRODUCT(G5:G$116,M5:M$116)+SUMPRODUCT(H5:H$116,N5:N$116))/H5))</f>
        <v>5517.569709023096</v>
      </c>
      <c r="R5" s="160">
        <f>IF(E5="","",IF($F5=111,$O5,SUMPRODUCT(H5:H$116,O5:O$116)/H5))</f>
        <v>0</v>
      </c>
      <c r="S5" s="160">
        <f t="shared" ref="S5:S36" ca="1" si="5">IF(E5="","",IF(E5&gt;=$B$9,0,IF(E5=0,$B$23,IF(E5&lt;$B$32,$B$24,$B$25))))</f>
        <v>4.8329456491119513</v>
      </c>
      <c r="T5" s="160">
        <f ca="1">IF(E5="","",IF($F5=111,0,SUMPRODUCT(H5:H$116,S5:S$116)/H5))</f>
        <v>5517.5697090230951</v>
      </c>
      <c r="U5" s="160">
        <f t="shared" ref="U5:U36" ca="1" si="6">IF(E5="","",ROUND(Q5+R5-T5,0))</f>
        <v>0</v>
      </c>
      <c r="V5" s="161">
        <f t="shared" ref="V5:V36" ca="1" si="7">IF(E5&gt;=$B$10,"",(U5+S5-N5-O5+U6)/2)</f>
        <v>2.4164728245559757</v>
      </c>
    </row>
    <row r="6" spans="1:22" ht="15" thickTop="1" x14ac:dyDescent="0.3">
      <c r="A6" s="171" t="s">
        <v>134</v>
      </c>
      <c r="B6" s="148">
        <f>Code!$B$4</f>
        <v>1</v>
      </c>
      <c r="D6" s="178">
        <v>1</v>
      </c>
      <c r="E6" s="95">
        <f t="shared" si="0"/>
        <v>1</v>
      </c>
      <c r="F6" s="183">
        <f t="shared" si="1"/>
        <v>36</v>
      </c>
      <c r="G6" s="162">
        <f>IF(E6="","",IF(E6=$B$10,0,VLOOKUP(F6,Life!$A$3:$R$113,7,FALSE)))</f>
        <v>7847.3327934027375</v>
      </c>
      <c r="H6" s="163">
        <f>IF(E6="","",IF($F6=111,0,VLOOKUP(F6,Life!$A$3:$R$113,8,FALSE)))</f>
        <v>4328327.9159934279</v>
      </c>
      <c r="I6" s="163">
        <f t="shared" ref="I6:I69" si="8">IF(E6&gt;=$B$10,"",ROUND(IF(E6&lt;$B$9,FV(1%,$E6+1,-1,0,1)*$B$12,(1+2.25%)^(E6-$B$9+1)*$B$11),0))</f>
        <v>859</v>
      </c>
      <c r="J6" s="163">
        <f t="shared" ref="J6:J69" si="9">IF(E6&gt;=$B$10,"",IF(E6&lt;$B$9,0,$B$12*$B$9*1.03))</f>
        <v>0</v>
      </c>
      <c r="K6" s="163">
        <f t="shared" si="2"/>
        <v>0</v>
      </c>
      <c r="L6" s="163">
        <f t="shared" si="3"/>
        <v>0</v>
      </c>
      <c r="M6" s="163">
        <f t="shared" ca="1" si="4"/>
        <v>912</v>
      </c>
      <c r="N6" s="163">
        <f t="shared" ref="N6:N69" si="10">IF(E6="","",IF(E6=$B$10,I5,0))</f>
        <v>0</v>
      </c>
      <c r="O6" s="163">
        <f t="shared" ref="O6:O69" si="11">IF(E6="","",0)</f>
        <v>0</v>
      </c>
      <c r="P6" s="163">
        <f>IF(E6="","",SUM(O$5:O6))</f>
        <v>0</v>
      </c>
      <c r="Q6" s="163">
        <f ca="1">IF(E6="","",IF($F6=111,$N6,(SUMPRODUCT(G6:G$116,M6:M$116)+SUMPRODUCT(H6:H$116,N6:N$116))/H6))</f>
        <v>5698.033296091482</v>
      </c>
      <c r="R6" s="163">
        <f>IF(E6="","",IF($F6=111,$O6,SUMPRODUCT(H6:H$116,O6:O$116)/H6))</f>
        <v>0</v>
      </c>
      <c r="S6" s="163">
        <f t="shared" ca="1" si="5"/>
        <v>433.52112333941</v>
      </c>
      <c r="T6" s="163">
        <f ca="1">IF(E6="","",IF($F6=111,0,SUMPRODUCT(H6:H$116,S6:S$116)/H6))</f>
        <v>5698.0146456406565</v>
      </c>
      <c r="U6" s="163">
        <f t="shared" ca="1" si="6"/>
        <v>0</v>
      </c>
      <c r="V6" s="164">
        <f t="shared" ca="1" si="7"/>
        <v>435.760561669705</v>
      </c>
    </row>
    <row r="7" spans="1:22" x14ac:dyDescent="0.3">
      <c r="A7" s="172" t="s">
        <v>135</v>
      </c>
      <c r="B7" s="149">
        <f>INDEX(Code!$C$6:$C$85,Code!$C$4)</f>
        <v>35</v>
      </c>
      <c r="D7" s="178">
        <v>2</v>
      </c>
      <c r="E7" s="95">
        <f t="shared" si="0"/>
        <v>2</v>
      </c>
      <c r="F7" s="183">
        <f t="shared" si="1"/>
        <v>37</v>
      </c>
      <c r="G7" s="162">
        <f>IF(E7="","",IF(E7=$B$10,0,VLOOKUP(F7,Life!$A$3:$R$113,7,FALSE)))</f>
        <v>8277.2336225522322</v>
      </c>
      <c r="H7" s="163">
        <f>IF(E7="","",IF($F7=111,0,VLOOKUP(F7,Life!$A$3:$R$113,8,FALSE)))</f>
        <v>4225323.0237514386</v>
      </c>
      <c r="I7" s="163">
        <f t="shared" si="8"/>
        <v>1295</v>
      </c>
      <c r="J7" s="163">
        <f t="shared" si="9"/>
        <v>0</v>
      </c>
      <c r="K7" s="163">
        <f t="shared" si="2"/>
        <v>0</v>
      </c>
      <c r="L7" s="163">
        <f t="shared" si="3"/>
        <v>0</v>
      </c>
      <c r="M7" s="163">
        <f t="shared" ca="1" si="4"/>
        <v>1374</v>
      </c>
      <c r="N7" s="163">
        <f t="shared" si="10"/>
        <v>0</v>
      </c>
      <c r="O7" s="163">
        <f t="shared" si="11"/>
        <v>0</v>
      </c>
      <c r="P7" s="163">
        <f>IF(E7="","",SUM(O$5:O7))</f>
        <v>0</v>
      </c>
      <c r="Q7" s="163">
        <f ca="1">IF(E7="","",IF($F7=111,$N7,(SUMPRODUCT(G7:G$116,M7:M$116)+SUMPRODUCT(H7:H$116,N7:N$116))/H7))</f>
        <v>5884.8830749857025</v>
      </c>
      <c r="R7" s="163">
        <f>IF(E7="","",IF($F7=111,$O7,SUMPRODUCT(H7:H$116,O7:O$116)/H7))</f>
        <v>0</v>
      </c>
      <c r="S7" s="163">
        <f t="shared" ca="1" si="5"/>
        <v>433.52112333941</v>
      </c>
      <c r="T7" s="163">
        <f ca="1">IF(E7="","",IF($F7=111,0,SUMPRODUCT(H7:H$116,S7:S$116)/H7))</f>
        <v>5447.3155971503165</v>
      </c>
      <c r="U7" s="163">
        <f t="shared" ca="1" si="6"/>
        <v>438</v>
      </c>
      <c r="V7" s="164">
        <f t="shared" ca="1" si="7"/>
        <v>877.760561669705</v>
      </c>
    </row>
    <row r="8" spans="1:22" x14ac:dyDescent="0.3">
      <c r="A8" s="172" t="s">
        <v>136</v>
      </c>
      <c r="B8" s="149">
        <f>Code!$D$4</f>
        <v>4</v>
      </c>
      <c r="D8" s="178">
        <v>3</v>
      </c>
      <c r="E8" s="95">
        <f t="shared" si="0"/>
        <v>3</v>
      </c>
      <c r="F8" s="183">
        <f t="shared" si="1"/>
        <v>38</v>
      </c>
      <c r="G8" s="162">
        <f>IF(E8="","",IF(E8=$B$10,0,VLOOKUP(F8,Life!$A$3:$R$113,7,FALSE)))</f>
        <v>8714.1356030416027</v>
      </c>
      <c r="H8" s="163">
        <f>IF(E8="","",IF($F8=111,0,VLOOKUP(F8,Life!$A$3:$R$113,8,FALSE)))</f>
        <v>4124159.5982721043</v>
      </c>
      <c r="I8" s="163">
        <f t="shared" si="8"/>
        <v>1735</v>
      </c>
      <c r="J8" s="163">
        <f t="shared" si="9"/>
        <v>0</v>
      </c>
      <c r="K8" s="163">
        <f t="shared" si="2"/>
        <v>0</v>
      </c>
      <c r="L8" s="163">
        <f t="shared" si="3"/>
        <v>0</v>
      </c>
      <c r="M8" s="163">
        <f t="shared" ca="1" si="4"/>
        <v>1841</v>
      </c>
      <c r="N8" s="163">
        <f t="shared" si="10"/>
        <v>0</v>
      </c>
      <c r="O8" s="163">
        <f t="shared" si="11"/>
        <v>0</v>
      </c>
      <c r="P8" s="163">
        <f>IF(E8="","",SUM(O$5:O8))</f>
        <v>0</v>
      </c>
      <c r="Q8" s="163">
        <f ca="1">IF(E8="","",IF($F8=111,$N8,(SUMPRODUCT(G8:G$116,M8:M$116)+SUMPRODUCT(H8:H$116,N8:N$116))/H8))</f>
        <v>6078.2848938071647</v>
      </c>
      <c r="R8" s="163">
        <f>IF(E8="","",IF($F8=111,$O8,SUMPRODUCT(H8:H$116,O8:O$116)/H8))</f>
        <v>0</v>
      </c>
      <c r="S8" s="163">
        <f t="shared" ca="1" si="5"/>
        <v>433.52112333941</v>
      </c>
      <c r="T8" s="163">
        <f ca="1">IF(E8="","",IF($F8=111,0,SUMPRODUCT(H8:H$116,S8:S$116)/H8))</f>
        <v>5194.1690096761022</v>
      </c>
      <c r="U8" s="163">
        <f t="shared" ca="1" si="6"/>
        <v>884</v>
      </c>
      <c r="V8" s="164">
        <f t="shared" ca="1" si="7"/>
        <v>1328.7605616697051</v>
      </c>
    </row>
    <row r="9" spans="1:22" x14ac:dyDescent="0.3">
      <c r="A9" s="172" t="s">
        <v>137</v>
      </c>
      <c r="B9" s="149">
        <f>INDEX(Set!$6:$6,$B$8+1)-IF(INDEX(Set!$7:$7,$B$8+1),0,B$7)</f>
        <v>20</v>
      </c>
      <c r="D9" s="178">
        <v>4</v>
      </c>
      <c r="E9" s="95">
        <f t="shared" si="0"/>
        <v>4</v>
      </c>
      <c r="F9" s="183">
        <f t="shared" si="1"/>
        <v>39</v>
      </c>
      <c r="G9" s="162">
        <f>IF(E9="","",IF(E9=$B$10,0,VLOOKUP(F9,Life!$A$3:$R$113,7,FALSE)))</f>
        <v>9170.5713624873697</v>
      </c>
      <c r="H9" s="163">
        <f>IF(E9="","",IF($F9=111,0,VLOOKUP(F9,Life!$A$3:$R$113,8,FALSE)))</f>
        <v>4024790.1945888461</v>
      </c>
      <c r="I9" s="163">
        <f t="shared" si="8"/>
        <v>2179</v>
      </c>
      <c r="J9" s="163">
        <f t="shared" si="9"/>
        <v>0</v>
      </c>
      <c r="K9" s="163">
        <f t="shared" si="2"/>
        <v>0</v>
      </c>
      <c r="L9" s="163">
        <f t="shared" si="3"/>
        <v>0</v>
      </c>
      <c r="M9" s="163">
        <f t="shared" ca="1" si="4"/>
        <v>2313</v>
      </c>
      <c r="N9" s="163">
        <f t="shared" si="10"/>
        <v>0</v>
      </c>
      <c r="O9" s="163">
        <f t="shared" si="11"/>
        <v>0</v>
      </c>
      <c r="P9" s="163">
        <f>IF(E9="","",SUM(O$5:O9))</f>
        <v>0</v>
      </c>
      <c r="Q9" s="163">
        <f ca="1">IF(E9="","",IF($F9=111,$N9,(SUMPRODUCT(G9:G$116,M9:M$116)+SUMPRODUCT(H9:H$116,N9:N$116))/H9))</f>
        <v>6278.3858137595835</v>
      </c>
      <c r="R9" s="163">
        <f>IF(E9="","",IF($F9=111,$O9,SUMPRODUCT(H9:H$116,O9:O$116)/H9))</f>
        <v>0</v>
      </c>
      <c r="S9" s="163">
        <f t="shared" ca="1" si="5"/>
        <v>433.52112333941</v>
      </c>
      <c r="T9" s="163">
        <f ca="1">IF(E9="","",IF($F9=111,0,SUMPRODUCT(H9:H$116,S9:S$116)/H9))</f>
        <v>4938.5848391164191</v>
      </c>
      <c r="U9" s="163">
        <f t="shared" ca="1" si="6"/>
        <v>1340</v>
      </c>
      <c r="V9" s="164">
        <f t="shared" ca="1" si="7"/>
        <v>1789.2605616697051</v>
      </c>
    </row>
    <row r="10" spans="1:22" x14ac:dyDescent="0.3">
      <c r="A10" s="172" t="s">
        <v>138</v>
      </c>
      <c r="B10" s="149">
        <f>INDEX(Set!$8:$8,$B$8+1)-IF(INDEX(Set!$9:$9,2),0,B$7)</f>
        <v>75</v>
      </c>
      <c r="D10" s="178">
        <v>5</v>
      </c>
      <c r="E10" s="184">
        <f t="shared" si="0"/>
        <v>5</v>
      </c>
      <c r="F10" s="185">
        <f t="shared" si="1"/>
        <v>40</v>
      </c>
      <c r="G10" s="165">
        <f>IF(E10="","",IF(E10=$B$10,0,VLOOKUP(F10,Life!$A$3:$R$113,7,FALSE)))</f>
        <v>9650.6200640955394</v>
      </c>
      <c r="H10" s="166">
        <f>IF(E10="","",IF($F10=111,0,VLOOKUP(F10,Life!$A$3:$R$113,8,FALSE)))</f>
        <v>3927156.0177853093</v>
      </c>
      <c r="I10" s="166">
        <f t="shared" si="8"/>
        <v>2628</v>
      </c>
      <c r="J10" s="166">
        <f t="shared" si="9"/>
        <v>0</v>
      </c>
      <c r="K10" s="166">
        <f t="shared" si="2"/>
        <v>0</v>
      </c>
      <c r="L10" s="166">
        <f t="shared" si="3"/>
        <v>0</v>
      </c>
      <c r="M10" s="166">
        <f t="shared" ca="1" si="4"/>
        <v>2790</v>
      </c>
      <c r="N10" s="166">
        <f t="shared" si="10"/>
        <v>0</v>
      </c>
      <c r="O10" s="166">
        <f t="shared" si="11"/>
        <v>0</v>
      </c>
      <c r="P10" s="166">
        <f>IF(E10="","",SUM(O$5:O10))</f>
        <v>0</v>
      </c>
      <c r="Q10" s="166">
        <f ca="1">IF(E10="","",IF($F10=111,$N10,(SUMPRODUCT(G10:G$116,M10:M$116)+SUMPRODUCT(H10:H$116,N10:N$116))/H10))</f>
        <v>6485.2836677255955</v>
      </c>
      <c r="R10" s="166">
        <f>IF(E10="","",IF($F10=111,$O10,SUMPRODUCT(H10:H$116,O10:O$116)/H10))</f>
        <v>0</v>
      </c>
      <c r="S10" s="166">
        <f t="shared" ca="1" si="5"/>
        <v>433.52112333941</v>
      </c>
      <c r="T10" s="166">
        <f ca="1">IF(E10="","",IF($F10=111,0,SUMPRODUCT(H10:H$116,S10:S$116)/H10))</f>
        <v>4680.5163258888979</v>
      </c>
      <c r="U10" s="166">
        <f t="shared" ca="1" si="6"/>
        <v>1805</v>
      </c>
      <c r="V10" s="167">
        <f t="shared" ca="1" si="7"/>
        <v>2258.7605616697051</v>
      </c>
    </row>
    <row r="11" spans="1:22" x14ac:dyDescent="0.3">
      <c r="A11" s="172" t="s">
        <v>139</v>
      </c>
      <c r="B11" s="149">
        <v>10000</v>
      </c>
      <c r="D11" s="178">
        <v>6</v>
      </c>
      <c r="E11" s="95">
        <f t="shared" si="0"/>
        <v>6</v>
      </c>
      <c r="F11" s="183">
        <f t="shared" si="1"/>
        <v>41</v>
      </c>
      <c r="G11" s="162">
        <f>IF(E11="","",IF(E11=$B$10,0,VLOOKUP(F11,Life!$A$3:$R$113,7,FALSE)))</f>
        <v>10161.499008377999</v>
      </c>
      <c r="H11" s="163">
        <f>IF(E11="","",IF($F11=111,0,VLOOKUP(F11,Life!$A$3:$R$113,8,FALSE)))</f>
        <v>3831195.5326880203</v>
      </c>
      <c r="I11" s="163">
        <f t="shared" si="8"/>
        <v>3082</v>
      </c>
      <c r="J11" s="163">
        <f t="shared" si="9"/>
        <v>0</v>
      </c>
      <c r="K11" s="163">
        <f t="shared" si="2"/>
        <v>0</v>
      </c>
      <c r="L11" s="163">
        <f t="shared" si="3"/>
        <v>0</v>
      </c>
      <c r="M11" s="163">
        <f t="shared" ca="1" si="4"/>
        <v>3271</v>
      </c>
      <c r="N11" s="163">
        <f t="shared" si="10"/>
        <v>0</v>
      </c>
      <c r="O11" s="163">
        <f t="shared" si="11"/>
        <v>0</v>
      </c>
      <c r="P11" s="163">
        <f>IF(E11="","",SUM(O$5:O11))</f>
        <v>0</v>
      </c>
      <c r="Q11" s="163">
        <f ca="1">IF(E11="","",IF($F11=111,$N11,(SUMPRODUCT(G11:G$116,M11:M$116)+SUMPRODUCT(H11:H$116,N11:N$116))/H11))</f>
        <v>6699.017066581403</v>
      </c>
      <c r="R11" s="163">
        <f>IF(E11="","",IF($F11=111,$O11,SUMPRODUCT(H11:H$116,O11:O$116)/H11))</f>
        <v>0</v>
      </c>
      <c r="S11" s="163">
        <f t="shared" ca="1" si="5"/>
        <v>433.52112333941</v>
      </c>
      <c r="T11" s="163">
        <f ca="1">IF(E11="","",IF($F11=111,0,SUMPRODUCT(H11:H$116,S11:S$116)/H11))</f>
        <v>4419.8462702323277</v>
      </c>
      <c r="U11" s="163">
        <f t="shared" ca="1" si="6"/>
        <v>2279</v>
      </c>
      <c r="V11" s="164">
        <f t="shared" ca="1" si="7"/>
        <v>2737.7605616697051</v>
      </c>
    </row>
    <row r="12" spans="1:22" x14ac:dyDescent="0.3">
      <c r="A12" s="172" t="s">
        <v>104</v>
      </c>
      <c r="B12" s="149">
        <f>IFERROR(IF($B$17=1,ROUND($B$22/(1-$B$21),0),IF($B$17=2,VLOOKUP($B$7,GP!$A$6:$K$85,2*$B$8+$B$6-1),ROUND(PMT($B$13,$B$9,0,-INDEX($U$6:$U$116,$B$9),1),0))),0)</f>
        <v>423</v>
      </c>
      <c r="D12" s="178">
        <v>7</v>
      </c>
      <c r="E12" s="95">
        <f t="shared" si="0"/>
        <v>7</v>
      </c>
      <c r="F12" s="183">
        <f t="shared" si="1"/>
        <v>42</v>
      </c>
      <c r="G12" s="162">
        <f>IF(E12="","",IF(E12=$B$10,0,VLOOKUP(F12,Life!$A$3:$R$113,7,FALSE)))</f>
        <v>10709.700133129205</v>
      </c>
      <c r="H12" s="163">
        <f>IF(E12="","",IF($F12=111,0,VLOOKUP(F12,Life!$A$3:$R$113,8,FALSE)))</f>
        <v>3736841.4207473812</v>
      </c>
      <c r="I12" s="163">
        <f t="shared" si="8"/>
        <v>3540</v>
      </c>
      <c r="J12" s="163">
        <f t="shared" si="9"/>
        <v>0</v>
      </c>
      <c r="K12" s="163">
        <f t="shared" si="2"/>
        <v>0</v>
      </c>
      <c r="L12" s="163">
        <f t="shared" si="3"/>
        <v>0</v>
      </c>
      <c r="M12" s="163">
        <f t="shared" ca="1" si="4"/>
        <v>3757</v>
      </c>
      <c r="N12" s="163">
        <f t="shared" si="10"/>
        <v>0</v>
      </c>
      <c r="O12" s="163">
        <f t="shared" si="11"/>
        <v>0</v>
      </c>
      <c r="P12" s="163">
        <f>IF(E12="","",SUM(O$5:O12))</f>
        <v>0</v>
      </c>
      <c r="Q12" s="163">
        <f ca="1">IF(E12="","",IF($F12=111,$N12,(SUMPRODUCT(G12:G$116,M12:M$116)+SUMPRODUCT(H12:H$116,N12:N$116))/H12))</f>
        <v>6919.5652821497351</v>
      </c>
      <c r="R12" s="163">
        <f>IF(E12="","",IF($F12=111,$O12,SUMPRODUCT(H12:H$116,O12:O$116)/H12))</f>
        <v>0</v>
      </c>
      <c r="S12" s="163">
        <f t="shared" ca="1" si="5"/>
        <v>433.52112333941</v>
      </c>
      <c r="T12" s="163">
        <f ca="1">IF(E12="","",IF($F12=111,0,SUMPRODUCT(H12:H$116,S12:S$116)/H12))</f>
        <v>4156.3609881427665</v>
      </c>
      <c r="U12" s="163">
        <f t="shared" ca="1" si="6"/>
        <v>2763</v>
      </c>
      <c r="V12" s="164">
        <f t="shared" ca="1" si="7"/>
        <v>3226.7605616697051</v>
      </c>
    </row>
    <row r="13" spans="1:22" x14ac:dyDescent="0.3">
      <c r="A13" s="348" t="s">
        <v>189</v>
      </c>
      <c r="B13" s="350">
        <f ca="1">IF(B17=3,VLOOKUP($B$7,IRR!$A$6:$K$85,2*$B$8+$B$6-1),INDEX(Change!$K$5:$K$116,$B$9+1))</f>
        <v>1.1182702306165693E-2</v>
      </c>
      <c r="D13" s="178">
        <v>8</v>
      </c>
      <c r="E13" s="95">
        <f t="shared" si="0"/>
        <v>8</v>
      </c>
      <c r="F13" s="183">
        <f t="shared" si="1"/>
        <v>43</v>
      </c>
      <c r="G13" s="162">
        <f>IF(E13="","",IF(E13=$B$10,0,VLOOKUP(F13,Life!$A$3:$R$113,7,FALSE)))</f>
        <v>11299.892139612997</v>
      </c>
      <c r="H13" s="163">
        <f>IF(E13="","",IF($F13=111,0,VLOOKUP(F13,Life!$A$3:$R$113,8,FALSE)))</f>
        <v>3644021.424637787</v>
      </c>
      <c r="I13" s="163">
        <f t="shared" si="8"/>
        <v>4003</v>
      </c>
      <c r="J13" s="163">
        <f t="shared" si="9"/>
        <v>0</v>
      </c>
      <c r="K13" s="163">
        <f t="shared" si="2"/>
        <v>0</v>
      </c>
      <c r="L13" s="163">
        <f t="shared" si="3"/>
        <v>0</v>
      </c>
      <c r="M13" s="163">
        <f t="shared" ca="1" si="4"/>
        <v>4249</v>
      </c>
      <c r="N13" s="163">
        <f t="shared" si="10"/>
        <v>0</v>
      </c>
      <c r="O13" s="163">
        <f t="shared" si="11"/>
        <v>0</v>
      </c>
      <c r="P13" s="163">
        <f>IF(E13="","",SUM(O$5:O13))</f>
        <v>0</v>
      </c>
      <c r="Q13" s="163">
        <f ca="1">IF(E13="","",IF($F13=111,$N13,(SUMPRODUCT(G13:G$116,M13:M$116)+SUMPRODUCT(H13:H$116,N13:N$116))/H13))</f>
        <v>7146.7989271280203</v>
      </c>
      <c r="R13" s="163">
        <f>IF(E13="","",IF($F13=111,$O13,SUMPRODUCT(H13:H$116,O13:O$116)/H13))</f>
        <v>0</v>
      </c>
      <c r="S13" s="163">
        <f t="shared" ca="1" si="5"/>
        <v>433.52112333941</v>
      </c>
      <c r="T13" s="163">
        <f ca="1">IF(E13="","",IF($F13=111,0,SUMPRODUCT(H13:H$116,S13:S$116)/H13))</f>
        <v>3889.7291661981421</v>
      </c>
      <c r="U13" s="163">
        <f t="shared" ca="1" si="6"/>
        <v>3257</v>
      </c>
      <c r="V13" s="164">
        <f t="shared" ca="1" si="7"/>
        <v>3725.7605616697051</v>
      </c>
    </row>
    <row r="14" spans="1:22" x14ac:dyDescent="0.3">
      <c r="A14" s="348" t="s">
        <v>385</v>
      </c>
      <c r="B14" s="350">
        <f ca="1">AssetShare_Cal!B17</f>
        <v>0.64670568144263241</v>
      </c>
      <c r="D14" s="178">
        <v>9</v>
      </c>
      <c r="E14" s="95">
        <f t="shared" si="0"/>
        <v>9</v>
      </c>
      <c r="F14" s="183">
        <f t="shared" si="1"/>
        <v>44</v>
      </c>
      <c r="G14" s="162">
        <f>IF(E14="","",IF(E14=$B$10,0,VLOOKUP(F14,Life!$A$3:$R$113,7,FALSE)))</f>
        <v>11923.940157748948</v>
      </c>
      <c r="H14" s="163">
        <f>IF(E14="","",IF($F14=111,0,VLOOKUP(F14,Life!$A$3:$R$113,8,FALSE)))</f>
        <v>3552660.2599997311</v>
      </c>
      <c r="I14" s="163">
        <f t="shared" si="8"/>
        <v>4470</v>
      </c>
      <c r="J14" s="163">
        <f t="shared" si="9"/>
        <v>0</v>
      </c>
      <c r="K14" s="163">
        <f t="shared" si="2"/>
        <v>0</v>
      </c>
      <c r="L14" s="163">
        <f t="shared" si="3"/>
        <v>0</v>
      </c>
      <c r="M14" s="163">
        <f t="shared" ca="1" si="4"/>
        <v>4745</v>
      </c>
      <c r="N14" s="163">
        <f t="shared" si="10"/>
        <v>0</v>
      </c>
      <c r="O14" s="163">
        <f t="shared" si="11"/>
        <v>0</v>
      </c>
      <c r="P14" s="163">
        <f>IF(E14="","",SUM(O$5:O14))</f>
        <v>0</v>
      </c>
      <c r="Q14" s="163">
        <f ca="1">IF(E14="","",IF($F14=111,$N14,(SUMPRODUCT(G14:G$116,M14:M$116)+SUMPRODUCT(H14:H$116,N14:N$116))/H14))</f>
        <v>7380.453828458044</v>
      </c>
      <c r="R14" s="163">
        <f>IF(E14="","",IF($F14=111,$O14,SUMPRODUCT(H14:H$116,O14:O$116)/H14))</f>
        <v>0</v>
      </c>
      <c r="S14" s="163">
        <f t="shared" ca="1" si="5"/>
        <v>433.52112333941</v>
      </c>
      <c r="T14" s="163">
        <f ca="1">IF(E14="","",IF($F14=111,0,SUMPRODUCT(H14:H$116,S14:S$116)/H14))</f>
        <v>3619.476220024012</v>
      </c>
      <c r="U14" s="163">
        <f t="shared" ca="1" si="6"/>
        <v>3761</v>
      </c>
      <c r="V14" s="164">
        <f t="shared" ca="1" si="7"/>
        <v>4234.7605616697056</v>
      </c>
    </row>
    <row r="15" spans="1:22" x14ac:dyDescent="0.3">
      <c r="A15" s="348" t="s">
        <v>386</v>
      </c>
      <c r="B15" s="350">
        <f ca="1">AssetShare_Cal!D17</f>
        <v>4.5204670299863484E-2</v>
      </c>
      <c r="D15" s="178">
        <v>10</v>
      </c>
      <c r="E15" s="184">
        <f t="shared" si="0"/>
        <v>10</v>
      </c>
      <c r="F15" s="185">
        <f t="shared" si="1"/>
        <v>45</v>
      </c>
      <c r="G15" s="165">
        <f>IF(E15="","",IF(E15=$B$10,0,VLOOKUP(F15,Life!$A$3:$R$113,7,FALSE)))</f>
        <v>12586.631329578375</v>
      </c>
      <c r="H15" s="166">
        <f>IF(E15="","",IF($F15=111,0,VLOOKUP(F15,Life!$A$3:$R$113,8,FALSE)))</f>
        <v>3462692.3439665036</v>
      </c>
      <c r="I15" s="166">
        <f t="shared" si="8"/>
        <v>4942</v>
      </c>
      <c r="J15" s="166">
        <f t="shared" si="9"/>
        <v>0</v>
      </c>
      <c r="K15" s="166">
        <f t="shared" si="2"/>
        <v>0</v>
      </c>
      <c r="L15" s="166">
        <f t="shared" si="3"/>
        <v>0</v>
      </c>
      <c r="M15" s="166">
        <f t="shared" ca="1" si="4"/>
        <v>5245</v>
      </c>
      <c r="N15" s="166">
        <f t="shared" si="10"/>
        <v>0</v>
      </c>
      <c r="O15" s="166">
        <f t="shared" si="11"/>
        <v>0</v>
      </c>
      <c r="P15" s="166">
        <f>IF(E15="","",SUM(O$5:O15))</f>
        <v>0</v>
      </c>
      <c r="Q15" s="166">
        <f ca="1">IF(E15="","",IF($F15=111,$N15,(SUMPRODUCT(G15:G$116,M15:M$116)+SUMPRODUCT(H15:H$116,N15:N$116))/H15))</f>
        <v>7620.2120837457478</v>
      </c>
      <c r="R15" s="166">
        <f>IF(E15="","",IF($F15=111,$O15,SUMPRODUCT(H15:H$116,O15:O$116)/H15))</f>
        <v>0</v>
      </c>
      <c r="S15" s="166">
        <f t="shared" ca="1" si="5"/>
        <v>433.52112333941</v>
      </c>
      <c r="T15" s="166">
        <f ca="1">IF(E15="","",IF($F15=111,0,SUMPRODUCT(H15:H$116,S15:S$116)/H15))</f>
        <v>3344.9913758396187</v>
      </c>
      <c r="U15" s="166">
        <f t="shared" ca="1" si="6"/>
        <v>4275</v>
      </c>
      <c r="V15" s="167">
        <f t="shared" ca="1" si="7"/>
        <v>4754.2605616697056</v>
      </c>
    </row>
    <row r="16" spans="1:22" ht="15" thickBot="1" x14ac:dyDescent="0.35">
      <c r="A16" s="173" t="s">
        <v>105</v>
      </c>
      <c r="B16" s="151">
        <f ca="1">(SUMPRODUCT($E$5:$E$116,$G$5:$G$116,$M$5:$M$116)+0.5*SUMPRODUCT($G$5:$G$116,$M$5:$M$116)+SUMPRODUCT($E$5:$E$116,$H$5:$H$116,$N$5:$N$116)+SUMPRODUCT($E$5:$E$116,$H$5:$H$116,$O$5:$O$116))/(SUMPRODUCT($G$5:$G$116,$M$5:$M$116)+SUMPRODUCT($H$5:$H$116,$N$5:$N$116)+SUMPRODUCT($H$5:$H$116,$O$5:$O$116))</f>
        <v>21.967101051941452</v>
      </c>
      <c r="D16" s="178">
        <v>11</v>
      </c>
      <c r="E16" s="95">
        <f t="shared" si="0"/>
        <v>11</v>
      </c>
      <c r="F16" s="183">
        <f t="shared" si="1"/>
        <v>46</v>
      </c>
      <c r="G16" s="162">
        <f>IF(E16="","",IF(E16=$B$10,0,VLOOKUP(F16,Life!$A$3:$R$113,7,FALSE)))</f>
        <v>13276.57002780549</v>
      </c>
      <c r="H16" s="163">
        <f>IF(E16="","",IF($F16=111,0,VLOOKUP(F16,Life!$A$3:$R$113,8,FALSE)))</f>
        <v>3374048.8026363701</v>
      </c>
      <c r="I16" s="163">
        <f t="shared" si="8"/>
        <v>5418</v>
      </c>
      <c r="J16" s="163">
        <f t="shared" si="9"/>
        <v>0</v>
      </c>
      <c r="K16" s="163">
        <f t="shared" si="2"/>
        <v>0</v>
      </c>
      <c r="L16" s="163">
        <f t="shared" si="3"/>
        <v>0</v>
      </c>
      <c r="M16" s="163">
        <f t="shared" ca="1" si="4"/>
        <v>5751</v>
      </c>
      <c r="N16" s="163">
        <f t="shared" si="10"/>
        <v>0</v>
      </c>
      <c r="O16" s="163">
        <f t="shared" si="11"/>
        <v>0</v>
      </c>
      <c r="P16" s="163">
        <f>IF(E16="","",SUM(O$5:O16))</f>
        <v>0</v>
      </c>
      <c r="Q16" s="163">
        <f ca="1">IF(E16="","",IF($F16=111,$N16,(SUMPRODUCT(G16:G$116,M16:M$116)+SUMPRODUCT(H16:H$116,N16:N$116))/H16))</f>
        <v>7865.6334158374239</v>
      </c>
      <c r="R16" s="163">
        <f>IF(E16="","",IF($F16=111,$O16,SUMPRODUCT(H16:H$116,O16:O$116)/H16))</f>
        <v>0</v>
      </c>
      <c r="S16" s="163">
        <f t="shared" ca="1" si="5"/>
        <v>433.52112333941</v>
      </c>
      <c r="T16" s="163">
        <f ca="1">IF(E16="","",IF($F16=111,0,SUMPRODUCT(H16:H$116,S16:S$116)/H16))</f>
        <v>3065.482286315465</v>
      </c>
      <c r="U16" s="163">
        <f t="shared" ca="1" si="6"/>
        <v>4800</v>
      </c>
      <c r="V16" s="164">
        <f t="shared" ca="1" si="7"/>
        <v>5284.7605616697056</v>
      </c>
    </row>
    <row r="17" spans="1:22" ht="15" thickBot="1" x14ac:dyDescent="0.35">
      <c r="A17" s="35" t="s">
        <v>140</v>
      </c>
      <c r="B17" s="35">
        <f>Code!$J$4</f>
        <v>2</v>
      </c>
      <c r="D17" s="178">
        <v>12</v>
      </c>
      <c r="E17" s="95">
        <f t="shared" si="0"/>
        <v>12</v>
      </c>
      <c r="F17" s="183">
        <f t="shared" si="1"/>
        <v>47</v>
      </c>
      <c r="G17" s="162">
        <f>IF(E17="","",IF(E17=$B$10,0,VLOOKUP(F17,Life!$A$3:$R$113,7,FALSE)))</f>
        <v>13994.690641176792</v>
      </c>
      <c r="H17" s="163">
        <f>IF(E17="","",IF($F17=111,0,VLOOKUP(F17,Life!$A$3:$R$113,8,FALSE)))</f>
        <v>3286673.5472203218</v>
      </c>
      <c r="I17" s="163">
        <f t="shared" si="8"/>
        <v>5900</v>
      </c>
      <c r="J17" s="163">
        <f t="shared" si="9"/>
        <v>0</v>
      </c>
      <c r="K17" s="163">
        <f t="shared" si="2"/>
        <v>0</v>
      </c>
      <c r="L17" s="163">
        <f t="shared" si="3"/>
        <v>0</v>
      </c>
      <c r="M17" s="163">
        <f t="shared" ca="1" si="4"/>
        <v>6262</v>
      </c>
      <c r="N17" s="163">
        <f t="shared" si="10"/>
        <v>0</v>
      </c>
      <c r="O17" s="163">
        <f t="shared" si="11"/>
        <v>0</v>
      </c>
      <c r="P17" s="163">
        <f>IF(E17="","",SUM(O$5:O17))</f>
        <v>0</v>
      </c>
      <c r="Q17" s="163">
        <f ca="1">IF(E17="","",IF($F17=111,$N17,(SUMPRODUCT(G17:G$116,M17:M$116)+SUMPRODUCT(H17:H$116,N17:N$116))/H17))</f>
        <v>8116.0475208313464</v>
      </c>
      <c r="R17" s="163">
        <f>IF(E17="","",IF($F17=111,$O17,SUMPRODUCT(H17:H$116,O17:O$116)/H17))</f>
        <v>0</v>
      </c>
      <c r="S17" s="163">
        <f t="shared" ca="1" si="5"/>
        <v>433.52112333941</v>
      </c>
      <c r="T17" s="163">
        <f ca="1">IF(E17="","",IF($F17=111,0,SUMPRODUCT(H17:H$116,S17:S$116)/H17))</f>
        <v>2779.9135998571805</v>
      </c>
      <c r="U17" s="163">
        <f t="shared" ca="1" si="6"/>
        <v>5336</v>
      </c>
      <c r="V17" s="164">
        <f t="shared" ca="1" si="7"/>
        <v>5826.7605616697056</v>
      </c>
    </row>
    <row r="18" spans="1:22" ht="15" thickBot="1" x14ac:dyDescent="0.35">
      <c r="A18" s="65" t="s">
        <v>141</v>
      </c>
      <c r="B18" s="67" t="s">
        <v>142</v>
      </c>
      <c r="D18" s="178">
        <v>13</v>
      </c>
      <c r="E18" s="95">
        <f t="shared" si="0"/>
        <v>13</v>
      </c>
      <c r="F18" s="183">
        <f t="shared" si="1"/>
        <v>48</v>
      </c>
      <c r="G18" s="162">
        <f>IF(E18="","",IF(E18=$B$10,0,VLOOKUP(F18,Life!$A$3:$R$113,7,FALSE)))</f>
        <v>14741.395229286465</v>
      </c>
      <c r="H18" s="163">
        <f>IF(E18="","",IF($F18=111,0,VLOOKUP(F18,Life!$A$3:$R$113,8,FALSE)))</f>
        <v>3200510.7991059828</v>
      </c>
      <c r="I18" s="163">
        <f t="shared" si="8"/>
        <v>6386</v>
      </c>
      <c r="J18" s="163">
        <f t="shared" si="9"/>
        <v>0</v>
      </c>
      <c r="K18" s="163">
        <f t="shared" si="2"/>
        <v>0</v>
      </c>
      <c r="L18" s="163">
        <f t="shared" si="3"/>
        <v>0</v>
      </c>
      <c r="M18" s="163">
        <f t="shared" ca="1" si="4"/>
        <v>6779</v>
      </c>
      <c r="N18" s="163">
        <f t="shared" si="10"/>
        <v>0</v>
      </c>
      <c r="O18" s="163">
        <f t="shared" si="11"/>
        <v>0</v>
      </c>
      <c r="P18" s="163">
        <f>IF(E18="","",SUM(O$5:O18))</f>
        <v>0</v>
      </c>
      <c r="Q18" s="163">
        <f ca="1">IF(E18="","",IF($F18=111,$N18,(SUMPRODUCT(G18:G$116,M18:M$116)+SUMPRODUCT(H18:H$116,N18:N$116))/H18))</f>
        <v>8370.5928286162598</v>
      </c>
      <c r="R18" s="163">
        <f>IF(E18="","",IF($F18=111,$O18,SUMPRODUCT(H18:H$116,O18:O$116)/H18))</f>
        <v>0</v>
      </c>
      <c r="S18" s="163">
        <f t="shared" ca="1" si="5"/>
        <v>433.52112333941</v>
      </c>
      <c r="T18" s="163">
        <f ca="1">IF(E18="","",IF($F18=111,0,SUMPRODUCT(H18:H$116,S18:S$116)/H18))</f>
        <v>2486.943543253265</v>
      </c>
      <c r="U18" s="163">
        <f t="shared" ca="1" si="6"/>
        <v>5884</v>
      </c>
      <c r="V18" s="164">
        <f t="shared" ca="1" si="7"/>
        <v>6380.2605616697056</v>
      </c>
    </row>
    <row r="19" spans="1:22" ht="15" thickTop="1" x14ac:dyDescent="0.3">
      <c r="A19" s="174" t="s">
        <v>106</v>
      </c>
      <c r="B19" s="191">
        <f>INDEX(Set!$12:$12,$B$8+1)</f>
        <v>2.2499999999999999E-2</v>
      </c>
      <c r="D19" s="178">
        <v>14</v>
      </c>
      <c r="E19" s="95">
        <f t="shared" si="0"/>
        <v>14</v>
      </c>
      <c r="F19" s="183">
        <f t="shared" si="1"/>
        <v>49</v>
      </c>
      <c r="G19" s="162">
        <f>IF(E19="","",IF(E19=$B$10,0,VLOOKUP(F19,Life!$A$3:$R$113,7,FALSE)))</f>
        <v>15520.260266177709</v>
      </c>
      <c r="H19" s="163">
        <f>IF(E19="","",IF($F19=111,0,VLOOKUP(F19,Life!$A$3:$R$113,8,FALSE)))</f>
        <v>3115505.6094718548</v>
      </c>
      <c r="I19" s="163">
        <f t="shared" si="8"/>
        <v>6877</v>
      </c>
      <c r="J19" s="163">
        <f t="shared" si="9"/>
        <v>0</v>
      </c>
      <c r="K19" s="163">
        <f t="shared" si="2"/>
        <v>0</v>
      </c>
      <c r="L19" s="163">
        <f t="shared" si="3"/>
        <v>0</v>
      </c>
      <c r="M19" s="163">
        <f t="shared" ca="1" si="4"/>
        <v>7300</v>
      </c>
      <c r="N19" s="163">
        <f t="shared" si="10"/>
        <v>0</v>
      </c>
      <c r="O19" s="163">
        <f t="shared" si="11"/>
        <v>0</v>
      </c>
      <c r="P19" s="163">
        <f>IF(E19="","",SUM(O$5:O19))</f>
        <v>0</v>
      </c>
      <c r="Q19" s="163">
        <f ca="1">IF(E19="","",IF($F19=111,$N19,(SUMPRODUCT(G19:G$116,M19:M$116)+SUMPRODUCT(H19:H$116,N19:N$116))/H19))</f>
        <v>8628.0938705000281</v>
      </c>
      <c r="R19" s="163">
        <f>IF(E19="","",IF($F19=111,$O19,SUMPRODUCT(H19:H$116,O19:O$116)/H19))</f>
        <v>0</v>
      </c>
      <c r="S19" s="163">
        <f t="shared" ca="1" si="5"/>
        <v>433.52112333941</v>
      </c>
      <c r="T19" s="163">
        <f ca="1">IF(E19="","",IF($F19=111,0,SUMPRODUCT(H19:H$116,S19:S$116)/H19))</f>
        <v>2184.8403232209284</v>
      </c>
      <c r="U19" s="163">
        <f t="shared" ca="1" si="6"/>
        <v>6443</v>
      </c>
      <c r="V19" s="164">
        <f t="shared" ca="1" si="7"/>
        <v>6946.2605616697056</v>
      </c>
    </row>
    <row r="20" spans="1:22" ht="15.6" x14ac:dyDescent="0.3">
      <c r="A20" s="175" t="s">
        <v>117</v>
      </c>
      <c r="B20" s="192">
        <f>INDEX(Set!$13:$13,$B$8+1)</f>
        <v>0.9</v>
      </c>
      <c r="D20" s="178">
        <v>15</v>
      </c>
      <c r="E20" s="184">
        <f t="shared" si="0"/>
        <v>15</v>
      </c>
      <c r="F20" s="185">
        <f t="shared" si="1"/>
        <v>50</v>
      </c>
      <c r="G20" s="165">
        <f>IF(E20="","",IF(E20=$B$10,0,VLOOKUP(F20,Life!$A$3:$R$113,7,FALSE)))</f>
        <v>16340.607356295324</v>
      </c>
      <c r="H20" s="166">
        <f>IF(E20="","",IF($F20=111,0,VLOOKUP(F20,Life!$A$3:$R$113,8,FALSE)))</f>
        <v>3031600.7017340176</v>
      </c>
      <c r="I20" s="166">
        <f t="shared" si="8"/>
        <v>7373</v>
      </c>
      <c r="J20" s="166">
        <f t="shared" si="9"/>
        <v>0</v>
      </c>
      <c r="K20" s="166">
        <f t="shared" si="2"/>
        <v>0</v>
      </c>
      <c r="L20" s="166">
        <f t="shared" si="3"/>
        <v>0</v>
      </c>
      <c r="M20" s="166">
        <f t="shared" ca="1" si="4"/>
        <v>7826</v>
      </c>
      <c r="N20" s="166">
        <f t="shared" si="10"/>
        <v>0</v>
      </c>
      <c r="O20" s="166">
        <f t="shared" si="11"/>
        <v>0</v>
      </c>
      <c r="P20" s="166">
        <f>IF(E20="","",SUM(O$5:O20))</f>
        <v>0</v>
      </c>
      <c r="Q20" s="166">
        <f ca="1">IF(E20="","",IF($F20=111,$N20,(SUMPRODUCT(G20:G$116,M20:M$116)+SUMPRODUCT(H20:H$116,N20:N$116))/H20))</f>
        <v>8887.1205149123743</v>
      </c>
      <c r="R20" s="166">
        <f>IF(E20="","",IF($F20=111,$O20,SUMPRODUCT(H20:H$116,O20:O$116)/H20))</f>
        <v>0</v>
      </c>
      <c r="S20" s="166">
        <f t="shared" ca="1" si="5"/>
        <v>433.52112333941</v>
      </c>
      <c r="T20" s="166">
        <f ca="1">IF(E20="","",IF($F20=111,0,SUMPRODUCT(H20:H$116,S20:S$116)/H20))</f>
        <v>1871.392764430753</v>
      </c>
      <c r="U20" s="166">
        <f t="shared" ca="1" si="6"/>
        <v>7016</v>
      </c>
      <c r="V20" s="167">
        <f t="shared" ca="1" si="7"/>
        <v>7525.7605616697056</v>
      </c>
    </row>
    <row r="21" spans="1:22" x14ac:dyDescent="0.3">
      <c r="A21" s="175" t="s">
        <v>107</v>
      </c>
      <c r="B21" s="192">
        <f ca="1">IF($B$17=1,VLOOKUP($B$7,EL!$A$6:$I$85,2*$B$8+$B$6-1),1-$B$22/$B$12)</f>
        <v>0.1040825188171659</v>
      </c>
      <c r="D21" s="178">
        <v>16</v>
      </c>
      <c r="E21" s="95">
        <f t="shared" si="0"/>
        <v>16</v>
      </c>
      <c r="F21" s="183">
        <f t="shared" si="1"/>
        <v>51</v>
      </c>
      <c r="G21" s="162">
        <f>IF(E21="","",IF(E21=$B$10,0,VLOOKUP(F21,Life!$A$3:$R$113,7,FALSE)))</f>
        <v>17211.444950234123</v>
      </c>
      <c r="H21" s="163">
        <f>IF(E21="","",IF($F21=111,0,VLOOKUP(F21,Life!$A$3:$R$113,8,FALSE)))</f>
        <v>2948730.8411999722</v>
      </c>
      <c r="I21" s="163">
        <f t="shared" si="8"/>
        <v>7874</v>
      </c>
      <c r="J21" s="163">
        <f t="shared" si="9"/>
        <v>0</v>
      </c>
      <c r="K21" s="163">
        <f t="shared" si="2"/>
        <v>0</v>
      </c>
      <c r="L21" s="163">
        <f t="shared" si="3"/>
        <v>0</v>
      </c>
      <c r="M21" s="163">
        <f t="shared" ca="1" si="4"/>
        <v>8358</v>
      </c>
      <c r="N21" s="163">
        <f t="shared" si="10"/>
        <v>0</v>
      </c>
      <c r="O21" s="163">
        <f t="shared" si="11"/>
        <v>0</v>
      </c>
      <c r="P21" s="163">
        <f>IF(E21="","",SUM(O$5:O21))</f>
        <v>0</v>
      </c>
      <c r="Q21" s="163">
        <f ca="1">IF(E21="","",IF($F21=111,$N21,(SUMPRODUCT(G21:G$116,M21:M$116)+SUMPRODUCT(H21:H$116,N21:N$116))/H21))</f>
        <v>9145.7825881495592</v>
      </c>
      <c r="R21" s="163">
        <f>IF(E21="","",IF($F21=111,$O21,SUMPRODUCT(H21:H$116,O21:O$116)/H21))</f>
        <v>0</v>
      </c>
      <c r="S21" s="163">
        <f t="shared" ca="1" si="5"/>
        <v>433.52112333941</v>
      </c>
      <c r="T21" s="163">
        <f ca="1">IF(E21="","",IF($F21=111,0,SUMPRODUCT(H21:H$116,S21:S$116)/H21))</f>
        <v>1543.7668414300258</v>
      </c>
      <c r="U21" s="163">
        <f t="shared" ca="1" si="6"/>
        <v>7602</v>
      </c>
      <c r="V21" s="164">
        <f t="shared" ca="1" si="7"/>
        <v>8119.2605616697056</v>
      </c>
    </row>
    <row r="22" spans="1:22" x14ac:dyDescent="0.3">
      <c r="A22" s="175" t="s">
        <v>108</v>
      </c>
      <c r="B22" s="150">
        <f ca="1">B27+B37</f>
        <v>402.26694905109252</v>
      </c>
      <c r="D22" s="178">
        <v>17</v>
      </c>
      <c r="E22" s="95">
        <f t="shared" si="0"/>
        <v>17</v>
      </c>
      <c r="F22" s="183">
        <f t="shared" si="1"/>
        <v>52</v>
      </c>
      <c r="G22" s="162">
        <f>IF(E22="","",IF(E22=$B$10,0,VLOOKUP(F22,Life!$A$3:$R$113,7,FALSE)))</f>
        <v>18136.789196116042</v>
      </c>
      <c r="H22" s="163">
        <f>IF(E22="","",IF($F22=111,0,VLOOKUP(F22,Life!$A$3:$R$113,8,FALSE)))</f>
        <v>2866823.3198751775</v>
      </c>
      <c r="I22" s="163">
        <f t="shared" si="8"/>
        <v>8380</v>
      </c>
      <c r="J22" s="163">
        <f t="shared" si="9"/>
        <v>0</v>
      </c>
      <c r="K22" s="163">
        <f t="shared" si="2"/>
        <v>0</v>
      </c>
      <c r="L22" s="163">
        <f t="shared" si="3"/>
        <v>0</v>
      </c>
      <c r="M22" s="163">
        <f t="shared" ca="1" si="4"/>
        <v>8895</v>
      </c>
      <c r="N22" s="163">
        <f t="shared" si="10"/>
        <v>0</v>
      </c>
      <c r="O22" s="163">
        <f t="shared" si="11"/>
        <v>0</v>
      </c>
      <c r="P22" s="163">
        <f>IF(E22="","",SUM(O$5:O22))</f>
        <v>0</v>
      </c>
      <c r="Q22" s="163">
        <f ca="1">IF(E22="","",IF($F22=111,$N22,(SUMPRODUCT(G22:G$116,M22:M$116)+SUMPRODUCT(H22:H$116,N22:N$116))/H22))</f>
        <v>9401.5745589454382</v>
      </c>
      <c r="R22" s="163">
        <f>IF(E22="","",IF($F22=111,$O22,SUMPRODUCT(H22:H$116,O22:O$116)/H22))</f>
        <v>0</v>
      </c>
      <c r="S22" s="163">
        <f t="shared" ca="1" si="5"/>
        <v>433.52112333941</v>
      </c>
      <c r="T22" s="163">
        <f ca="1">IF(E22="","",IF($F22=111,0,SUMPRODUCT(H22:H$116,S22:S$116)/H22))</f>
        <v>1198.3052531174669</v>
      </c>
      <c r="U22" s="163">
        <f t="shared" ca="1" si="6"/>
        <v>8203</v>
      </c>
      <c r="V22" s="164">
        <f t="shared" ca="1" si="7"/>
        <v>8728.7605616697037</v>
      </c>
    </row>
    <row r="23" spans="1:22" x14ac:dyDescent="0.3">
      <c r="A23" s="175" t="s">
        <v>109</v>
      </c>
      <c r="B23" s="150">
        <f ca="1">B33+B37</f>
        <v>4.8329456491119513</v>
      </c>
      <c r="D23" s="178">
        <v>18</v>
      </c>
      <c r="E23" s="95">
        <f t="shared" si="0"/>
        <v>18</v>
      </c>
      <c r="F23" s="183">
        <f t="shared" si="1"/>
        <v>53</v>
      </c>
      <c r="G23" s="162">
        <f>IF(E23="","",IF(E23=$B$10,0,VLOOKUP(F23,Life!$A$3:$R$113,7,FALSE)))</f>
        <v>19124.374812522925</v>
      </c>
      <c r="H23" s="163">
        <f>IF(E23="","",IF($F23=111,0,VLOOKUP(F23,Life!$A$3:$R$113,8,FALSE)))</f>
        <v>2785803.0579816345</v>
      </c>
      <c r="I23" s="163">
        <f t="shared" si="8"/>
        <v>8891</v>
      </c>
      <c r="J23" s="163">
        <f t="shared" si="9"/>
        <v>0</v>
      </c>
      <c r="K23" s="163">
        <f t="shared" si="2"/>
        <v>0</v>
      </c>
      <c r="L23" s="163">
        <f t="shared" si="3"/>
        <v>0</v>
      </c>
      <c r="M23" s="163">
        <f t="shared" ca="1" si="4"/>
        <v>9438</v>
      </c>
      <c r="N23" s="163">
        <f t="shared" si="10"/>
        <v>0</v>
      </c>
      <c r="O23" s="163">
        <f t="shared" si="11"/>
        <v>0</v>
      </c>
      <c r="P23" s="163">
        <f>IF(E23="","",SUM(O$5:O23))</f>
        <v>0</v>
      </c>
      <c r="Q23" s="163">
        <f ca="1">IF(E23="","",IF($F23=111,$N23,(SUMPRODUCT(G23:G$116,M23:M$116)+SUMPRODUCT(H23:H$116,N23:N$116))/H23))</f>
        <v>9651.3041872888352</v>
      </c>
      <c r="R23" s="163">
        <f>IF(E23="","",IF($F23=111,$O23,SUMPRODUCT(H23:H$116,O23:O$116)/H23))</f>
        <v>0</v>
      </c>
      <c r="S23" s="163">
        <f t="shared" ca="1" si="5"/>
        <v>433.52112333941</v>
      </c>
      <c r="T23" s="163">
        <f ca="1">IF(E23="","",IF($F23=111,0,SUMPRODUCT(H23:H$116,S23:S$116)/H23))</f>
        <v>830.27443225095817</v>
      </c>
      <c r="U23" s="163">
        <f t="shared" ca="1" si="6"/>
        <v>8821</v>
      </c>
      <c r="V23" s="164">
        <f t="shared" ca="1" si="7"/>
        <v>9355.7605616697037</v>
      </c>
    </row>
    <row r="24" spans="1:22" x14ac:dyDescent="0.3">
      <c r="A24" s="175" t="s">
        <v>110</v>
      </c>
      <c r="B24" s="150">
        <f ca="1">B34+B37</f>
        <v>433.52112333941</v>
      </c>
      <c r="D24" s="178">
        <v>19</v>
      </c>
      <c r="E24" s="95">
        <f t="shared" si="0"/>
        <v>19</v>
      </c>
      <c r="F24" s="183">
        <f t="shared" si="1"/>
        <v>54</v>
      </c>
      <c r="G24" s="162">
        <f>IF(E24="","",IF(E24=$B$10,0,VLOOKUP(F24,Life!$A$3:$R$113,7,FALSE)))</f>
        <v>20179.86678440612</v>
      </c>
      <c r="H24" s="163">
        <f>IF(E24="","",IF($F24=111,0,VLOOKUP(F24,Life!$A$3:$R$113,8,FALSE)))</f>
        <v>2705588.9787192154</v>
      </c>
      <c r="I24" s="163">
        <f t="shared" si="8"/>
        <v>9407</v>
      </c>
      <c r="J24" s="163">
        <f t="shared" si="9"/>
        <v>0</v>
      </c>
      <c r="K24" s="163">
        <f t="shared" si="2"/>
        <v>0</v>
      </c>
      <c r="L24" s="163">
        <f t="shared" si="3"/>
        <v>0</v>
      </c>
      <c r="M24" s="163">
        <f t="shared" ca="1" si="4"/>
        <v>10001.760561669704</v>
      </c>
      <c r="N24" s="163">
        <f t="shared" si="10"/>
        <v>0</v>
      </c>
      <c r="O24" s="163">
        <f t="shared" si="11"/>
        <v>0</v>
      </c>
      <c r="P24" s="163">
        <f>IF(E24="","",SUM(O$5:O24))</f>
        <v>0</v>
      </c>
      <c r="Q24" s="163">
        <f ca="1">IF(E24="","",IF($F24=111,$N24,(SUMPRODUCT(G24:G$116,M24:M$116)+SUMPRODUCT(H24:H$116,N24:N$116))/H24))</f>
        <v>9890.7536954041625</v>
      </c>
      <c r="R24" s="163">
        <f>IF(E24="","",IF($F24=111,$O24,SUMPRODUCT(H24:H$116,O24:O$116)/H24))</f>
        <v>0</v>
      </c>
      <c r="S24" s="163">
        <f t="shared" ca="1" si="5"/>
        <v>433.52112333941</v>
      </c>
      <c r="T24" s="163">
        <f ca="1">IF(E24="","",IF($F24=111,0,SUMPRODUCT(H24:H$116,S24:S$116)/H24))</f>
        <v>433.52112333941</v>
      </c>
      <c r="U24" s="163">
        <f t="shared" ca="1" si="6"/>
        <v>9457</v>
      </c>
      <c r="V24" s="164">
        <f t="shared" ca="1" si="7"/>
        <v>10001.760561669704</v>
      </c>
    </row>
    <row r="25" spans="1:22" ht="15" thickBot="1" x14ac:dyDescent="0.35">
      <c r="A25" s="195" t="s">
        <v>111</v>
      </c>
      <c r="B25" s="196">
        <f ca="1">B35+B37</f>
        <v>0</v>
      </c>
      <c r="D25" s="178">
        <v>20</v>
      </c>
      <c r="E25" s="184">
        <f t="shared" si="0"/>
        <v>20</v>
      </c>
      <c r="F25" s="185">
        <f t="shared" si="1"/>
        <v>55</v>
      </c>
      <c r="G25" s="165">
        <f>IF(E25="","",IF(E25=$B$10,0,VLOOKUP(F25,Life!$A$3:$R$113,7,FALSE)))</f>
        <v>21311.988360672043</v>
      </c>
      <c r="H25" s="166">
        <f>IF(E25="","",IF($F25=111,0,VLOOKUP(F25,Life!$A$3:$R$113,8,FALSE)))</f>
        <v>2626096.1870642998</v>
      </c>
      <c r="I25" s="166">
        <f t="shared" si="8"/>
        <v>10225</v>
      </c>
      <c r="J25" s="166">
        <f t="shared" si="9"/>
        <v>8713.8000000000011</v>
      </c>
      <c r="K25" s="166">
        <f t="shared" si="2"/>
        <v>0</v>
      </c>
      <c r="L25" s="166">
        <f t="shared" si="3"/>
        <v>0</v>
      </c>
      <c r="M25" s="166">
        <f t="shared" ca="1" si="4"/>
        <v>10227</v>
      </c>
      <c r="N25" s="166">
        <f t="shared" si="10"/>
        <v>0</v>
      </c>
      <c r="O25" s="166">
        <f t="shared" si="11"/>
        <v>0</v>
      </c>
      <c r="P25" s="166">
        <f>IF(E25="","",SUM(O$5:O25))</f>
        <v>0</v>
      </c>
      <c r="Q25" s="166">
        <f ca="1">IF(E25="","",IF($F25=111,$N25,(SUMPRODUCT(G25:G$116,M25:M$116)+SUMPRODUCT(H25:H$116,N25:N$116))/H25))</f>
        <v>10113.268272325542</v>
      </c>
      <c r="R25" s="166">
        <f>IF(E25="","",IF($F25=111,$O25,SUMPRODUCT(H25:H$116,O25:O$116)/H25))</f>
        <v>0</v>
      </c>
      <c r="S25" s="166">
        <f t="shared" si="5"/>
        <v>0</v>
      </c>
      <c r="T25" s="166">
        <f>IF(E25="","",IF($F25=111,0,SUMPRODUCT(H25:H$116,S25:S$116)/H25))</f>
        <v>0</v>
      </c>
      <c r="U25" s="166">
        <f t="shared" ca="1" si="6"/>
        <v>10113</v>
      </c>
      <c r="V25" s="167">
        <f t="shared" ca="1" si="7"/>
        <v>10227</v>
      </c>
    </row>
    <row r="26" spans="1:22" ht="16.2" x14ac:dyDescent="0.3">
      <c r="A26" s="436" t="s">
        <v>143</v>
      </c>
      <c r="B26" s="437"/>
      <c r="D26" s="178">
        <v>21</v>
      </c>
      <c r="E26" s="95">
        <f t="shared" si="0"/>
        <v>21</v>
      </c>
      <c r="F26" s="183">
        <f t="shared" si="1"/>
        <v>56</v>
      </c>
      <c r="G26" s="162">
        <f>IF(E26="","",IF(E26=$B$10,0,VLOOKUP(F26,Life!$A$3:$R$113,7,FALSE)))</f>
        <v>22524.184428462202</v>
      </c>
      <c r="H26" s="163">
        <f>IF(E26="","",IF($F26=111,0,VLOOKUP(F26,Life!$A$3:$R$113,8,FALSE)))</f>
        <v>2547233.029360963</v>
      </c>
      <c r="I26" s="163">
        <f t="shared" si="8"/>
        <v>10455</v>
      </c>
      <c r="J26" s="163">
        <f t="shared" si="9"/>
        <v>8713.8000000000011</v>
      </c>
      <c r="K26" s="163">
        <f t="shared" si="2"/>
        <v>0</v>
      </c>
      <c r="L26" s="163">
        <f t="shared" si="3"/>
        <v>0</v>
      </c>
      <c r="M26" s="163">
        <f t="shared" ca="1" si="4"/>
        <v>10457</v>
      </c>
      <c r="N26" s="163">
        <f t="shared" si="10"/>
        <v>0</v>
      </c>
      <c r="O26" s="163">
        <f t="shared" si="11"/>
        <v>0</v>
      </c>
      <c r="P26" s="163">
        <f>IF(E26="","",SUM(O$5:O26))</f>
        <v>0</v>
      </c>
      <c r="Q26" s="163">
        <f ca="1">IF(E26="","",IF($F26=111,$N26,(SUMPRODUCT(G26:G$116,M26:M$116)+SUMPRODUCT(H26:H$116,N26:N$116))/H26))</f>
        <v>10340.766131214998</v>
      </c>
      <c r="R26" s="163">
        <f>IF(E26="","",IF($F26=111,$O26,SUMPRODUCT(H26:H$116,O26:O$116)/H26))</f>
        <v>0</v>
      </c>
      <c r="S26" s="163">
        <f t="shared" si="5"/>
        <v>0</v>
      </c>
      <c r="T26" s="163">
        <f>IF(E26="","",IF($F26=111,0,SUMPRODUCT(H26:H$116,S26:S$116)/H26))</f>
        <v>0</v>
      </c>
      <c r="U26" s="163">
        <f t="shared" ca="1" si="6"/>
        <v>10341</v>
      </c>
      <c r="V26" s="164">
        <f t="shared" ca="1" si="7"/>
        <v>10457</v>
      </c>
    </row>
    <row r="27" spans="1:22" x14ac:dyDescent="0.3">
      <c r="A27" s="176" t="s">
        <v>108</v>
      </c>
      <c r="B27" s="150">
        <f ca="1">$Q$5/(SUMIF($E$5:$E$116,"&lt;" &amp; $B$9,$H$5:$H$116)/$H$5)</f>
        <v>402.26694905109252</v>
      </c>
      <c r="D27" s="178">
        <v>22</v>
      </c>
      <c r="E27" s="95">
        <f t="shared" si="0"/>
        <v>22</v>
      </c>
      <c r="F27" s="183">
        <f t="shared" si="1"/>
        <v>57</v>
      </c>
      <c r="G27" s="162">
        <f>IF(E27="","",IF(E27=$B$10,0,VLOOKUP(F27,Life!$A$3:$R$113,7,FALSE)))</f>
        <v>23817.933549743724</v>
      </c>
      <c r="H27" s="163">
        <f>IF(E27="","",IF($F27=111,0,VLOOKUP(F27,Life!$A$3:$R$113,8,FALSE)))</f>
        <v>2468906.4620077722</v>
      </c>
      <c r="I27" s="163">
        <f t="shared" si="8"/>
        <v>10690</v>
      </c>
      <c r="J27" s="163">
        <f t="shared" si="9"/>
        <v>8713.8000000000011</v>
      </c>
      <c r="K27" s="163">
        <f t="shared" si="2"/>
        <v>0</v>
      </c>
      <c r="L27" s="163">
        <f t="shared" si="3"/>
        <v>0</v>
      </c>
      <c r="M27" s="163">
        <f t="shared" ca="1" si="4"/>
        <v>10692</v>
      </c>
      <c r="N27" s="163">
        <f t="shared" si="10"/>
        <v>0</v>
      </c>
      <c r="O27" s="163">
        <f t="shared" si="11"/>
        <v>0</v>
      </c>
      <c r="P27" s="163">
        <f>IF(E27="","",SUM(O$5:O27))</f>
        <v>0</v>
      </c>
      <c r="Q27" s="163">
        <f ca="1">IF(E27="","",IF($F27=111,$N27,(SUMPRODUCT(G27:G$116,M27:M$116)+SUMPRODUCT(H27:H$116,N27:N$116))/H27))</f>
        <v>10573.381069825742</v>
      </c>
      <c r="R27" s="163">
        <f>IF(E27="","",IF($F27=111,$O27,SUMPRODUCT(H27:H$116,O27:O$116)/H27))</f>
        <v>0</v>
      </c>
      <c r="S27" s="163">
        <f t="shared" si="5"/>
        <v>0</v>
      </c>
      <c r="T27" s="163">
        <f>IF(E27="","",IF($F27=111,0,SUMPRODUCT(H27:H$116,S27:S$116)/H27))</f>
        <v>0</v>
      </c>
      <c r="U27" s="163">
        <f t="shared" ca="1" si="6"/>
        <v>10573</v>
      </c>
      <c r="V27" s="164">
        <f t="shared" ca="1" si="7"/>
        <v>10692</v>
      </c>
    </row>
    <row r="28" spans="1:22" x14ac:dyDescent="0.3">
      <c r="A28" s="176" t="s">
        <v>112</v>
      </c>
      <c r="B28" s="150">
        <f ca="1">IF($B$9=1,"",SUMPRODUCT($G$5:$G$116,$M$5:$M$116)/(SUM($G$5:$G$116)*$B$11))</f>
        <v>0.84110961159667941</v>
      </c>
      <c r="D28" s="178">
        <v>23</v>
      </c>
      <c r="E28" s="95">
        <f t="shared" si="0"/>
        <v>23</v>
      </c>
      <c r="F28" s="183">
        <f t="shared" si="1"/>
        <v>58</v>
      </c>
      <c r="G28" s="162">
        <f>IF(E28="","",IF(E28=$B$10,0,VLOOKUP(F28,Life!$A$3:$R$113,7,FALSE)))</f>
        <v>25196.747237825981</v>
      </c>
      <c r="H28" s="163">
        <f>IF(E28="","",IF($F28=111,0,VLOOKUP(F28,Life!$A$3:$R$113,8,FALSE)))</f>
        <v>2391024.0266138236</v>
      </c>
      <c r="I28" s="163">
        <f t="shared" si="8"/>
        <v>10931</v>
      </c>
      <c r="J28" s="163">
        <f t="shared" si="9"/>
        <v>8713.8000000000011</v>
      </c>
      <c r="K28" s="163">
        <f t="shared" si="2"/>
        <v>0</v>
      </c>
      <c r="L28" s="163">
        <f t="shared" si="3"/>
        <v>0</v>
      </c>
      <c r="M28" s="163">
        <f t="shared" ca="1" si="4"/>
        <v>10932.5</v>
      </c>
      <c r="N28" s="163">
        <f t="shared" si="10"/>
        <v>0</v>
      </c>
      <c r="O28" s="163">
        <f t="shared" si="11"/>
        <v>0</v>
      </c>
      <c r="P28" s="163">
        <f>IF(E28="","",SUM(O$5:O28))</f>
        <v>0</v>
      </c>
      <c r="Q28" s="163">
        <f ca="1">IF(E28="","",IF($F28=111,$N28,(SUMPRODUCT(G28:G$116,M28:M$116)+SUMPRODUCT(H28:H$116,N28:N$116))/H28))</f>
        <v>10811.247024981169</v>
      </c>
      <c r="R28" s="163">
        <f>IF(E28="","",IF($F28=111,$O28,SUMPRODUCT(H28:H$116,O28:O$116)/H28))</f>
        <v>0</v>
      </c>
      <c r="S28" s="163">
        <f t="shared" si="5"/>
        <v>0</v>
      </c>
      <c r="T28" s="163">
        <f>IF(E28="","",IF($F28=111,0,SUMPRODUCT(H28:H$116,S28:S$116)/H28))</f>
        <v>0</v>
      </c>
      <c r="U28" s="163">
        <f t="shared" ca="1" si="6"/>
        <v>10811</v>
      </c>
      <c r="V28" s="164">
        <f t="shared" ca="1" si="7"/>
        <v>10932.5</v>
      </c>
    </row>
    <row r="29" spans="1:22" x14ac:dyDescent="0.3">
      <c r="A29" s="176" t="s">
        <v>113</v>
      </c>
      <c r="B29" s="150">
        <f>IF($B$9=1,"",VLOOKUP(B7,Life!$A$3:$Q$113,9)/(VLOOKUP(B7,Life!$A$3:$Q$113,10)-VLOOKUP(B7+20,Life!$A$3:$Q$113,10))*$B$11)</f>
        <v>262.60366226470097</v>
      </c>
      <c r="D29" s="178">
        <v>24</v>
      </c>
      <c r="E29" s="95">
        <f t="shared" si="0"/>
        <v>24</v>
      </c>
      <c r="F29" s="183">
        <f t="shared" si="1"/>
        <v>59</v>
      </c>
      <c r="G29" s="162">
        <f>IF(E29="","",IF(E29=$B$10,0,VLOOKUP(F29,Life!$A$3:$R$113,7,FALSE)))</f>
        <v>26653.156719543251</v>
      </c>
      <c r="H29" s="163">
        <f>IF(E29="","",IF($F29=111,0,VLOOKUP(F29,Life!$A$3:$R$113,8,FALSE)))</f>
        <v>2313491.8266617702</v>
      </c>
      <c r="I29" s="163">
        <f t="shared" si="8"/>
        <v>11177</v>
      </c>
      <c r="J29" s="163">
        <f t="shared" si="9"/>
        <v>8713.8000000000011</v>
      </c>
      <c r="K29" s="163">
        <f t="shared" si="2"/>
        <v>0</v>
      </c>
      <c r="L29" s="163">
        <f t="shared" si="3"/>
        <v>0</v>
      </c>
      <c r="M29" s="163">
        <f t="shared" ca="1" si="4"/>
        <v>11178.5</v>
      </c>
      <c r="N29" s="163">
        <f t="shared" si="10"/>
        <v>0</v>
      </c>
      <c r="O29" s="163">
        <f t="shared" si="11"/>
        <v>0</v>
      </c>
      <c r="P29" s="163">
        <f>IF(E29="","",SUM(O$5:O29))</f>
        <v>0</v>
      </c>
      <c r="Q29" s="163">
        <f ca="1">IF(E29="","",IF($F29=111,$N29,(SUMPRODUCT(G29:G$116,M29:M$116)+SUMPRODUCT(H29:H$116,N29:N$116))/H29))</f>
        <v>11054.464164704112</v>
      </c>
      <c r="R29" s="163">
        <f>IF(E29="","",IF($F29=111,$O29,SUMPRODUCT(H29:H$116,O29:O$116)/H29))</f>
        <v>0</v>
      </c>
      <c r="S29" s="163">
        <f t="shared" si="5"/>
        <v>0</v>
      </c>
      <c r="T29" s="163">
        <f>IF(E29="","",IF($F29=111,0,SUMPRODUCT(H29:H$116,S29:S$116)/H29))</f>
        <v>0</v>
      </c>
      <c r="U29" s="163">
        <f t="shared" ca="1" si="6"/>
        <v>11054</v>
      </c>
      <c r="V29" s="164">
        <f t="shared" ca="1" si="7"/>
        <v>11178.5</v>
      </c>
    </row>
    <row r="30" spans="1:22" x14ac:dyDescent="0.3">
      <c r="A30" s="176" t="s">
        <v>114</v>
      </c>
      <c r="B30" s="150">
        <f ca="1">IF($B$9=1,"",(M5*G5+N6*H5)/H5)</f>
        <v>4.814901640398733</v>
      </c>
      <c r="D30" s="178">
        <v>25</v>
      </c>
      <c r="E30" s="184">
        <f t="shared" si="0"/>
        <v>25</v>
      </c>
      <c r="F30" s="185">
        <f t="shared" si="1"/>
        <v>60</v>
      </c>
      <c r="G30" s="165">
        <f>IF(E30="","",IF(E30=$B$10,0,VLOOKUP(F30,Life!$A$3:$R$113,7,FALSE)))</f>
        <v>28179.26234976155</v>
      </c>
      <c r="H30" s="166">
        <f>IF(E30="","",IF($F30=111,0,VLOOKUP(F30,Life!$A$3:$R$113,8,FALSE)))</f>
        <v>2236225.4179580905</v>
      </c>
      <c r="I30" s="166">
        <f t="shared" si="8"/>
        <v>11428</v>
      </c>
      <c r="J30" s="166">
        <f t="shared" si="9"/>
        <v>8713.8000000000011</v>
      </c>
      <c r="K30" s="166">
        <f t="shared" si="2"/>
        <v>0</v>
      </c>
      <c r="L30" s="166">
        <f t="shared" si="3"/>
        <v>0</v>
      </c>
      <c r="M30" s="166">
        <f t="shared" ca="1" si="4"/>
        <v>11430</v>
      </c>
      <c r="N30" s="166">
        <f t="shared" si="10"/>
        <v>0</v>
      </c>
      <c r="O30" s="166">
        <f t="shared" si="11"/>
        <v>0</v>
      </c>
      <c r="P30" s="166">
        <f>IF(E30="","",SUM(O$5:O30))</f>
        <v>0</v>
      </c>
      <c r="Q30" s="166">
        <f ca="1">IF(E30="","",IF($F30=111,$N30,(SUMPRODUCT(G30:G$116,M30:M$116)+SUMPRODUCT(H30:H$116,N30:N$116))/H30))</f>
        <v>11303.141390487086</v>
      </c>
      <c r="R30" s="166">
        <f>IF(E30="","",IF($F30=111,$O30,SUMPRODUCT(H30:H$116,O30:O$116)/H30))</f>
        <v>0</v>
      </c>
      <c r="S30" s="166">
        <f t="shared" si="5"/>
        <v>0</v>
      </c>
      <c r="T30" s="166">
        <f>IF(E30="","",IF($F30=111,0,SUMPRODUCT(H30:H$116,S30:S$116)/H30))</f>
        <v>0</v>
      </c>
      <c r="U30" s="166">
        <f t="shared" ca="1" si="6"/>
        <v>11303</v>
      </c>
      <c r="V30" s="167">
        <f t="shared" ca="1" si="7"/>
        <v>11430</v>
      </c>
    </row>
    <row r="31" spans="1:22" x14ac:dyDescent="0.3">
      <c r="A31" s="176" t="s">
        <v>115</v>
      </c>
      <c r="B31" s="149">
        <f ca="1">IF($B$9=1,"",IF(B27&gt;B28*B29,20,1))</f>
        <v>20</v>
      </c>
      <c r="D31" s="178">
        <v>26</v>
      </c>
      <c r="E31" s="95">
        <f t="shared" si="0"/>
        <v>26</v>
      </c>
      <c r="F31" s="183">
        <f t="shared" si="1"/>
        <v>61</v>
      </c>
      <c r="G31" s="162">
        <f>IF(E31="","",IF(E31=$B$10,0,VLOOKUP(F31,Life!$A$3:$R$113,7,FALSE)))</f>
        <v>29763.752357895872</v>
      </c>
      <c r="H31" s="163">
        <f>IF(E31="","",IF($F31=111,0,VLOOKUP(F31,Life!$A$3:$R$113,8,FALSE)))</f>
        <v>2159150.0267407019</v>
      </c>
      <c r="I31" s="163">
        <f t="shared" si="8"/>
        <v>11685</v>
      </c>
      <c r="J31" s="163">
        <f t="shared" si="9"/>
        <v>8713.8000000000011</v>
      </c>
      <c r="K31" s="163">
        <f t="shared" si="2"/>
        <v>0</v>
      </c>
      <c r="L31" s="163">
        <f t="shared" si="3"/>
        <v>0</v>
      </c>
      <c r="M31" s="163">
        <f t="shared" ca="1" si="4"/>
        <v>11687</v>
      </c>
      <c r="N31" s="163">
        <f t="shared" si="10"/>
        <v>0</v>
      </c>
      <c r="O31" s="163">
        <f t="shared" si="11"/>
        <v>0</v>
      </c>
      <c r="P31" s="163">
        <f>IF(E31="","",SUM(O$5:O31))</f>
        <v>0</v>
      </c>
      <c r="Q31" s="163">
        <f ca="1">IF(E31="","",IF($F31=111,$N31,(SUMPRODUCT(G31:G$116,M31:M$116)+SUMPRODUCT(H31:H$116,N31:N$116))/H31))</f>
        <v>11557.402284210086</v>
      </c>
      <c r="R31" s="163">
        <f>IF(E31="","",IF($F31=111,$O31,SUMPRODUCT(H31:H$116,O31:O$116)/H31))</f>
        <v>0</v>
      </c>
      <c r="S31" s="163">
        <f t="shared" si="5"/>
        <v>0</v>
      </c>
      <c r="T31" s="163">
        <f>IF(E31="","",IF($F31=111,0,SUMPRODUCT(H31:H$116,S31:S$116)/H31))</f>
        <v>0</v>
      </c>
      <c r="U31" s="163">
        <f t="shared" ca="1" si="6"/>
        <v>11557</v>
      </c>
      <c r="V31" s="164">
        <f t="shared" ca="1" si="7"/>
        <v>11687</v>
      </c>
    </row>
    <row r="32" spans="1:22" x14ac:dyDescent="0.3">
      <c r="A32" s="176" t="s">
        <v>116</v>
      </c>
      <c r="B32" s="149">
        <f ca="1">IF($B$9=1,"",IF(B31=20,MIN(B9,20),B9))</f>
        <v>20</v>
      </c>
      <c r="D32" s="178">
        <v>27</v>
      </c>
      <c r="E32" s="95">
        <f t="shared" si="0"/>
        <v>27</v>
      </c>
      <c r="F32" s="183">
        <f t="shared" si="1"/>
        <v>62</v>
      </c>
      <c r="G32" s="162">
        <f>IF(E32="","",IF(E32=$B$10,0,VLOOKUP(F32,Life!$A$3:$R$113,7,FALSE)))</f>
        <v>31397.782533781261</v>
      </c>
      <c r="H32" s="163">
        <f>IF(E32="","",IF($F32=111,0,VLOOKUP(F32,Life!$A$3:$R$113,8,FALSE)))</f>
        <v>2082203.711257074</v>
      </c>
      <c r="I32" s="163">
        <f t="shared" si="8"/>
        <v>11948</v>
      </c>
      <c r="J32" s="163">
        <f t="shared" si="9"/>
        <v>8713.8000000000011</v>
      </c>
      <c r="K32" s="163">
        <f t="shared" si="2"/>
        <v>0</v>
      </c>
      <c r="L32" s="163">
        <f t="shared" si="3"/>
        <v>0</v>
      </c>
      <c r="M32" s="163">
        <f t="shared" ca="1" si="4"/>
        <v>11950</v>
      </c>
      <c r="N32" s="163">
        <f t="shared" si="10"/>
        <v>0</v>
      </c>
      <c r="O32" s="163">
        <f t="shared" si="11"/>
        <v>0</v>
      </c>
      <c r="P32" s="163">
        <f>IF(E32="","",SUM(O$5:O32))</f>
        <v>0</v>
      </c>
      <c r="Q32" s="163">
        <f ca="1">IF(E32="","",IF($F32=111,$N32,(SUMPRODUCT(G32:G$116,M32:M$116)+SUMPRODUCT(H32:H$116,N32:N$116))/H32))</f>
        <v>11817.394441829574</v>
      </c>
      <c r="R32" s="163">
        <f>IF(E32="","",IF($F32=111,$O32,SUMPRODUCT(H32:H$116,O32:O$116)/H32))</f>
        <v>0</v>
      </c>
      <c r="S32" s="163">
        <f t="shared" si="5"/>
        <v>0</v>
      </c>
      <c r="T32" s="163">
        <f>IF(E32="","",IF($F32=111,0,SUMPRODUCT(H32:H$116,S32:S$116)/H32))</f>
        <v>0</v>
      </c>
      <c r="U32" s="163">
        <f t="shared" ca="1" si="6"/>
        <v>11817</v>
      </c>
      <c r="V32" s="164">
        <f t="shared" ca="1" si="7"/>
        <v>11950</v>
      </c>
    </row>
    <row r="33" spans="1:22" x14ac:dyDescent="0.3">
      <c r="A33" s="176" t="s">
        <v>109</v>
      </c>
      <c r="B33" s="150">
        <f ca="1">IF($B$9=1,$B$27,B30+MAX(B27-B28*B29,0))</f>
        <v>4.8329456491119513</v>
      </c>
      <c r="D33" s="178">
        <v>28</v>
      </c>
      <c r="E33" s="95">
        <f t="shared" si="0"/>
        <v>28</v>
      </c>
      <c r="F33" s="183">
        <f t="shared" si="1"/>
        <v>63</v>
      </c>
      <c r="G33" s="162">
        <f>IF(E33="","",IF(E33=$B$10,0,VLOOKUP(F33,Life!$A$3:$R$113,7,FALSE)))</f>
        <v>33069.394720175063</v>
      </c>
      <c r="H33" s="163">
        <f>IF(E33="","",IF($F33=111,0,VLOOKUP(F33,Life!$A$3:$R$113,8,FALSE)))</f>
        <v>2005334.6391370706</v>
      </c>
      <c r="I33" s="163">
        <f t="shared" si="8"/>
        <v>12217</v>
      </c>
      <c r="J33" s="163">
        <f t="shared" si="9"/>
        <v>8713.8000000000011</v>
      </c>
      <c r="K33" s="163">
        <f t="shared" si="2"/>
        <v>0</v>
      </c>
      <c r="L33" s="163">
        <f t="shared" si="3"/>
        <v>0</v>
      </c>
      <c r="M33" s="163">
        <f t="shared" ca="1" si="4"/>
        <v>12219</v>
      </c>
      <c r="N33" s="163">
        <f t="shared" si="10"/>
        <v>0</v>
      </c>
      <c r="O33" s="163">
        <f t="shared" si="11"/>
        <v>0</v>
      </c>
      <c r="P33" s="163">
        <f>IF(E33="","",SUM(O$5:O33))</f>
        <v>0</v>
      </c>
      <c r="Q33" s="163">
        <f ca="1">IF(E33="","",IF($F33=111,$N33,(SUMPRODUCT(G33:G$116,M33:M$116)+SUMPRODUCT(H33:H$116,N33:N$116))/H33))</f>
        <v>12083.212403238729</v>
      </c>
      <c r="R33" s="163">
        <f>IF(E33="","",IF($F33=111,$O33,SUMPRODUCT(H33:H$116,O33:O$116)/H33))</f>
        <v>0</v>
      </c>
      <c r="S33" s="163">
        <f t="shared" si="5"/>
        <v>0</v>
      </c>
      <c r="T33" s="163">
        <f>IF(E33="","",IF($F33=111,0,SUMPRODUCT(H33:H$116,S33:S$116)/H33))</f>
        <v>0</v>
      </c>
      <c r="U33" s="163">
        <f t="shared" ca="1" si="6"/>
        <v>12083</v>
      </c>
      <c r="V33" s="164">
        <f t="shared" ca="1" si="7"/>
        <v>12219</v>
      </c>
    </row>
    <row r="34" spans="1:22" x14ac:dyDescent="0.3">
      <c r="A34" s="176" t="s">
        <v>110</v>
      </c>
      <c r="B34" s="150">
        <f ca="1">IF($B$9=1,0,B27+(B27-B33)/(SUMIF(E6:E116,"&lt;" &amp; B9,H6:H116)/H5))</f>
        <v>433.52112333941</v>
      </c>
      <c r="D34" s="178">
        <v>29</v>
      </c>
      <c r="E34" s="95">
        <f t="shared" si="0"/>
        <v>29</v>
      </c>
      <c r="F34" s="183">
        <f t="shared" si="1"/>
        <v>64</v>
      </c>
      <c r="G34" s="162">
        <f>IF(E34="","",IF(E34=$B$10,0,VLOOKUP(F34,Life!$A$3:$R$113,7,FALSE)))</f>
        <v>34776.988294343028</v>
      </c>
      <c r="H34" s="163">
        <f>IF(E34="","",IF($F34=111,0,VLOOKUP(F34,Life!$A$3:$R$113,8,FALSE)))</f>
        <v>1928503.944432568</v>
      </c>
      <c r="I34" s="163">
        <f t="shared" si="8"/>
        <v>12492</v>
      </c>
      <c r="J34" s="163">
        <f t="shared" si="9"/>
        <v>8713.8000000000011</v>
      </c>
      <c r="K34" s="163">
        <f t="shared" si="2"/>
        <v>0</v>
      </c>
      <c r="L34" s="163">
        <f t="shared" si="3"/>
        <v>0</v>
      </c>
      <c r="M34" s="163">
        <f t="shared" ca="1" si="4"/>
        <v>12494</v>
      </c>
      <c r="N34" s="163">
        <f t="shared" si="10"/>
        <v>0</v>
      </c>
      <c r="O34" s="163">
        <f t="shared" si="11"/>
        <v>0</v>
      </c>
      <c r="P34" s="163">
        <f>IF(E34="","",SUM(O$5:O34))</f>
        <v>0</v>
      </c>
      <c r="Q34" s="163">
        <f ca="1">IF(E34="","",IF($F34=111,$N34,(SUMPRODUCT(G34:G$116,M34:M$116)+SUMPRODUCT(H34:H$116,N34:N$116))/H34))</f>
        <v>12354.959807143117</v>
      </c>
      <c r="R34" s="163">
        <f>IF(E34="","",IF($F34=111,$O34,SUMPRODUCT(H34:H$116,O34:O$116)/H34))</f>
        <v>0</v>
      </c>
      <c r="S34" s="163">
        <f t="shared" si="5"/>
        <v>0</v>
      </c>
      <c r="T34" s="163">
        <f>IF(E34="","",IF($F34=111,0,SUMPRODUCT(H34:H$116,S34:S$116)/H34))</f>
        <v>0</v>
      </c>
      <c r="U34" s="163">
        <f t="shared" ca="1" si="6"/>
        <v>12355</v>
      </c>
      <c r="V34" s="164">
        <f t="shared" ca="1" si="7"/>
        <v>12494</v>
      </c>
    </row>
    <row r="35" spans="1:22" ht="15" thickBot="1" x14ac:dyDescent="0.35">
      <c r="A35" s="197" t="s">
        <v>111</v>
      </c>
      <c r="B35" s="196">
        <f ca="1">IF($B$9=1,0,IF(B9&gt;B32,B27,0))</f>
        <v>0</v>
      </c>
      <c r="D35" s="178">
        <v>30</v>
      </c>
      <c r="E35" s="184">
        <f t="shared" si="0"/>
        <v>30</v>
      </c>
      <c r="F35" s="185">
        <f t="shared" si="1"/>
        <v>65</v>
      </c>
      <c r="G35" s="165">
        <f>IF(E35="","",IF(E35=$B$10,0,VLOOKUP(F35,Life!$A$3:$R$113,7,FALSE)))</f>
        <v>36516.356499911715</v>
      </c>
      <c r="H35" s="166">
        <f>IF(E35="","",IF($F35=111,0,VLOOKUP(F35,Life!$A$3:$R$113,8,FALSE)))</f>
        <v>1851675.1993503638</v>
      </c>
      <c r="I35" s="166">
        <f t="shared" si="8"/>
        <v>12773</v>
      </c>
      <c r="J35" s="166">
        <f t="shared" si="9"/>
        <v>8713.8000000000011</v>
      </c>
      <c r="K35" s="166">
        <f t="shared" si="2"/>
        <v>0</v>
      </c>
      <c r="L35" s="166">
        <f t="shared" si="3"/>
        <v>0</v>
      </c>
      <c r="M35" s="166">
        <f t="shared" ca="1" si="4"/>
        <v>12775</v>
      </c>
      <c r="N35" s="166">
        <f t="shared" si="10"/>
        <v>0</v>
      </c>
      <c r="O35" s="166">
        <f t="shared" si="11"/>
        <v>0</v>
      </c>
      <c r="P35" s="166">
        <f>IF(E35="","",SUM(O$5:O35))</f>
        <v>0</v>
      </c>
      <c r="Q35" s="166">
        <f ca="1">IF(E35="","",IF($F35=111,$N35,(SUMPRODUCT(G35:G$116,M35:M$116)+SUMPRODUCT(H35:H$116,N35:N$116))/H35))</f>
        <v>12632.757801733853</v>
      </c>
      <c r="R35" s="166">
        <f>IF(E35="","",IF($F35=111,$O35,SUMPRODUCT(H35:H$116,O35:O$116)/H35))</f>
        <v>0</v>
      </c>
      <c r="S35" s="166">
        <f t="shared" si="5"/>
        <v>0</v>
      </c>
      <c r="T35" s="166">
        <f>IF(E35="","",IF($F35=111,0,SUMPRODUCT(H35:H$116,S35:S$116)/H35))</f>
        <v>0</v>
      </c>
      <c r="U35" s="166">
        <f t="shared" ca="1" si="6"/>
        <v>12633</v>
      </c>
      <c r="V35" s="167">
        <f t="shared" ca="1" si="7"/>
        <v>12775</v>
      </c>
    </row>
    <row r="36" spans="1:22" ht="16.2" x14ac:dyDescent="0.3">
      <c r="A36" s="438" t="s">
        <v>144</v>
      </c>
      <c r="B36" s="437"/>
      <c r="D36" s="178">
        <v>31</v>
      </c>
      <c r="E36" s="95">
        <f t="shared" si="0"/>
        <v>31</v>
      </c>
      <c r="F36" s="183">
        <f t="shared" si="1"/>
        <v>66</v>
      </c>
      <c r="G36" s="162">
        <f>IF(E36="","",IF(E36=$B$10,0,VLOOKUP(F36,Life!$A$3:$R$113,7,FALSE)))</f>
        <v>38280.064006785185</v>
      </c>
      <c r="H36" s="163">
        <f>IF(E36="","",IF($F36=111,0,VLOOKUP(F36,Life!$A$3:$R$113,8,FALSE)))</f>
        <v>1774816.937901143</v>
      </c>
      <c r="I36" s="163">
        <f t="shared" si="8"/>
        <v>13060</v>
      </c>
      <c r="J36" s="163">
        <f t="shared" si="9"/>
        <v>8713.8000000000011</v>
      </c>
      <c r="K36" s="163">
        <f t="shared" si="2"/>
        <v>0</v>
      </c>
      <c r="L36" s="163">
        <f t="shared" si="3"/>
        <v>0</v>
      </c>
      <c r="M36" s="163">
        <f t="shared" ca="1" si="4"/>
        <v>13062</v>
      </c>
      <c r="N36" s="163">
        <f t="shared" si="10"/>
        <v>0</v>
      </c>
      <c r="O36" s="163">
        <f t="shared" si="11"/>
        <v>0</v>
      </c>
      <c r="P36" s="163">
        <f>IF(E36="","",SUM(O$5:O36))</f>
        <v>0</v>
      </c>
      <c r="Q36" s="163">
        <f ca="1">IF(E36="","",IF($F36=111,$N36,(SUMPRODUCT(G36:G$116,M36:M$116)+SUMPRODUCT(H36:H$116,N36:N$116))/H36))</f>
        <v>12916.759338083806</v>
      </c>
      <c r="R36" s="163">
        <f>IF(E36="","",IF($F36=111,$O36,SUMPRODUCT(H36:H$116,O36:O$116)/H36))</f>
        <v>0</v>
      </c>
      <c r="S36" s="163">
        <f t="shared" si="5"/>
        <v>0</v>
      </c>
      <c r="T36" s="163">
        <f>IF(E36="","",IF($F36=111,0,SUMPRODUCT(H36:H$116,S36:S$116)/H36))</f>
        <v>0</v>
      </c>
      <c r="U36" s="163">
        <f t="shared" ca="1" si="6"/>
        <v>12917</v>
      </c>
      <c r="V36" s="164">
        <f t="shared" ca="1" si="7"/>
        <v>13062</v>
      </c>
    </row>
    <row r="37" spans="1:22" ht="15" thickBot="1" x14ac:dyDescent="0.35">
      <c r="A37" s="177" t="s">
        <v>108</v>
      </c>
      <c r="B37" s="151">
        <f>$R$5/(SUMIF($E$5:$E$116,"&lt;" &amp; $B$9,$H$5:$H$116)/$H$5)</f>
        <v>0</v>
      </c>
      <c r="D37" s="178">
        <v>32</v>
      </c>
      <c r="E37" s="95">
        <f t="shared" ref="E37:E68" si="12">IF(D37&lt;=$B$10,D37,"")</f>
        <v>32</v>
      </c>
      <c r="F37" s="183">
        <f t="shared" ref="F37:F68" si="13">IF(E37="","",E37+$B$7)</f>
        <v>67</v>
      </c>
      <c r="G37" s="162">
        <f>IF(E37="","",IF(E37=$B$10,0,VLOOKUP(F37,Life!$A$3:$R$113,7,FALSE)))</f>
        <v>40054.476001996045</v>
      </c>
      <c r="H37" s="163">
        <f>IF(E37="","",IF($F37=111,0,VLOOKUP(F37,Life!$A$3:$R$113,8,FALSE)))</f>
        <v>1697905.7395694507</v>
      </c>
      <c r="I37" s="163">
        <f t="shared" si="8"/>
        <v>13354</v>
      </c>
      <c r="J37" s="163">
        <f t="shared" si="9"/>
        <v>8713.8000000000011</v>
      </c>
      <c r="K37" s="163">
        <f t="shared" ref="K37:K68" si="14">IF(E37&gt;=$B$10,"",IF(F37&lt;16,IF($K$3=0,MIN(E37+1,$B$9),((1+$K$3)^MIN(E37+1,$B$9)-1)/$K$3*(1+$K$3)^(MAX(E37+1-$B$9,0)+0.5)),0)*$B$12)</f>
        <v>0</v>
      </c>
      <c r="L37" s="163">
        <f t="shared" ref="L37:L68" si="15">IF(E37&gt;=$B$10,"",IF(AND($L$3=1,E37+1&lt;=$B$9),0.5*$B$12,0))</f>
        <v>0</v>
      </c>
      <c r="M37" s="163">
        <f t="shared" ref="M37:M100" ca="1" si="16">IF(E37&gt;=$B$10,"",IF(F37&lt;16,K37,IFERROR(MAX(I37,IF(E37&lt;$B$9,0,J37),V37),0)+L37))</f>
        <v>13355.5</v>
      </c>
      <c r="N37" s="163">
        <f t="shared" si="10"/>
        <v>0</v>
      </c>
      <c r="O37" s="163">
        <f t="shared" si="11"/>
        <v>0</v>
      </c>
      <c r="P37" s="163">
        <f>IF(E37="","",SUM(O$5:O37))</f>
        <v>0</v>
      </c>
      <c r="Q37" s="163">
        <f ca="1">IF(E37="","",IF($F37=111,$N37,(SUMPRODUCT(G37:G$116,M37:M$116)+SUMPRODUCT(H37:H$116,N37:N$116))/H37))</f>
        <v>13207.17397664927</v>
      </c>
      <c r="R37" s="163">
        <f>IF(E37="","",IF($F37=111,$O37,SUMPRODUCT(H37:H$116,O37:O$116)/H37))</f>
        <v>0</v>
      </c>
      <c r="S37" s="163">
        <f t="shared" ref="S37:S68" si="17">IF(E37="","",IF(E37&gt;=$B$9,0,IF(E37=0,$B$23,IF(E37&lt;$B$32,$B$24,$B$25))))</f>
        <v>0</v>
      </c>
      <c r="T37" s="163">
        <f>IF(E37="","",IF($F37=111,0,SUMPRODUCT(H37:H$116,S37:S$116)/H37))</f>
        <v>0</v>
      </c>
      <c r="U37" s="163">
        <f t="shared" ref="U37:U68" ca="1" si="18">IF(E37="","",ROUND(Q37+R37-T37,0))</f>
        <v>13207</v>
      </c>
      <c r="V37" s="164">
        <f t="shared" ref="V37:V68" ca="1" si="19">IF(E37&gt;=$B$10,"",(U37+S37-N37-O37+U38)/2)</f>
        <v>13355.5</v>
      </c>
    </row>
    <row r="38" spans="1:22" x14ac:dyDescent="0.3">
      <c r="D38" s="178">
        <v>33</v>
      </c>
      <c r="E38" s="95">
        <f t="shared" si="12"/>
        <v>33</v>
      </c>
      <c r="F38" s="183">
        <f t="shared" si="13"/>
        <v>68</v>
      </c>
      <c r="G38" s="162">
        <f>IF(E38="","",IF(E38=$B$10,0,VLOOKUP(F38,Life!$A$3:$R$113,7,FALSE)))</f>
        <v>41826.78700103968</v>
      </c>
      <c r="H38" s="163">
        <f>IF(E38="","",IF($F38=111,0,VLOOKUP(F38,Life!$A$3:$R$113,8,FALSE)))</f>
        <v>1620932.1831679051</v>
      </c>
      <c r="I38" s="163">
        <f t="shared" si="8"/>
        <v>13655</v>
      </c>
      <c r="J38" s="163">
        <f t="shared" si="9"/>
        <v>8713.8000000000011</v>
      </c>
      <c r="K38" s="163">
        <f t="shared" si="14"/>
        <v>0</v>
      </c>
      <c r="L38" s="163">
        <f t="shared" si="15"/>
        <v>0</v>
      </c>
      <c r="M38" s="163">
        <f t="shared" ca="1" si="16"/>
        <v>13656</v>
      </c>
      <c r="N38" s="163">
        <f t="shared" si="10"/>
        <v>0</v>
      </c>
      <c r="O38" s="163">
        <f t="shared" si="11"/>
        <v>0</v>
      </c>
      <c r="P38" s="163">
        <f>IF(E38="","",SUM(O$5:O38))</f>
        <v>0</v>
      </c>
      <c r="Q38" s="163">
        <f ca="1">IF(E38="","",IF($F38=111,$N38,(SUMPRODUCT(G38:G$116,M38:M$116)+SUMPRODUCT(H38:H$116,N38:N$116))/H38))</f>
        <v>13504.149937915421</v>
      </c>
      <c r="R38" s="163">
        <f>IF(E38="","",IF($F38=111,$O38,SUMPRODUCT(H38:H$116,O38:O$116)/H38))</f>
        <v>0</v>
      </c>
      <c r="S38" s="163">
        <f t="shared" si="17"/>
        <v>0</v>
      </c>
      <c r="T38" s="163">
        <f>IF(E38="","",IF($F38=111,0,SUMPRODUCT(H38:H$116,S38:S$116)/H38))</f>
        <v>0</v>
      </c>
      <c r="U38" s="163">
        <f t="shared" ca="1" si="18"/>
        <v>13504</v>
      </c>
      <c r="V38" s="164">
        <f t="shared" ca="1" si="19"/>
        <v>13656</v>
      </c>
    </row>
    <row r="39" spans="1:22" x14ac:dyDescent="0.3">
      <c r="D39" s="178">
        <v>34</v>
      </c>
      <c r="E39" s="95">
        <f t="shared" si="12"/>
        <v>34</v>
      </c>
      <c r="F39" s="183">
        <f t="shared" si="13"/>
        <v>69</v>
      </c>
      <c r="G39" s="162">
        <f>IF(E39="","",IF(E39=$B$10,0,VLOOKUP(F39,Life!$A$3:$R$113,7,FALSE)))</f>
        <v>43580.730616317785</v>
      </c>
      <c r="H39" s="163">
        <f>IF(E39="","",IF($F39=111,0,VLOOKUP(F39,Life!$A$3:$R$113,8,FALSE)))</f>
        <v>1543899.7186304596</v>
      </c>
      <c r="I39" s="163">
        <f t="shared" si="8"/>
        <v>13962</v>
      </c>
      <c r="J39" s="163">
        <f t="shared" si="9"/>
        <v>8713.8000000000011</v>
      </c>
      <c r="K39" s="163">
        <f t="shared" si="14"/>
        <v>0</v>
      </c>
      <c r="L39" s="163">
        <f t="shared" si="15"/>
        <v>0</v>
      </c>
      <c r="M39" s="163">
        <f t="shared" ca="1" si="16"/>
        <v>13963</v>
      </c>
      <c r="N39" s="163">
        <f t="shared" si="10"/>
        <v>0</v>
      </c>
      <c r="O39" s="163">
        <f t="shared" si="11"/>
        <v>0</v>
      </c>
      <c r="P39" s="163">
        <f>IF(E39="","",SUM(O$5:O39))</f>
        <v>0</v>
      </c>
      <c r="Q39" s="163">
        <f ca="1">IF(E39="","",IF($F39=111,$N39,(SUMPRODUCT(G39:G$116,M39:M$116)+SUMPRODUCT(H39:H$116,N39:N$116))/H39))</f>
        <v>13807.71127989016</v>
      </c>
      <c r="R39" s="163">
        <f>IF(E39="","",IF($F39=111,$O39,SUMPRODUCT(H39:H$116,O39:O$116)/H39))</f>
        <v>0</v>
      </c>
      <c r="S39" s="163">
        <f t="shared" si="17"/>
        <v>0</v>
      </c>
      <c r="T39" s="163">
        <f>IF(E39="","",IF($F39=111,0,SUMPRODUCT(H39:H$116,S39:S$116)/H39))</f>
        <v>0</v>
      </c>
      <c r="U39" s="163">
        <f t="shared" ca="1" si="18"/>
        <v>13808</v>
      </c>
      <c r="V39" s="164">
        <f t="shared" ca="1" si="19"/>
        <v>13963</v>
      </c>
    </row>
    <row r="40" spans="1:22" x14ac:dyDescent="0.3">
      <c r="D40" s="178">
        <v>35</v>
      </c>
      <c r="E40" s="184">
        <f t="shared" si="12"/>
        <v>35</v>
      </c>
      <c r="F40" s="185">
        <f t="shared" si="13"/>
        <v>70</v>
      </c>
      <c r="G40" s="165">
        <f>IF(E40="","",IF(E40=$B$10,0,VLOOKUP(F40,Life!$A$3:$R$113,7,FALSE)))</f>
        <v>45299.518820563018</v>
      </c>
      <c r="H40" s="166">
        <f>IF(E40="","",IF($F40=111,0,VLOOKUP(F40,Life!$A$3:$R$113,8,FALSE)))</f>
        <v>1466827.8063976765</v>
      </c>
      <c r="I40" s="166">
        <f t="shared" si="8"/>
        <v>14276</v>
      </c>
      <c r="J40" s="166">
        <f t="shared" si="9"/>
        <v>8713.8000000000011</v>
      </c>
      <c r="K40" s="166">
        <f t="shared" si="14"/>
        <v>0</v>
      </c>
      <c r="L40" s="166">
        <f t="shared" si="15"/>
        <v>0</v>
      </c>
      <c r="M40" s="166">
        <f t="shared" ca="1" si="16"/>
        <v>14276.5</v>
      </c>
      <c r="N40" s="166">
        <f t="shared" si="10"/>
        <v>0</v>
      </c>
      <c r="O40" s="166">
        <f t="shared" si="11"/>
        <v>0</v>
      </c>
      <c r="P40" s="166">
        <f>IF(E40="","",SUM(O$5:O40))</f>
        <v>0</v>
      </c>
      <c r="Q40" s="166">
        <f ca="1">IF(E40="","",IF($F40=111,$N40,(SUMPRODUCT(G40:G$116,M40:M$116)+SUMPRODUCT(H40:H$116,N40:N$116))/H40))</f>
        <v>14118.049819763497</v>
      </c>
      <c r="R40" s="166">
        <f>IF(E40="","",IF($F40=111,$O40,SUMPRODUCT(H40:H$116,O40:O$116)/H40))</f>
        <v>0</v>
      </c>
      <c r="S40" s="166">
        <f t="shared" si="17"/>
        <v>0</v>
      </c>
      <c r="T40" s="166">
        <f>IF(E40="","",IF($F40=111,0,SUMPRODUCT(H40:H$116,S40:S$116)/H40))</f>
        <v>0</v>
      </c>
      <c r="U40" s="166">
        <f t="shared" ca="1" si="18"/>
        <v>14118</v>
      </c>
      <c r="V40" s="167">
        <f t="shared" ca="1" si="19"/>
        <v>14276.5</v>
      </c>
    </row>
    <row r="41" spans="1:22" x14ac:dyDescent="0.3">
      <c r="D41" s="178">
        <v>36</v>
      </c>
      <c r="E41" s="95">
        <f t="shared" si="12"/>
        <v>36</v>
      </c>
      <c r="F41" s="183">
        <f t="shared" si="13"/>
        <v>71</v>
      </c>
      <c r="G41" s="162">
        <f>IF(E41="","",IF(E41=$B$10,0,VLOOKUP(F41,Life!$A$3:$R$113,7,FALSE)))</f>
        <v>46957.826515090375</v>
      </c>
      <c r="H41" s="163">
        <f>IF(E41="","",IF($F41=111,0,VLOOKUP(F41,Life!$A$3:$R$113,8,FALSE)))</f>
        <v>1389752.0809757218</v>
      </c>
      <c r="I41" s="163">
        <f t="shared" si="8"/>
        <v>14597</v>
      </c>
      <c r="J41" s="163">
        <f t="shared" si="9"/>
        <v>8713.8000000000011</v>
      </c>
      <c r="K41" s="163">
        <f t="shared" si="14"/>
        <v>0</v>
      </c>
      <c r="L41" s="163">
        <f t="shared" si="15"/>
        <v>0</v>
      </c>
      <c r="M41" s="163">
        <f t="shared" ca="1" si="16"/>
        <v>14597.5</v>
      </c>
      <c r="N41" s="163">
        <f t="shared" si="10"/>
        <v>0</v>
      </c>
      <c r="O41" s="163">
        <f t="shared" si="11"/>
        <v>0</v>
      </c>
      <c r="P41" s="163">
        <f>IF(E41="","",SUM(O$5:O41))</f>
        <v>0</v>
      </c>
      <c r="Q41" s="163">
        <f ca="1">IF(E41="","",IF($F41=111,$N41,(SUMPRODUCT(G41:G$116,M41:M$116)+SUMPRODUCT(H41:H$116,N41:N$116))/H41))</f>
        <v>14435.472034812638</v>
      </c>
      <c r="R41" s="163">
        <f>IF(E41="","",IF($F41=111,$O41,SUMPRODUCT(H41:H$116,O41:O$116)/H41))</f>
        <v>0</v>
      </c>
      <c r="S41" s="163">
        <f t="shared" si="17"/>
        <v>0</v>
      </c>
      <c r="T41" s="163">
        <f>IF(E41="","",IF($F41=111,0,SUMPRODUCT(H41:H$116,S41:S$116)/H41))</f>
        <v>0</v>
      </c>
      <c r="U41" s="163">
        <f t="shared" ca="1" si="18"/>
        <v>14435</v>
      </c>
      <c r="V41" s="164">
        <f t="shared" ca="1" si="19"/>
        <v>14597.5</v>
      </c>
    </row>
    <row r="42" spans="1:22" x14ac:dyDescent="0.3">
      <c r="D42" s="178">
        <v>37</v>
      </c>
      <c r="E42" s="95">
        <f t="shared" si="12"/>
        <v>37</v>
      </c>
      <c r="F42" s="183">
        <f t="shared" si="13"/>
        <v>72</v>
      </c>
      <c r="G42" s="162">
        <f>IF(E42="","",IF(E42=$B$10,0,VLOOKUP(F42,Life!$A$3:$R$113,7,FALSE)))</f>
        <v>48528.988688695434</v>
      </c>
      <c r="H42" s="163">
        <f>IF(E42="","",IF($F42=111,0,VLOOKUP(F42,Life!$A$3:$R$113,8,FALSE)))</f>
        <v>1312732.4376481036</v>
      </c>
      <c r="I42" s="163">
        <f t="shared" si="8"/>
        <v>14926</v>
      </c>
      <c r="J42" s="163">
        <f t="shared" si="9"/>
        <v>8713.8000000000011</v>
      </c>
      <c r="K42" s="163">
        <f t="shared" si="14"/>
        <v>0</v>
      </c>
      <c r="L42" s="163">
        <f t="shared" si="15"/>
        <v>0</v>
      </c>
      <c r="M42" s="163">
        <f t="shared" ca="1" si="16"/>
        <v>14926</v>
      </c>
      <c r="N42" s="163">
        <f t="shared" si="10"/>
        <v>0</v>
      </c>
      <c r="O42" s="163">
        <f t="shared" si="11"/>
        <v>0</v>
      </c>
      <c r="P42" s="163">
        <f>IF(E42="","",SUM(O$5:O42))</f>
        <v>0</v>
      </c>
      <c r="Q42" s="163">
        <f ca="1">IF(E42="","",IF($F42=111,$N42,(SUMPRODUCT(G42:G$116,M42:M$116)+SUMPRODUCT(H42:H$116,N42:N$116))/H42))</f>
        <v>14759.992285575756</v>
      </c>
      <c r="R42" s="163">
        <f>IF(E42="","",IF($F42=111,$O42,SUMPRODUCT(H42:H$116,O42:O$116)/H42))</f>
        <v>0</v>
      </c>
      <c r="S42" s="163">
        <f t="shared" si="17"/>
        <v>0</v>
      </c>
      <c r="T42" s="163">
        <f>IF(E42="","",IF($F42=111,0,SUMPRODUCT(H42:H$116,S42:S$116)/H42))</f>
        <v>0</v>
      </c>
      <c r="U42" s="163">
        <f t="shared" ca="1" si="18"/>
        <v>14760</v>
      </c>
      <c r="V42" s="164">
        <f t="shared" ca="1" si="19"/>
        <v>14926</v>
      </c>
    </row>
    <row r="43" spans="1:22" x14ac:dyDescent="0.3">
      <c r="D43" s="178">
        <v>38</v>
      </c>
      <c r="E43" s="95">
        <f t="shared" si="12"/>
        <v>38</v>
      </c>
      <c r="F43" s="183">
        <f t="shared" si="13"/>
        <v>73</v>
      </c>
      <c r="G43" s="162">
        <f>IF(E43="","",IF(E43=$B$10,0,VLOOKUP(F43,Life!$A$3:$R$113,7,FALSE)))</f>
        <v>49977.866861499722</v>
      </c>
      <c r="H43" s="163">
        <f>IF(E43="","",IF($F43=111,0,VLOOKUP(F43,Life!$A$3:$R$113,8,FALSE)))</f>
        <v>1235853.8237081361</v>
      </c>
      <c r="I43" s="163">
        <f t="shared" si="8"/>
        <v>15262</v>
      </c>
      <c r="J43" s="163">
        <f t="shared" si="9"/>
        <v>8713.8000000000011</v>
      </c>
      <c r="K43" s="163">
        <f t="shared" si="14"/>
        <v>0</v>
      </c>
      <c r="L43" s="163">
        <f t="shared" si="15"/>
        <v>0</v>
      </c>
      <c r="M43" s="163">
        <f t="shared" ca="1" si="16"/>
        <v>15262</v>
      </c>
      <c r="N43" s="163">
        <f t="shared" si="10"/>
        <v>0</v>
      </c>
      <c r="O43" s="163">
        <f t="shared" si="11"/>
        <v>0</v>
      </c>
      <c r="P43" s="163">
        <f>IF(E43="","",SUM(O$5:O43))</f>
        <v>0</v>
      </c>
      <c r="Q43" s="163">
        <f ca="1">IF(E43="","",IF($F43=111,$N43,(SUMPRODUCT(G43:G$116,M43:M$116)+SUMPRODUCT(H43:H$116,N43:N$116))/H43))</f>
        <v>15091.572074419515</v>
      </c>
      <c r="R43" s="163">
        <f>IF(E43="","",IF($F43=111,$O43,SUMPRODUCT(H43:H$116,O43:O$116)/H43))</f>
        <v>0</v>
      </c>
      <c r="S43" s="163">
        <f t="shared" si="17"/>
        <v>0</v>
      </c>
      <c r="T43" s="163">
        <f>IF(E43="","",IF($F43=111,0,SUMPRODUCT(H43:H$116,S43:S$116)/H43))</f>
        <v>0</v>
      </c>
      <c r="U43" s="163">
        <f t="shared" ca="1" si="18"/>
        <v>15092</v>
      </c>
      <c r="V43" s="164">
        <f t="shared" ca="1" si="19"/>
        <v>15261</v>
      </c>
    </row>
    <row r="44" spans="1:22" x14ac:dyDescent="0.3">
      <c r="D44" s="178">
        <v>39</v>
      </c>
      <c r="E44" s="95">
        <f t="shared" si="12"/>
        <v>39</v>
      </c>
      <c r="F44" s="183">
        <f t="shared" si="13"/>
        <v>74</v>
      </c>
      <c r="G44" s="162">
        <f>IF(E44="","",IF(E44=$B$10,0,VLOOKUP(F44,Life!$A$3:$R$113,7,FALSE)))</f>
        <v>51279.82944452318</v>
      </c>
      <c r="H44" s="163">
        <f>IF(E44="","",IF($F44=111,0,VLOOKUP(F44,Life!$A$3:$R$113,8,FALSE)))</f>
        <v>1159234.0669134269</v>
      </c>
      <c r="I44" s="163">
        <f t="shared" si="8"/>
        <v>15605</v>
      </c>
      <c r="J44" s="163">
        <f t="shared" si="9"/>
        <v>8713.8000000000011</v>
      </c>
      <c r="K44" s="163">
        <f t="shared" si="14"/>
        <v>0</v>
      </c>
      <c r="L44" s="163">
        <f t="shared" si="15"/>
        <v>0</v>
      </c>
      <c r="M44" s="163">
        <f t="shared" ca="1" si="16"/>
        <v>15605</v>
      </c>
      <c r="N44" s="163">
        <f t="shared" si="10"/>
        <v>0</v>
      </c>
      <c r="O44" s="163">
        <f t="shared" si="11"/>
        <v>0</v>
      </c>
      <c r="P44" s="163">
        <f>IF(E44="","",SUM(O$5:O44))</f>
        <v>0</v>
      </c>
      <c r="Q44" s="163">
        <f ca="1">IF(E44="","",IF($F44=111,$N44,(SUMPRODUCT(G44:G$116,M44:M$116)+SUMPRODUCT(H44:H$116,N44:N$116))/H44))</f>
        <v>15430.068995388752</v>
      </c>
      <c r="R44" s="163">
        <f>IF(E44="","",IF($F44=111,$O44,SUMPRODUCT(H44:H$116,O44:O$116)/H44))</f>
        <v>0</v>
      </c>
      <c r="S44" s="163">
        <f t="shared" si="17"/>
        <v>0</v>
      </c>
      <c r="T44" s="163">
        <f>IF(E44="","",IF($F44=111,0,SUMPRODUCT(H44:H$116,S44:S$116)/H44))</f>
        <v>0</v>
      </c>
      <c r="U44" s="163">
        <f t="shared" ca="1" si="18"/>
        <v>15430</v>
      </c>
      <c r="V44" s="164">
        <f t="shared" ca="1" si="19"/>
        <v>15602.5</v>
      </c>
    </row>
    <row r="45" spans="1:22" x14ac:dyDescent="0.3">
      <c r="D45" s="178">
        <v>40</v>
      </c>
      <c r="E45" s="184">
        <f t="shared" si="12"/>
        <v>40</v>
      </c>
      <c r="F45" s="185">
        <f t="shared" si="13"/>
        <v>75</v>
      </c>
      <c r="G45" s="165">
        <f>IF(E45="","",IF(E45=$B$10,0,VLOOKUP(F45,Life!$A$3:$R$113,7,FALSE)))</f>
        <v>52402.066051339076</v>
      </c>
      <c r="H45" s="166">
        <f>IF(E45="","",IF($F45=111,0,VLOOKUP(F45,Life!$A$3:$R$113,8,FALSE)))</f>
        <v>1083012.7613085122</v>
      </c>
      <c r="I45" s="166">
        <f t="shared" si="8"/>
        <v>15956</v>
      </c>
      <c r="J45" s="166">
        <f t="shared" si="9"/>
        <v>8713.8000000000011</v>
      </c>
      <c r="K45" s="166">
        <f t="shared" si="14"/>
        <v>0</v>
      </c>
      <c r="L45" s="166">
        <f t="shared" si="15"/>
        <v>0</v>
      </c>
      <c r="M45" s="166">
        <f t="shared" ca="1" si="16"/>
        <v>15956</v>
      </c>
      <c r="N45" s="166">
        <f t="shared" si="10"/>
        <v>0</v>
      </c>
      <c r="O45" s="166">
        <f t="shared" si="11"/>
        <v>0</v>
      </c>
      <c r="P45" s="166">
        <f>IF(E45="","",SUM(O$5:O45))</f>
        <v>0</v>
      </c>
      <c r="Q45" s="166">
        <f ca="1">IF(E45="","",IF($F45=111,$N45,(SUMPRODUCT(G45:G$116,M45:M$116)+SUMPRODUCT(H45:H$116,N45:N$116))/H45))</f>
        <v>15775.496010898203</v>
      </c>
      <c r="R45" s="166">
        <f>IF(E45="","",IF($F45=111,$O45,SUMPRODUCT(H45:H$116,O45:O$116)/H45))</f>
        <v>0</v>
      </c>
      <c r="S45" s="166">
        <f t="shared" si="17"/>
        <v>0</v>
      </c>
      <c r="T45" s="166">
        <f>IF(E45="","",IF($F45=111,0,SUMPRODUCT(H45:H$116,S45:S$116)/H45))</f>
        <v>0</v>
      </c>
      <c r="U45" s="166">
        <f t="shared" ca="1" si="18"/>
        <v>15775</v>
      </c>
      <c r="V45" s="167">
        <f t="shared" ca="1" si="19"/>
        <v>15951</v>
      </c>
    </row>
    <row r="46" spans="1:22" x14ac:dyDescent="0.3">
      <c r="D46" s="178">
        <v>41</v>
      </c>
      <c r="E46" s="95">
        <f t="shared" si="12"/>
        <v>41</v>
      </c>
      <c r="F46" s="183">
        <f t="shared" si="13"/>
        <v>76</v>
      </c>
      <c r="G46" s="162">
        <f>IF(E46="","",IF(E46=$B$10,0,VLOOKUP(F46,Life!$A$3:$R$113,7,FALSE)))</f>
        <v>53308.627900285268</v>
      </c>
      <c r="H46" s="163">
        <f>IF(E46="","",IF($F46=111,0,VLOOKUP(F46,Life!$A$3:$R$113,8,FALSE)))</f>
        <v>1007358.8765702266</v>
      </c>
      <c r="I46" s="163">
        <f t="shared" si="8"/>
        <v>16315</v>
      </c>
      <c r="J46" s="163">
        <f t="shared" si="9"/>
        <v>8713.8000000000011</v>
      </c>
      <c r="K46" s="163">
        <f t="shared" si="14"/>
        <v>0</v>
      </c>
      <c r="L46" s="163">
        <f t="shared" si="15"/>
        <v>0</v>
      </c>
      <c r="M46" s="163">
        <f t="shared" ca="1" si="16"/>
        <v>16315</v>
      </c>
      <c r="N46" s="163">
        <f t="shared" si="10"/>
        <v>0</v>
      </c>
      <c r="O46" s="163">
        <f t="shared" si="11"/>
        <v>0</v>
      </c>
      <c r="P46" s="163">
        <f>IF(E46="","",SUM(O$5:O46))</f>
        <v>0</v>
      </c>
      <c r="Q46" s="163">
        <f ca="1">IF(E46="","",IF($F46=111,$N46,(SUMPRODUCT(G46:G$116,M46:M$116)+SUMPRODUCT(H46:H$116,N46:N$116))/H46))</f>
        <v>16126.979502258122</v>
      </c>
      <c r="R46" s="163">
        <f>IF(E46="","",IF($F46=111,$O46,SUMPRODUCT(H46:H$116,O46:O$116)/H46))</f>
        <v>0</v>
      </c>
      <c r="S46" s="163">
        <f t="shared" si="17"/>
        <v>0</v>
      </c>
      <c r="T46" s="163">
        <f>IF(E46="","",IF($F46=111,0,SUMPRODUCT(H46:H$116,S46:S$116)/H46))</f>
        <v>0</v>
      </c>
      <c r="U46" s="163">
        <f t="shared" ca="1" si="18"/>
        <v>16127</v>
      </c>
      <c r="V46" s="164">
        <f t="shared" ca="1" si="19"/>
        <v>16304.5</v>
      </c>
    </row>
    <row r="47" spans="1:22" x14ac:dyDescent="0.3">
      <c r="D47" s="178">
        <v>42</v>
      </c>
      <c r="E47" s="95">
        <f t="shared" si="12"/>
        <v>42</v>
      </c>
      <c r="F47" s="183">
        <f t="shared" si="13"/>
        <v>77</v>
      </c>
      <c r="G47" s="162">
        <f>IF(E47="","",IF(E47=$B$10,0,VLOOKUP(F47,Life!$A$3:$R$113,7,FALSE)))</f>
        <v>53959.519484371856</v>
      </c>
      <c r="H47" s="163">
        <f>IF(E47="","",IF($F47=111,0,VLOOKUP(F47,Life!$A$3:$R$113,8,FALSE)))</f>
        <v>932473.21527328365</v>
      </c>
      <c r="I47" s="163">
        <f t="shared" si="8"/>
        <v>16682</v>
      </c>
      <c r="J47" s="163">
        <f t="shared" si="9"/>
        <v>8713.8000000000011</v>
      </c>
      <c r="K47" s="163">
        <f t="shared" si="14"/>
        <v>0</v>
      </c>
      <c r="L47" s="163">
        <f t="shared" si="15"/>
        <v>0</v>
      </c>
      <c r="M47" s="163">
        <f t="shared" ca="1" si="16"/>
        <v>16682</v>
      </c>
      <c r="N47" s="163">
        <f t="shared" si="10"/>
        <v>0</v>
      </c>
      <c r="O47" s="163">
        <f t="shared" si="11"/>
        <v>0</v>
      </c>
      <c r="P47" s="163">
        <f>IF(E47="","",SUM(O$5:O47))</f>
        <v>0</v>
      </c>
      <c r="Q47" s="163">
        <f ca="1">IF(E47="","",IF($F47=111,$N47,(SUMPRODUCT(G47:G$116,M47:M$116)+SUMPRODUCT(H47:H$116,N47:N$116))/H47))</f>
        <v>16482.346463977534</v>
      </c>
      <c r="R47" s="163">
        <f>IF(E47="","",IF($F47=111,$O47,SUMPRODUCT(H47:H$116,O47:O$116)/H47))</f>
        <v>0</v>
      </c>
      <c r="S47" s="163">
        <f t="shared" si="17"/>
        <v>0</v>
      </c>
      <c r="T47" s="163">
        <f>IF(E47="","",IF($F47=111,0,SUMPRODUCT(H47:H$116,S47:S$116)/H47))</f>
        <v>0</v>
      </c>
      <c r="U47" s="163">
        <f t="shared" ca="1" si="18"/>
        <v>16482</v>
      </c>
      <c r="V47" s="164">
        <f t="shared" ca="1" si="19"/>
        <v>16659</v>
      </c>
    </row>
    <row r="48" spans="1:22" x14ac:dyDescent="0.3">
      <c r="D48" s="178">
        <v>43</v>
      </c>
      <c r="E48" s="95">
        <f t="shared" si="12"/>
        <v>43</v>
      </c>
      <c r="F48" s="183">
        <f t="shared" si="13"/>
        <v>78</v>
      </c>
      <c r="G48" s="162">
        <f>IF(E48="","",IF(E48=$B$10,0,VLOOKUP(F48,Life!$A$3:$R$113,7,FALSE)))</f>
        <v>54315.868425537694</v>
      </c>
      <c r="H48" s="163">
        <f>IF(E48="","",IF($F48=111,0,VLOOKUP(F48,Life!$A$3:$R$113,8,FALSE)))</f>
        <v>858591.71436464682</v>
      </c>
      <c r="I48" s="163">
        <f t="shared" si="8"/>
        <v>17058</v>
      </c>
      <c r="J48" s="163">
        <f t="shared" si="9"/>
        <v>8713.8000000000011</v>
      </c>
      <c r="K48" s="163">
        <f t="shared" si="14"/>
        <v>0</v>
      </c>
      <c r="L48" s="163">
        <f t="shared" si="15"/>
        <v>0</v>
      </c>
      <c r="M48" s="163">
        <f t="shared" ca="1" si="16"/>
        <v>17058</v>
      </c>
      <c r="N48" s="163">
        <f t="shared" si="10"/>
        <v>0</v>
      </c>
      <c r="O48" s="163">
        <f t="shared" si="11"/>
        <v>0</v>
      </c>
      <c r="P48" s="163">
        <f>IF(E48="","",SUM(O$5:O48))</f>
        <v>0</v>
      </c>
      <c r="Q48" s="163">
        <f ca="1">IF(E48="","",IF($F48=111,$N48,(SUMPRODUCT(G48:G$116,M48:M$116)+SUMPRODUCT(H48:H$116,N48:N$116))/H48))</f>
        <v>16835.93880506781</v>
      </c>
      <c r="R48" s="163">
        <f>IF(E48="","",IF($F48=111,$O48,SUMPRODUCT(H48:H$116,O48:O$116)/H48))</f>
        <v>0</v>
      </c>
      <c r="S48" s="163">
        <f t="shared" si="17"/>
        <v>0</v>
      </c>
      <c r="T48" s="163">
        <f>IF(E48="","",IF($F48=111,0,SUMPRODUCT(H48:H$116,S48:S$116)/H48))</f>
        <v>0</v>
      </c>
      <c r="U48" s="163">
        <f t="shared" ca="1" si="18"/>
        <v>16836</v>
      </c>
      <c r="V48" s="164">
        <f t="shared" ca="1" si="19"/>
        <v>17003.5</v>
      </c>
    </row>
    <row r="49" spans="4:22" x14ac:dyDescent="0.3">
      <c r="D49" s="178">
        <v>44</v>
      </c>
      <c r="E49" s="95">
        <f t="shared" si="12"/>
        <v>44</v>
      </c>
      <c r="F49" s="183">
        <f t="shared" si="13"/>
        <v>79</v>
      </c>
      <c r="G49" s="162">
        <f>IF(E49="","",IF(E49=$B$10,0,VLOOKUP(F49,Life!$A$3:$R$113,7,FALSE)))</f>
        <v>54345.985043817534</v>
      </c>
      <c r="H49" s="163">
        <f>IF(E49="","",IF($F49=111,0,VLOOKUP(F49,Life!$A$3:$R$113,8,FALSE)))</f>
        <v>785983.56133250822</v>
      </c>
      <c r="I49" s="163">
        <f t="shared" si="8"/>
        <v>17441</v>
      </c>
      <c r="J49" s="163">
        <f t="shared" si="9"/>
        <v>8713.8000000000011</v>
      </c>
      <c r="K49" s="163">
        <f t="shared" si="14"/>
        <v>0</v>
      </c>
      <c r="L49" s="163">
        <f t="shared" si="15"/>
        <v>0</v>
      </c>
      <c r="M49" s="163">
        <f t="shared" ca="1" si="16"/>
        <v>17441</v>
      </c>
      <c r="N49" s="163">
        <f t="shared" si="10"/>
        <v>0</v>
      </c>
      <c r="O49" s="163">
        <f t="shared" si="11"/>
        <v>0</v>
      </c>
      <c r="P49" s="163">
        <f>IF(E49="","",SUM(O$5:O49))</f>
        <v>0</v>
      </c>
      <c r="Q49" s="163">
        <f ca="1">IF(E49="","",IF($F49=111,$N49,(SUMPRODUCT(G49:G$116,M49:M$116)+SUMPRODUCT(H49:H$116,N49:N$116))/H49))</f>
        <v>17171.001680035544</v>
      </c>
      <c r="R49" s="163">
        <f>IF(E49="","",IF($F49=111,$O49,SUMPRODUCT(H49:H$116,O49:O$116)/H49))</f>
        <v>0</v>
      </c>
      <c r="S49" s="163">
        <f t="shared" si="17"/>
        <v>0</v>
      </c>
      <c r="T49" s="163">
        <f>IF(E49="","",IF($F49=111,0,SUMPRODUCT(H49:H$116,S49:S$116)/H49))</f>
        <v>0</v>
      </c>
      <c r="U49" s="163">
        <f t="shared" ca="1" si="18"/>
        <v>17171</v>
      </c>
      <c r="V49" s="164">
        <f t="shared" ca="1" si="19"/>
        <v>17306</v>
      </c>
    </row>
    <row r="50" spans="4:22" x14ac:dyDescent="0.3">
      <c r="D50" s="178">
        <v>45</v>
      </c>
      <c r="E50" s="184">
        <f t="shared" si="12"/>
        <v>45</v>
      </c>
      <c r="F50" s="185">
        <f t="shared" si="13"/>
        <v>80</v>
      </c>
      <c r="G50" s="165">
        <f>IF(E50="","",IF(E50=$B$10,0,VLOOKUP(F50,Life!$A$3:$R$113,7,FALSE)))</f>
        <v>54017.44859178544</v>
      </c>
      <c r="H50" s="166">
        <f>IF(E50="","",IF($F50=111,0,VLOOKUP(F50,Life!$A$3:$R$113,8,FALSE)))</f>
        <v>714943.35930052749</v>
      </c>
      <c r="I50" s="166">
        <f t="shared" si="8"/>
        <v>17834</v>
      </c>
      <c r="J50" s="166">
        <f t="shared" si="9"/>
        <v>8713.8000000000011</v>
      </c>
      <c r="K50" s="166">
        <f t="shared" si="14"/>
        <v>0</v>
      </c>
      <c r="L50" s="166">
        <f t="shared" si="15"/>
        <v>0</v>
      </c>
      <c r="M50" s="163">
        <f t="shared" ca="1" si="16"/>
        <v>17441</v>
      </c>
      <c r="N50" s="166">
        <f t="shared" si="10"/>
        <v>0</v>
      </c>
      <c r="O50" s="166">
        <f t="shared" si="11"/>
        <v>0</v>
      </c>
      <c r="P50" s="166">
        <f>IF(E50="","",SUM(O$5:O50))</f>
        <v>0</v>
      </c>
      <c r="Q50" s="166">
        <f ca="1">IF(E50="","",IF($F50=111,$N50,(SUMPRODUCT(G50:G$116,M50:M$116)+SUMPRODUCT(H50:H$116,N50:N$116))/H50))</f>
        <v>17441</v>
      </c>
      <c r="R50" s="166">
        <f>IF(E50="","",IF($F50=111,$O50,SUMPRODUCT(H50:H$116,O50:O$116)/H50))</f>
        <v>0</v>
      </c>
      <c r="S50" s="166">
        <f t="shared" si="17"/>
        <v>0</v>
      </c>
      <c r="T50" s="166">
        <f>IF(E50="","",IF($F50=111,0,SUMPRODUCT(H50:H$116,S50:S$116)/H50))</f>
        <v>0</v>
      </c>
      <c r="U50" s="166">
        <f t="shared" ca="1" si="18"/>
        <v>17441</v>
      </c>
      <c r="V50" s="167" t="str">
        <f t="shared" ca="1" si="19"/>
        <v/>
      </c>
    </row>
    <row r="51" spans="4:22" x14ac:dyDescent="0.3">
      <c r="D51" s="178">
        <v>46</v>
      </c>
      <c r="E51" s="95">
        <f t="shared" si="12"/>
        <v>46</v>
      </c>
      <c r="F51" s="183">
        <f t="shared" si="13"/>
        <v>81</v>
      </c>
      <c r="G51" s="162">
        <f>IF(E51="","",IF(E51=$B$10,0,VLOOKUP(F51,Life!$A$3:$R$113,7,FALSE)))</f>
        <v>53301.775037119362</v>
      </c>
      <c r="H51" s="163">
        <f>IF(E51="","",IF($F51=111,0,VLOOKUP(F51,Life!$A$3:$R$113,8,FALSE)))</f>
        <v>645791.29073875793</v>
      </c>
      <c r="I51" s="163">
        <f t="shared" si="8"/>
        <v>18235</v>
      </c>
      <c r="J51" s="163">
        <f t="shared" si="9"/>
        <v>8713.8000000000011</v>
      </c>
      <c r="K51" s="163">
        <f t="shared" si="14"/>
        <v>0</v>
      </c>
      <c r="L51" s="163">
        <f t="shared" si="15"/>
        <v>0</v>
      </c>
      <c r="M51" s="163">
        <f t="shared" ca="1" si="16"/>
        <v>17441</v>
      </c>
      <c r="N51" s="163">
        <f t="shared" si="10"/>
        <v>0</v>
      </c>
      <c r="O51" s="163">
        <f t="shared" si="11"/>
        <v>0</v>
      </c>
      <c r="P51" s="163">
        <f>IF(E51="","",SUM(O$5:O51))</f>
        <v>0</v>
      </c>
      <c r="Q51" s="163" t="str">
        <f ca="1">IF(E51="","",IF($F51=111,$N51,(SUMPRODUCT(G51:G$116,M51:M$116)+SUMPRODUCT(H51:H$116,N51:N$116))/H51))</f>
        <v/>
      </c>
      <c r="R51" s="163">
        <f>IF(E51="","",IF($F51=111,$O51,SUMPRODUCT(H51:H$116,O51:O$116)/H51))</f>
        <v>0</v>
      </c>
      <c r="S51" s="163">
        <f t="shared" si="17"/>
        <v>0</v>
      </c>
      <c r="T51" s="163">
        <f>IF(E51="","",IF($F51=111,0,SUMPRODUCT(H51:H$116,S51:S$116)/H51))</f>
        <v>0</v>
      </c>
      <c r="U51" s="163" t="str">
        <f t="shared" ca="1" si="18"/>
        <v/>
      </c>
      <c r="V51" s="164" t="str">
        <f t="shared" ca="1" si="19"/>
        <v/>
      </c>
    </row>
    <row r="52" spans="4:22" x14ac:dyDescent="0.3">
      <c r="D52" s="178">
        <v>47</v>
      </c>
      <c r="E52" s="95">
        <f t="shared" si="12"/>
        <v>47</v>
      </c>
      <c r="F52" s="183">
        <f t="shared" si="13"/>
        <v>82</v>
      </c>
      <c r="G52" s="162">
        <f>IF(E52="","",IF(E52=$B$10,0,VLOOKUP(F52,Life!$A$3:$R$113,7,FALSE)))</f>
        <v>52175.132012669892</v>
      </c>
      <c r="H52" s="163">
        <f>IF(E52="","",IF($F52=111,0,VLOOKUP(F52,Life!$A$3:$R$113,8,FALSE)))</f>
        <v>578868.66143226787</v>
      </c>
      <c r="I52" s="163">
        <f t="shared" si="8"/>
        <v>18645</v>
      </c>
      <c r="J52" s="163">
        <f t="shared" si="9"/>
        <v>8713.8000000000011</v>
      </c>
      <c r="K52" s="163">
        <f t="shared" si="14"/>
        <v>0</v>
      </c>
      <c r="L52" s="163">
        <f t="shared" si="15"/>
        <v>0</v>
      </c>
      <c r="M52" s="163">
        <f t="shared" ca="1" si="16"/>
        <v>17441</v>
      </c>
      <c r="N52" s="163">
        <f t="shared" si="10"/>
        <v>0</v>
      </c>
      <c r="O52" s="163">
        <f t="shared" si="11"/>
        <v>0</v>
      </c>
      <c r="P52" s="163">
        <f>IF(E52="","",SUM(O$5:O52))</f>
        <v>0</v>
      </c>
      <c r="Q52" s="163" t="str">
        <f ca="1">IF(E52="","",IF($F52=111,$N52,(SUMPRODUCT(G52:G$116,M52:M$116)+SUMPRODUCT(H52:H$116,N52:N$116))/H52))</f>
        <v/>
      </c>
      <c r="R52" s="163">
        <f>IF(E52="","",IF($F52=111,$O52,SUMPRODUCT(H52:H$116,O52:O$116)/H52))</f>
        <v>0</v>
      </c>
      <c r="S52" s="163">
        <f t="shared" si="17"/>
        <v>0</v>
      </c>
      <c r="T52" s="163">
        <f>IF(E52="","",IF($F52=111,0,SUMPRODUCT(H52:H$116,S52:S$116)/H52))</f>
        <v>0</v>
      </c>
      <c r="U52" s="163" t="str">
        <f t="shared" ca="1" si="18"/>
        <v/>
      </c>
      <c r="V52" s="164" t="str">
        <f t="shared" ca="1" si="19"/>
        <v/>
      </c>
    </row>
    <row r="53" spans="4:22" x14ac:dyDescent="0.3">
      <c r="D53" s="178">
        <v>48</v>
      </c>
      <c r="E53" s="95">
        <f t="shared" si="12"/>
        <v>48</v>
      </c>
      <c r="F53" s="183">
        <f t="shared" si="13"/>
        <v>83</v>
      </c>
      <c r="G53" s="162">
        <f>IF(E53="","",IF(E53=$B$10,0,VLOOKUP(F53,Life!$A$3:$R$113,7,FALSE)))</f>
        <v>50623.462697782226</v>
      </c>
      <c r="H53" s="163">
        <f>IF(E53="","",IF($F53=111,0,VLOOKUP(F53,Life!$A$3:$R$113,8,FALSE)))</f>
        <v>514532.83546412498</v>
      </c>
      <c r="I53" s="163">
        <f t="shared" si="8"/>
        <v>19065</v>
      </c>
      <c r="J53" s="163">
        <f t="shared" si="9"/>
        <v>8713.8000000000011</v>
      </c>
      <c r="K53" s="163">
        <f t="shared" si="14"/>
        <v>0</v>
      </c>
      <c r="L53" s="163">
        <f t="shared" si="15"/>
        <v>0</v>
      </c>
      <c r="M53" s="163">
        <f t="shared" ca="1" si="16"/>
        <v>17441</v>
      </c>
      <c r="N53" s="163">
        <f t="shared" si="10"/>
        <v>0</v>
      </c>
      <c r="O53" s="163">
        <f t="shared" si="11"/>
        <v>0</v>
      </c>
      <c r="P53" s="163">
        <f>IF(E53="","",SUM(O$5:O53))</f>
        <v>0</v>
      </c>
      <c r="Q53" s="163" t="str">
        <f ca="1">IF(E53="","",IF($F53=111,$N53,(SUMPRODUCT(G53:G$116,M53:M$116)+SUMPRODUCT(H53:H$116,N53:N$116))/H53))</f>
        <v/>
      </c>
      <c r="R53" s="163">
        <f>IF(E53="","",IF($F53=111,$O53,SUMPRODUCT(H53:H$116,O53:O$116)/H53))</f>
        <v>0</v>
      </c>
      <c r="S53" s="163">
        <f t="shared" si="17"/>
        <v>0</v>
      </c>
      <c r="T53" s="163">
        <f>IF(E53="","",IF($F53=111,0,SUMPRODUCT(H53:H$116,S53:S$116)/H53))</f>
        <v>0</v>
      </c>
      <c r="U53" s="163" t="str">
        <f t="shared" ca="1" si="18"/>
        <v/>
      </c>
      <c r="V53" s="164" t="str">
        <f t="shared" ca="1" si="19"/>
        <v/>
      </c>
    </row>
    <row r="54" spans="4:22" x14ac:dyDescent="0.3">
      <c r="D54" s="178">
        <v>49</v>
      </c>
      <c r="E54" s="95">
        <f t="shared" si="12"/>
        <v>49</v>
      </c>
      <c r="F54" s="183">
        <f t="shared" si="13"/>
        <v>84</v>
      </c>
      <c r="G54" s="162">
        <f>IF(E54="","",IF(E54=$B$10,0,VLOOKUP(F54,Life!$A$3:$R$113,7,FALSE)))</f>
        <v>48644.923413745819</v>
      </c>
      <c r="H54" s="163">
        <f>IF(E54="","",IF($F54=111,0,VLOOKUP(F54,Life!$A$3:$R$113,8,FALSE)))</f>
        <v>453147.21446101984</v>
      </c>
      <c r="I54" s="163">
        <f t="shared" si="8"/>
        <v>19494</v>
      </c>
      <c r="J54" s="163">
        <f t="shared" si="9"/>
        <v>8713.8000000000011</v>
      </c>
      <c r="K54" s="163">
        <f t="shared" si="14"/>
        <v>0</v>
      </c>
      <c r="L54" s="163">
        <f t="shared" si="15"/>
        <v>0</v>
      </c>
      <c r="M54" s="163">
        <f t="shared" ca="1" si="16"/>
        <v>17441</v>
      </c>
      <c r="N54" s="163">
        <f t="shared" si="10"/>
        <v>0</v>
      </c>
      <c r="O54" s="163">
        <f t="shared" si="11"/>
        <v>0</v>
      </c>
      <c r="P54" s="163">
        <f>IF(E54="","",SUM(O$5:O54))</f>
        <v>0</v>
      </c>
      <c r="Q54" s="163" t="str">
        <f ca="1">IF(E54="","",IF($F54=111,$N54,(SUMPRODUCT(G54:G$116,M54:M$116)+SUMPRODUCT(H54:H$116,N54:N$116))/H54))</f>
        <v/>
      </c>
      <c r="R54" s="163">
        <f>IF(E54="","",IF($F54=111,$O54,SUMPRODUCT(H54:H$116,O54:O$116)/H54))</f>
        <v>0</v>
      </c>
      <c r="S54" s="163">
        <f t="shared" si="17"/>
        <v>0</v>
      </c>
      <c r="T54" s="163">
        <f>IF(E54="","",IF($F54=111,0,SUMPRODUCT(H54:H$116,S54:S$116)/H54))</f>
        <v>0</v>
      </c>
      <c r="U54" s="163" t="str">
        <f t="shared" ca="1" si="18"/>
        <v/>
      </c>
      <c r="V54" s="164" t="str">
        <f t="shared" ca="1" si="19"/>
        <v/>
      </c>
    </row>
    <row r="55" spans="4:22" x14ac:dyDescent="0.3">
      <c r="D55" s="178">
        <v>50</v>
      </c>
      <c r="E55" s="184">
        <f t="shared" si="12"/>
        <v>50</v>
      </c>
      <c r="F55" s="185">
        <f t="shared" si="13"/>
        <v>85</v>
      </c>
      <c r="G55" s="165">
        <f>IF(E55="","",IF(E55=$B$10,0,VLOOKUP(F55,Life!$A$3:$R$113,7,FALSE)))</f>
        <v>46251.785621332827</v>
      </c>
      <c r="H55" s="166">
        <f>IF(E55="","",IF($F55=111,0,VLOOKUP(F55,Life!$A$3:$R$113,8,FALSE)))</f>
        <v>395069.02671773056</v>
      </c>
      <c r="I55" s="166">
        <f t="shared" si="8"/>
        <v>19933</v>
      </c>
      <c r="J55" s="166">
        <f t="shared" si="9"/>
        <v>8713.8000000000011</v>
      </c>
      <c r="K55" s="166">
        <f t="shared" si="14"/>
        <v>0</v>
      </c>
      <c r="L55" s="166">
        <f t="shared" si="15"/>
        <v>0</v>
      </c>
      <c r="M55" s="163">
        <f t="shared" ca="1" si="16"/>
        <v>17441</v>
      </c>
      <c r="N55" s="166">
        <f t="shared" si="10"/>
        <v>0</v>
      </c>
      <c r="O55" s="166">
        <f t="shared" si="11"/>
        <v>0</v>
      </c>
      <c r="P55" s="166">
        <f>IF(E55="","",SUM(O$5:O55))</f>
        <v>0</v>
      </c>
      <c r="Q55" s="166" t="str">
        <f ca="1">IF(E55="","",IF($F55=111,$N55,(SUMPRODUCT(G55:G$116,M55:M$116)+SUMPRODUCT(H55:H$116,N55:N$116))/H55))</f>
        <v/>
      </c>
      <c r="R55" s="166">
        <f>IF(E55="","",IF($F55=111,$O55,SUMPRODUCT(H55:H$116,O55:O$116)/H55))</f>
        <v>0</v>
      </c>
      <c r="S55" s="166">
        <f t="shared" si="17"/>
        <v>0</v>
      </c>
      <c r="T55" s="166">
        <f>IF(E55="","",IF($F55=111,0,SUMPRODUCT(H55:H$116,S55:S$116)/H55))</f>
        <v>0</v>
      </c>
      <c r="U55" s="166" t="str">
        <f t="shared" ca="1" si="18"/>
        <v/>
      </c>
      <c r="V55" s="167" t="str">
        <f t="shared" ca="1" si="19"/>
        <v/>
      </c>
    </row>
    <row r="56" spans="4:22" x14ac:dyDescent="0.3">
      <c r="D56" s="178">
        <v>51</v>
      </c>
      <c r="E56" s="95">
        <f t="shared" si="12"/>
        <v>51</v>
      </c>
      <c r="F56" s="183">
        <f t="shared" si="13"/>
        <v>86</v>
      </c>
      <c r="G56" s="162">
        <f>IF(E56="","",IF(E56=$B$10,0,VLOOKUP(F56,Life!$A$3:$R$113,7,FALSE)))</f>
        <v>43468.500402130216</v>
      </c>
      <c r="H56" s="163">
        <f>IF(E56="","",IF($F56=111,0,VLOOKUP(F56,Life!$A$3:$R$113,8,FALSE)))</f>
        <v>340635.50406605192</v>
      </c>
      <c r="I56" s="163">
        <f t="shared" si="8"/>
        <v>20381</v>
      </c>
      <c r="J56" s="163">
        <f t="shared" si="9"/>
        <v>8713.8000000000011</v>
      </c>
      <c r="K56" s="163">
        <f t="shared" si="14"/>
        <v>0</v>
      </c>
      <c r="L56" s="163">
        <f t="shared" si="15"/>
        <v>0</v>
      </c>
      <c r="M56" s="163">
        <f t="shared" ca="1" si="16"/>
        <v>17441</v>
      </c>
      <c r="N56" s="163">
        <f t="shared" si="10"/>
        <v>0</v>
      </c>
      <c r="O56" s="163">
        <f t="shared" si="11"/>
        <v>0</v>
      </c>
      <c r="P56" s="163">
        <f>IF(E56="","",SUM(O$5:O56))</f>
        <v>0</v>
      </c>
      <c r="Q56" s="163" t="str">
        <f ca="1">IF(E56="","",IF($F56=111,$N56,(SUMPRODUCT(G56:G$116,M56:M$116)+SUMPRODUCT(H56:H$116,N56:N$116))/H56))</f>
        <v/>
      </c>
      <c r="R56" s="163">
        <f>IF(E56="","",IF($F56=111,$O56,SUMPRODUCT(H56:H$116,O56:O$116)/H56))</f>
        <v>0</v>
      </c>
      <c r="S56" s="163">
        <f t="shared" si="17"/>
        <v>0</v>
      </c>
      <c r="T56" s="163">
        <f>IF(E56="","",IF($F56=111,0,SUMPRODUCT(H56:H$116,S56:S$116)/H56))</f>
        <v>0</v>
      </c>
      <c r="U56" s="163" t="str">
        <f t="shared" ca="1" si="18"/>
        <v/>
      </c>
      <c r="V56" s="164" t="str">
        <f t="shared" ca="1" si="19"/>
        <v/>
      </c>
    </row>
    <row r="57" spans="4:22" x14ac:dyDescent="0.3">
      <c r="D57" s="178">
        <v>52</v>
      </c>
      <c r="E57" s="95">
        <f t="shared" si="12"/>
        <v>52</v>
      </c>
      <c r="F57" s="183">
        <f t="shared" si="13"/>
        <v>87</v>
      </c>
      <c r="G57" s="162">
        <f>IF(E57="","",IF(E57=$B$10,0,VLOOKUP(F57,Life!$A$3:$R$113,7,FALSE)))</f>
        <v>40335.198215636447</v>
      </c>
      <c r="H57" s="163">
        <f>IF(E57="","",IF($F57=111,0,VLOOKUP(F57,Life!$A$3:$R$113,8,FALSE)))</f>
        <v>290152.27702497551</v>
      </c>
      <c r="I57" s="163">
        <f t="shared" si="8"/>
        <v>20840</v>
      </c>
      <c r="J57" s="163">
        <f t="shared" si="9"/>
        <v>8713.8000000000011</v>
      </c>
      <c r="K57" s="163">
        <f t="shared" si="14"/>
        <v>0</v>
      </c>
      <c r="L57" s="163">
        <f t="shared" si="15"/>
        <v>0</v>
      </c>
      <c r="M57" s="163">
        <f t="shared" ca="1" si="16"/>
        <v>17441</v>
      </c>
      <c r="N57" s="163">
        <f t="shared" si="10"/>
        <v>0</v>
      </c>
      <c r="O57" s="163">
        <f t="shared" si="11"/>
        <v>0</v>
      </c>
      <c r="P57" s="163">
        <f>IF(E57="","",SUM(O$5:O57))</f>
        <v>0</v>
      </c>
      <c r="Q57" s="163" t="str">
        <f ca="1">IF(E57="","",IF($F57=111,$N57,(SUMPRODUCT(G57:G$116,M57:M$116)+SUMPRODUCT(H57:H$116,N57:N$116))/H57))</f>
        <v/>
      </c>
      <c r="R57" s="163">
        <f>IF(E57="","",IF($F57=111,$O57,SUMPRODUCT(H57:H$116,O57:O$116)/H57))</f>
        <v>0</v>
      </c>
      <c r="S57" s="163">
        <f t="shared" si="17"/>
        <v>0</v>
      </c>
      <c r="T57" s="163">
        <f>IF(E57="","",IF($F57=111,0,SUMPRODUCT(H57:H$116,S57:S$116)/H57))</f>
        <v>0</v>
      </c>
      <c r="U57" s="163" t="str">
        <f t="shared" ca="1" si="18"/>
        <v/>
      </c>
      <c r="V57" s="164" t="str">
        <f t="shared" ca="1" si="19"/>
        <v/>
      </c>
    </row>
    <row r="58" spans="4:22" x14ac:dyDescent="0.3">
      <c r="D58" s="178">
        <v>53</v>
      </c>
      <c r="E58" s="95">
        <f t="shared" si="12"/>
        <v>53</v>
      </c>
      <c r="F58" s="183">
        <f t="shared" si="13"/>
        <v>88</v>
      </c>
      <c r="G58" s="162">
        <f>IF(E58="","",IF(E58=$B$10,0,VLOOKUP(F58,Life!$A$3:$R$113,7,FALSE)))</f>
        <v>36907.70605103908</v>
      </c>
      <c r="H58" s="163">
        <f>IF(E58="","",IF($F58=111,0,VLOOKUP(F58,Life!$A$3:$R$113,8,FALSE)))</f>
        <v>243878.56427729418</v>
      </c>
      <c r="I58" s="163">
        <f t="shared" si="8"/>
        <v>21308</v>
      </c>
      <c r="J58" s="163">
        <f t="shared" si="9"/>
        <v>8713.8000000000011</v>
      </c>
      <c r="K58" s="163">
        <f t="shared" si="14"/>
        <v>0</v>
      </c>
      <c r="L58" s="163">
        <f t="shared" si="15"/>
        <v>0</v>
      </c>
      <c r="M58" s="163">
        <f t="shared" ca="1" si="16"/>
        <v>17441</v>
      </c>
      <c r="N58" s="163">
        <f t="shared" si="10"/>
        <v>0</v>
      </c>
      <c r="O58" s="163">
        <f t="shared" si="11"/>
        <v>0</v>
      </c>
      <c r="P58" s="163">
        <f>IF(E58="","",SUM(O$5:O58))</f>
        <v>0</v>
      </c>
      <c r="Q58" s="163" t="str">
        <f ca="1">IF(E58="","",IF($F58=111,$N58,(SUMPRODUCT(G58:G$116,M58:M$116)+SUMPRODUCT(H58:H$116,N58:N$116))/H58))</f>
        <v/>
      </c>
      <c r="R58" s="163">
        <f>IF(E58="","",IF($F58=111,$O58,SUMPRODUCT(H58:H$116,O58:O$116)/H58))</f>
        <v>0</v>
      </c>
      <c r="S58" s="163">
        <f t="shared" si="17"/>
        <v>0</v>
      </c>
      <c r="T58" s="163">
        <f>IF(E58="","",IF($F58=111,0,SUMPRODUCT(H58:H$116,S58:S$116)/H58))</f>
        <v>0</v>
      </c>
      <c r="U58" s="163" t="str">
        <f t="shared" ca="1" si="18"/>
        <v/>
      </c>
      <c r="V58" s="164" t="str">
        <f t="shared" ca="1" si="19"/>
        <v/>
      </c>
    </row>
    <row r="59" spans="4:22" x14ac:dyDescent="0.3">
      <c r="D59" s="178">
        <v>54</v>
      </c>
      <c r="E59" s="95">
        <f t="shared" si="12"/>
        <v>54</v>
      </c>
      <c r="F59" s="183">
        <f t="shared" si="13"/>
        <v>89</v>
      </c>
      <c r="G59" s="162">
        <f>IF(E59="","",IF(E59=$B$10,0,VLOOKUP(F59,Life!$A$3:$R$113,7,FALSE)))</f>
        <v>33257.581234774916</v>
      </c>
      <c r="H59" s="163">
        <f>IF(E59="","",IF($F59=111,0,VLOOKUP(F59,Life!$A$3:$R$113,8,FALSE)))</f>
        <v>202012.67108812733</v>
      </c>
      <c r="I59" s="163">
        <f t="shared" si="8"/>
        <v>21788</v>
      </c>
      <c r="J59" s="163">
        <f t="shared" si="9"/>
        <v>8713.8000000000011</v>
      </c>
      <c r="K59" s="163">
        <f t="shared" si="14"/>
        <v>0</v>
      </c>
      <c r="L59" s="163">
        <f t="shared" si="15"/>
        <v>0</v>
      </c>
      <c r="M59" s="163">
        <f t="shared" ca="1" si="16"/>
        <v>17441</v>
      </c>
      <c r="N59" s="163">
        <f t="shared" si="10"/>
        <v>0</v>
      </c>
      <c r="O59" s="163">
        <f t="shared" si="11"/>
        <v>0</v>
      </c>
      <c r="P59" s="163">
        <f>IF(E59="","",SUM(O$5:O59))</f>
        <v>0</v>
      </c>
      <c r="Q59" s="163" t="str">
        <f ca="1">IF(E59="","",IF($F59=111,$N59,(SUMPRODUCT(G59:G$116,M59:M$116)+SUMPRODUCT(H59:H$116,N59:N$116))/H59))</f>
        <v/>
      </c>
      <c r="R59" s="163">
        <f>IF(E59="","",IF($F59=111,$O59,SUMPRODUCT(H59:H$116,O59:O$116)/H59))</f>
        <v>0</v>
      </c>
      <c r="S59" s="163">
        <f t="shared" si="17"/>
        <v>0</v>
      </c>
      <c r="T59" s="163">
        <f>IF(E59="","",IF($F59=111,0,SUMPRODUCT(H59:H$116,S59:S$116)/H59))</f>
        <v>0</v>
      </c>
      <c r="U59" s="163" t="str">
        <f t="shared" ca="1" si="18"/>
        <v/>
      </c>
      <c r="V59" s="164" t="str">
        <f t="shared" ca="1" si="19"/>
        <v/>
      </c>
    </row>
    <row r="60" spans="4:22" x14ac:dyDescent="0.3">
      <c r="D60" s="178">
        <v>55</v>
      </c>
      <c r="E60" s="184">
        <f t="shared" si="12"/>
        <v>55</v>
      </c>
      <c r="F60" s="185">
        <f t="shared" si="13"/>
        <v>90</v>
      </c>
      <c r="G60" s="165">
        <f>IF(E60="","",IF(E60=$B$10,0,VLOOKUP(F60,Life!$A$3:$R$113,7,FALSE)))</f>
        <v>29468.682243642252</v>
      </c>
      <c r="H60" s="166">
        <f>IF(E60="","",IF($F60=111,0,VLOOKUP(F60,Life!$A$3:$R$113,8,FALSE)))</f>
        <v>164677.77339562657</v>
      </c>
      <c r="I60" s="166">
        <f t="shared" si="8"/>
        <v>22278</v>
      </c>
      <c r="J60" s="166">
        <f t="shared" si="9"/>
        <v>8713.8000000000011</v>
      </c>
      <c r="K60" s="166">
        <f t="shared" si="14"/>
        <v>0</v>
      </c>
      <c r="L60" s="166">
        <f t="shared" si="15"/>
        <v>0</v>
      </c>
      <c r="M60" s="163">
        <f t="shared" ca="1" si="16"/>
        <v>17441</v>
      </c>
      <c r="N60" s="166">
        <f t="shared" si="10"/>
        <v>0</v>
      </c>
      <c r="O60" s="166">
        <f t="shared" si="11"/>
        <v>0</v>
      </c>
      <c r="P60" s="166">
        <f>IF(E60="","",SUM(O$5:O60))</f>
        <v>0</v>
      </c>
      <c r="Q60" s="166" t="str">
        <f ca="1">IF(E60="","",IF($F60=111,$N60,(SUMPRODUCT(G60:G$116,M60:M$116)+SUMPRODUCT(H60:H$116,N60:N$116))/H60))</f>
        <v/>
      </c>
      <c r="R60" s="166">
        <f>IF(E60="","",IF($F60=111,$O60,SUMPRODUCT(H60:H$116,O60:O$116)/H60))</f>
        <v>0</v>
      </c>
      <c r="S60" s="166">
        <f t="shared" si="17"/>
        <v>0</v>
      </c>
      <c r="T60" s="166">
        <f>IF(E60="","",IF($F60=111,0,SUMPRODUCT(H60:H$116,S60:S$116)/H60))</f>
        <v>0</v>
      </c>
      <c r="U60" s="166" t="str">
        <f t="shared" ca="1" si="18"/>
        <v/>
      </c>
      <c r="V60" s="167" t="str">
        <f t="shared" ca="1" si="19"/>
        <v/>
      </c>
    </row>
    <row r="61" spans="4:22" x14ac:dyDescent="0.3">
      <c r="D61" s="178">
        <v>56</v>
      </c>
      <c r="E61" s="95">
        <f t="shared" si="12"/>
        <v>56</v>
      </c>
      <c r="F61" s="183">
        <f t="shared" si="13"/>
        <v>91</v>
      </c>
      <c r="G61" s="162">
        <f>IF(E61="","",IF(E61=$B$10,0,VLOOKUP(F61,Life!$A$3:$R$113,7,FALSE)))</f>
        <v>25635.503581270568</v>
      </c>
      <c r="H61" s="163">
        <f>IF(E61="","",IF($F61=111,0,VLOOKUP(F61,Life!$A$3:$R$113,8,FALSE)))</f>
        <v>131911.4059687749</v>
      </c>
      <c r="I61" s="163">
        <f t="shared" si="8"/>
        <v>22779</v>
      </c>
      <c r="J61" s="163">
        <f t="shared" si="9"/>
        <v>8713.8000000000011</v>
      </c>
      <c r="K61" s="163">
        <f t="shared" si="14"/>
        <v>0</v>
      </c>
      <c r="L61" s="163">
        <f t="shared" si="15"/>
        <v>0</v>
      </c>
      <c r="M61" s="163">
        <f t="shared" ca="1" si="16"/>
        <v>17441</v>
      </c>
      <c r="N61" s="163">
        <f t="shared" si="10"/>
        <v>0</v>
      </c>
      <c r="O61" s="163">
        <f t="shared" si="11"/>
        <v>0</v>
      </c>
      <c r="P61" s="163">
        <f>IF(E61="","",SUM(O$5:O61))</f>
        <v>0</v>
      </c>
      <c r="Q61" s="163" t="str">
        <f ca="1">IF(E61="","",IF($F61=111,$N61,(SUMPRODUCT(G61:G$116,M61:M$116)+SUMPRODUCT(H61:H$116,N61:N$116))/H61))</f>
        <v/>
      </c>
      <c r="R61" s="163">
        <f>IF(E61="","",IF($F61=111,$O61,SUMPRODUCT(H61:H$116,O61:O$116)/H61))</f>
        <v>0</v>
      </c>
      <c r="S61" s="163">
        <f t="shared" si="17"/>
        <v>0</v>
      </c>
      <c r="T61" s="163">
        <f>IF(E61="","",IF($F61=111,0,SUMPRODUCT(H61:H$116,S61:S$116)/H61))</f>
        <v>0</v>
      </c>
      <c r="U61" s="163" t="str">
        <f t="shared" ca="1" si="18"/>
        <v/>
      </c>
      <c r="V61" s="164" t="str">
        <f t="shared" ca="1" si="19"/>
        <v/>
      </c>
    </row>
    <row r="62" spans="4:22" x14ac:dyDescent="0.3">
      <c r="D62" s="178">
        <v>57</v>
      </c>
      <c r="E62" s="95">
        <f t="shared" si="12"/>
        <v>57</v>
      </c>
      <c r="F62" s="183">
        <f t="shared" si="13"/>
        <v>92</v>
      </c>
      <c r="G62" s="162">
        <f>IF(E62="","",IF(E62=$B$10,0,VLOOKUP(F62,Life!$A$3:$R$113,7,FALSE)))</f>
        <v>21856.774964235534</v>
      </c>
      <c r="H62" s="163">
        <f>IF(E62="","",IF($F62=111,0,VLOOKUP(F62,Life!$A$3:$R$113,8,FALSE)))</f>
        <v>103656.82857830789</v>
      </c>
      <c r="I62" s="163">
        <f t="shared" si="8"/>
        <v>23292</v>
      </c>
      <c r="J62" s="163">
        <f t="shared" si="9"/>
        <v>8713.8000000000011</v>
      </c>
      <c r="K62" s="163">
        <f t="shared" si="14"/>
        <v>0</v>
      </c>
      <c r="L62" s="163">
        <f t="shared" si="15"/>
        <v>0</v>
      </c>
      <c r="M62" s="163">
        <f t="shared" ca="1" si="16"/>
        <v>17441</v>
      </c>
      <c r="N62" s="163">
        <f t="shared" si="10"/>
        <v>0</v>
      </c>
      <c r="O62" s="163">
        <f t="shared" si="11"/>
        <v>0</v>
      </c>
      <c r="P62" s="163">
        <f>IF(E62="","",SUM(O$5:O62))</f>
        <v>0</v>
      </c>
      <c r="Q62" s="163" t="str">
        <f ca="1">IF(E62="","",IF($F62=111,$N62,(SUMPRODUCT(G62:G$116,M62:M$116)+SUMPRODUCT(H62:H$116,N62:N$116))/H62))</f>
        <v/>
      </c>
      <c r="R62" s="163">
        <f>IF(E62="","",IF($F62=111,$O62,SUMPRODUCT(H62:H$116,O62:O$116)/H62))</f>
        <v>0</v>
      </c>
      <c r="S62" s="163">
        <f t="shared" si="17"/>
        <v>0</v>
      </c>
      <c r="T62" s="163">
        <f>IF(E62="","",IF($F62=111,0,SUMPRODUCT(H62:H$116,S62:S$116)/H62))</f>
        <v>0</v>
      </c>
      <c r="U62" s="163" t="str">
        <f t="shared" ca="1" si="18"/>
        <v/>
      </c>
      <c r="V62" s="164" t="str">
        <f t="shared" ca="1" si="19"/>
        <v/>
      </c>
    </row>
    <row r="63" spans="4:22" x14ac:dyDescent="0.3">
      <c r="D63" s="178">
        <v>58</v>
      </c>
      <c r="E63" s="95">
        <f t="shared" si="12"/>
        <v>58</v>
      </c>
      <c r="F63" s="183">
        <f t="shared" si="13"/>
        <v>93</v>
      </c>
      <c r="G63" s="162">
        <f>IF(E63="","",IF(E63=$B$10,0,VLOOKUP(F63,Life!$A$3:$R$113,7,FALSE)))</f>
        <v>18229.186984311924</v>
      </c>
      <c r="H63" s="163">
        <f>IF(E63="","",IF($F63=111,0,VLOOKUP(F63,Life!$A$3:$R$113,8,FALSE)))</f>
        <v>79760.912151633514</v>
      </c>
      <c r="I63" s="163">
        <f t="shared" si="8"/>
        <v>23816</v>
      </c>
      <c r="J63" s="163">
        <f t="shared" si="9"/>
        <v>8713.8000000000011</v>
      </c>
      <c r="K63" s="163">
        <f t="shared" si="14"/>
        <v>0</v>
      </c>
      <c r="L63" s="163">
        <f t="shared" si="15"/>
        <v>0</v>
      </c>
      <c r="M63" s="163">
        <f t="shared" ca="1" si="16"/>
        <v>17441</v>
      </c>
      <c r="N63" s="163">
        <f t="shared" si="10"/>
        <v>0</v>
      </c>
      <c r="O63" s="163">
        <f t="shared" si="11"/>
        <v>0</v>
      </c>
      <c r="P63" s="163">
        <f>IF(E63="","",SUM(O$5:O63))</f>
        <v>0</v>
      </c>
      <c r="Q63" s="163" t="str">
        <f ca="1">IF(E63="","",IF($F63=111,$N63,(SUMPRODUCT(G63:G$116,M63:M$116)+SUMPRODUCT(H63:H$116,N63:N$116))/H63))</f>
        <v/>
      </c>
      <c r="R63" s="163">
        <f>IF(E63="","",IF($F63=111,$O63,SUMPRODUCT(H63:H$116,O63:O$116)/H63))</f>
        <v>0</v>
      </c>
      <c r="S63" s="163">
        <f t="shared" si="17"/>
        <v>0</v>
      </c>
      <c r="T63" s="163">
        <f>IF(E63="","",IF($F63=111,0,SUMPRODUCT(H63:H$116,S63:S$116)/H63))</f>
        <v>0</v>
      </c>
      <c r="U63" s="163" t="str">
        <f t="shared" ca="1" si="18"/>
        <v/>
      </c>
      <c r="V63" s="164" t="str">
        <f t="shared" ca="1" si="19"/>
        <v/>
      </c>
    </row>
    <row r="64" spans="4:22" x14ac:dyDescent="0.3">
      <c r="D64" s="178">
        <v>59</v>
      </c>
      <c r="E64" s="95">
        <f t="shared" si="12"/>
        <v>59</v>
      </c>
      <c r="F64" s="183">
        <f t="shared" si="13"/>
        <v>94</v>
      </c>
      <c r="G64" s="162">
        <f>IF(E64="","",IF(E64=$B$10,0,VLOOKUP(F64,Life!$A$3:$R$113,7,FALSE)))</f>
        <v>14840.67358224111</v>
      </c>
      <c r="H64" s="163">
        <f>IF(E64="","",IF($F64=111,0,VLOOKUP(F64,Life!$A$3:$R$113,8,FALSE)))</f>
        <v>59978.276363367586</v>
      </c>
      <c r="I64" s="163">
        <f t="shared" si="8"/>
        <v>24352</v>
      </c>
      <c r="J64" s="163">
        <f t="shared" si="9"/>
        <v>8713.8000000000011</v>
      </c>
      <c r="K64" s="163">
        <f t="shared" si="14"/>
        <v>0</v>
      </c>
      <c r="L64" s="163">
        <f t="shared" si="15"/>
        <v>0</v>
      </c>
      <c r="M64" s="163">
        <f t="shared" ca="1" si="16"/>
        <v>17441</v>
      </c>
      <c r="N64" s="163">
        <f t="shared" si="10"/>
        <v>0</v>
      </c>
      <c r="O64" s="163">
        <f t="shared" si="11"/>
        <v>0</v>
      </c>
      <c r="P64" s="163">
        <f>IF(E64="","",SUM(O$5:O64))</f>
        <v>0</v>
      </c>
      <c r="Q64" s="163" t="str">
        <f ca="1">IF(E64="","",IF($F64=111,$N64,(SUMPRODUCT(G64:G$116,M64:M$116)+SUMPRODUCT(H64:H$116,N64:N$116))/H64))</f>
        <v/>
      </c>
      <c r="R64" s="163">
        <f>IF(E64="","",IF($F64=111,$O64,SUMPRODUCT(H64:H$116,O64:O$116)/H64))</f>
        <v>0</v>
      </c>
      <c r="S64" s="163">
        <f t="shared" si="17"/>
        <v>0</v>
      </c>
      <c r="T64" s="163">
        <f>IF(E64="","",IF($F64=111,0,SUMPRODUCT(H64:H$116,S64:S$116)/H64))</f>
        <v>0</v>
      </c>
      <c r="U64" s="163" t="str">
        <f t="shared" ca="1" si="18"/>
        <v/>
      </c>
      <c r="V64" s="164" t="str">
        <f t="shared" ca="1" si="19"/>
        <v/>
      </c>
    </row>
    <row r="65" spans="4:22" x14ac:dyDescent="0.3">
      <c r="D65" s="178">
        <v>60</v>
      </c>
      <c r="E65" s="184">
        <f t="shared" si="12"/>
        <v>60</v>
      </c>
      <c r="F65" s="185">
        <f t="shared" si="13"/>
        <v>95</v>
      </c>
      <c r="G65" s="165">
        <f>IF(E65="","",IF(E65=$B$10,0,VLOOKUP(F65,Life!$A$3:$R$113,7,FALSE)))</f>
        <v>11766.844850513258</v>
      </c>
      <c r="H65" s="166">
        <f>IF(E65="","",IF($F65=111,0,VLOOKUP(F65,Life!$A$3:$R$113,8,FALSE)))</f>
        <v>43981.979384538099</v>
      </c>
      <c r="I65" s="166">
        <f t="shared" si="8"/>
        <v>24900</v>
      </c>
      <c r="J65" s="166">
        <f t="shared" si="9"/>
        <v>8713.8000000000011</v>
      </c>
      <c r="K65" s="166">
        <f t="shared" si="14"/>
        <v>0</v>
      </c>
      <c r="L65" s="166">
        <f t="shared" si="15"/>
        <v>0</v>
      </c>
      <c r="M65" s="163">
        <f t="shared" ca="1" si="16"/>
        <v>17441</v>
      </c>
      <c r="N65" s="166">
        <f t="shared" si="10"/>
        <v>0</v>
      </c>
      <c r="O65" s="166">
        <f t="shared" si="11"/>
        <v>0</v>
      </c>
      <c r="P65" s="166">
        <f>IF(E65="","",SUM(O$5:O65))</f>
        <v>0</v>
      </c>
      <c r="Q65" s="166" t="str">
        <f ca="1">IF(E65="","",IF($F65=111,$N65,(SUMPRODUCT(G65:G$116,M65:M$116)+SUMPRODUCT(H65:H$116,N65:N$116))/H65))</f>
        <v/>
      </c>
      <c r="R65" s="166">
        <f>IF(E65="","",IF($F65=111,$O65,SUMPRODUCT(H65:H$116,O65:O$116)/H65))</f>
        <v>0</v>
      </c>
      <c r="S65" s="166">
        <f t="shared" si="17"/>
        <v>0</v>
      </c>
      <c r="T65" s="166">
        <f>IF(E65="","",IF($F65=111,0,SUMPRODUCT(H65:H$116,S65:S$116)/H65))</f>
        <v>0</v>
      </c>
      <c r="U65" s="166" t="str">
        <f t="shared" ca="1" si="18"/>
        <v/>
      </c>
      <c r="V65" s="167" t="str">
        <f t="shared" ca="1" si="19"/>
        <v/>
      </c>
    </row>
    <row r="66" spans="4:22" x14ac:dyDescent="0.3">
      <c r="D66" s="178">
        <v>61</v>
      </c>
      <c r="E66" s="95">
        <f t="shared" si="12"/>
        <v>61</v>
      </c>
      <c r="F66" s="183">
        <f t="shared" si="13"/>
        <v>96</v>
      </c>
      <c r="G66" s="162">
        <f>IF(E66="","",IF(E66=$B$10,0,VLOOKUP(F66,Life!$A$3:$R$113,7,FALSE)))</f>
        <v>9064.0789132295522</v>
      </c>
      <c r="H66" s="163">
        <f>IF(E66="","",IF($F66=111,0,VLOOKUP(F66,Life!$A$3:$R$113,8,FALSE)))</f>
        <v>31377.500136040715</v>
      </c>
      <c r="I66" s="163">
        <f t="shared" si="8"/>
        <v>25460</v>
      </c>
      <c r="J66" s="163">
        <f t="shared" si="9"/>
        <v>8713.8000000000011</v>
      </c>
      <c r="K66" s="163">
        <f t="shared" si="14"/>
        <v>0</v>
      </c>
      <c r="L66" s="163">
        <f t="shared" si="15"/>
        <v>0</v>
      </c>
      <c r="M66" s="163">
        <f t="shared" ca="1" si="16"/>
        <v>17441</v>
      </c>
      <c r="N66" s="163">
        <f t="shared" si="10"/>
        <v>0</v>
      </c>
      <c r="O66" s="163">
        <f t="shared" si="11"/>
        <v>0</v>
      </c>
      <c r="P66" s="163">
        <f>IF(E66="","",SUM(O$5:O66))</f>
        <v>0</v>
      </c>
      <c r="Q66" s="163" t="str">
        <f ca="1">IF(E66="","",IF($F66=111,$N66,(SUMPRODUCT(G66:G$116,M66:M$116)+SUMPRODUCT(H66:H$116,N66:N$116))/H66))</f>
        <v/>
      </c>
      <c r="R66" s="163">
        <f>IF(E66="","",IF($F66=111,$O66,SUMPRODUCT(H66:H$116,O66:O$116)/H66))</f>
        <v>0</v>
      </c>
      <c r="S66" s="163">
        <f t="shared" si="17"/>
        <v>0</v>
      </c>
      <c r="T66" s="163">
        <f>IF(E66="","",IF($F66=111,0,SUMPRODUCT(H66:H$116,S66:S$116)/H66))</f>
        <v>0</v>
      </c>
      <c r="U66" s="163" t="str">
        <f t="shared" ca="1" si="18"/>
        <v/>
      </c>
      <c r="V66" s="164" t="str">
        <f t="shared" ca="1" si="19"/>
        <v/>
      </c>
    </row>
    <row r="67" spans="4:22" x14ac:dyDescent="0.3">
      <c r="D67" s="178">
        <v>62</v>
      </c>
      <c r="E67" s="95">
        <f t="shared" si="12"/>
        <v>62</v>
      </c>
      <c r="F67" s="183">
        <f t="shared" si="13"/>
        <v>97</v>
      </c>
      <c r="G67" s="162">
        <f>IF(E67="","",IF(E67=$B$10,0,VLOOKUP(F67,Life!$A$3:$R$113,7,FALSE)))</f>
        <v>6765.8810793754583</v>
      </c>
      <c r="H67" s="163">
        <f>IF(E67="","",IF($F67=111,0,VLOOKUP(F67,Life!$A$3:$R$113,8,FALSE)))</f>
        <v>21723.244555279638</v>
      </c>
      <c r="I67" s="163">
        <f t="shared" si="8"/>
        <v>26033</v>
      </c>
      <c r="J67" s="163">
        <f t="shared" si="9"/>
        <v>8713.8000000000011</v>
      </c>
      <c r="K67" s="163">
        <f t="shared" si="14"/>
        <v>0</v>
      </c>
      <c r="L67" s="163">
        <f t="shared" si="15"/>
        <v>0</v>
      </c>
      <c r="M67" s="163">
        <f t="shared" ca="1" si="16"/>
        <v>17441</v>
      </c>
      <c r="N67" s="163">
        <f t="shared" si="10"/>
        <v>0</v>
      </c>
      <c r="O67" s="163">
        <f t="shared" si="11"/>
        <v>0</v>
      </c>
      <c r="P67" s="163">
        <f>IF(E67="","",SUM(O$5:O67))</f>
        <v>0</v>
      </c>
      <c r="Q67" s="163" t="str">
        <f ca="1">IF(E67="","",IF($F67=111,$N67,(SUMPRODUCT(G67:G$116,M67:M$116)+SUMPRODUCT(H67:H$116,N67:N$116))/H67))</f>
        <v/>
      </c>
      <c r="R67" s="163">
        <f>IF(E67="","",IF($F67=111,$O67,SUMPRODUCT(H67:H$116,O67:O$116)/H67))</f>
        <v>0</v>
      </c>
      <c r="S67" s="163">
        <f t="shared" si="17"/>
        <v>0</v>
      </c>
      <c r="T67" s="163">
        <f>IF(E67="","",IF($F67=111,0,SUMPRODUCT(H67:H$116,S67:S$116)/H67))</f>
        <v>0</v>
      </c>
      <c r="U67" s="163" t="str">
        <f t="shared" ca="1" si="18"/>
        <v/>
      </c>
      <c r="V67" s="164" t="str">
        <f t="shared" ca="1" si="19"/>
        <v/>
      </c>
    </row>
    <row r="68" spans="4:22" x14ac:dyDescent="0.3">
      <c r="D68" s="178">
        <v>63</v>
      </c>
      <c r="E68" s="95">
        <f t="shared" si="12"/>
        <v>63</v>
      </c>
      <c r="F68" s="183">
        <f t="shared" si="13"/>
        <v>98</v>
      </c>
      <c r="G68" s="162">
        <f>IF(E68="","",IF(E68=$B$10,0,VLOOKUP(F68,Life!$A$3:$R$113,7,FALSE)))</f>
        <v>4879.9582655132208</v>
      </c>
      <c r="H68" s="163">
        <f>IF(E68="","",IF($F68=111,0,VLOOKUP(F68,Life!$A$3:$R$113,8,FALSE)))</f>
        <v>14554.201190350537</v>
      </c>
      <c r="I68" s="163">
        <f t="shared" si="8"/>
        <v>26619</v>
      </c>
      <c r="J68" s="163">
        <f t="shared" si="9"/>
        <v>8713.8000000000011</v>
      </c>
      <c r="K68" s="163">
        <f t="shared" si="14"/>
        <v>0</v>
      </c>
      <c r="L68" s="163">
        <f t="shared" si="15"/>
        <v>0</v>
      </c>
      <c r="M68" s="163">
        <f t="shared" ca="1" si="16"/>
        <v>17441</v>
      </c>
      <c r="N68" s="163">
        <f t="shared" si="10"/>
        <v>0</v>
      </c>
      <c r="O68" s="163">
        <f t="shared" si="11"/>
        <v>0</v>
      </c>
      <c r="P68" s="163">
        <f>IF(E68="","",SUM(O$5:O68))</f>
        <v>0</v>
      </c>
      <c r="Q68" s="163" t="str">
        <f ca="1">IF(E68="","",IF($F68=111,$N68,(SUMPRODUCT(G68:G$116,M68:M$116)+SUMPRODUCT(H68:H$116,N68:N$116))/H68))</f>
        <v/>
      </c>
      <c r="R68" s="163">
        <f>IF(E68="","",IF($F68=111,$O68,SUMPRODUCT(H68:H$116,O68:O$116)/H68))</f>
        <v>0</v>
      </c>
      <c r="S68" s="163">
        <f t="shared" si="17"/>
        <v>0</v>
      </c>
      <c r="T68" s="163">
        <f>IF(E68="","",IF($F68=111,0,SUMPRODUCT(H68:H$116,S68:S$116)/H68))</f>
        <v>0</v>
      </c>
      <c r="U68" s="163" t="str">
        <f t="shared" ca="1" si="18"/>
        <v/>
      </c>
      <c r="V68" s="164" t="str">
        <f t="shared" ca="1" si="19"/>
        <v/>
      </c>
    </row>
    <row r="69" spans="4:22" x14ac:dyDescent="0.3">
      <c r="D69" s="178">
        <v>64</v>
      </c>
      <c r="E69" s="95">
        <f t="shared" ref="E69:E100" si="20">IF(D69&lt;=$B$10,D69,"")</f>
        <v>64</v>
      </c>
      <c r="F69" s="183">
        <f t="shared" ref="F69:F100" si="21">IF(E69="","",E69+$B$7)</f>
        <v>99</v>
      </c>
      <c r="G69" s="162">
        <f>IF(E69="","",IF(E69=$B$10,0,VLOOKUP(F69,Life!$A$3:$R$113,7,FALSE)))</f>
        <v>3389.7665041489245</v>
      </c>
      <c r="H69" s="163">
        <f>IF(E69="","",IF($F69=111,0,VLOOKUP(F69,Life!$A$3:$R$113,8,FALSE)))</f>
        <v>9407.9694652286926</v>
      </c>
      <c r="I69" s="163">
        <f t="shared" si="8"/>
        <v>27218</v>
      </c>
      <c r="J69" s="163">
        <f t="shared" si="9"/>
        <v>8713.8000000000011</v>
      </c>
      <c r="K69" s="163">
        <f t="shared" ref="K69:K100" si="22">IF(E69&gt;=$B$10,"",IF(F69&lt;16,IF($K$3=0,MIN(E69+1,$B$9),((1+$K$3)^MIN(E69+1,$B$9)-1)/$K$3*(1+$K$3)^(MAX(E69+1-$B$9,0)+0.5)),0)*$B$12)</f>
        <v>0</v>
      </c>
      <c r="L69" s="163">
        <f t="shared" ref="L69:L100" si="23">IF(E69&gt;=$B$10,"",IF(AND($L$3=1,E69+1&lt;=$B$9),0.5*$B$12,0))</f>
        <v>0</v>
      </c>
      <c r="M69" s="163">
        <f t="shared" ca="1" si="16"/>
        <v>17441</v>
      </c>
      <c r="N69" s="163">
        <f t="shared" si="10"/>
        <v>0</v>
      </c>
      <c r="O69" s="163">
        <f t="shared" si="11"/>
        <v>0</v>
      </c>
      <c r="P69" s="163">
        <f>IF(E69="","",SUM(O$5:O69))</f>
        <v>0</v>
      </c>
      <c r="Q69" s="163" t="str">
        <f ca="1">IF(E69="","",IF($F69=111,$N69,(SUMPRODUCT(G69:G$116,M69:M$116)+SUMPRODUCT(H69:H$116,N69:N$116))/H69))</f>
        <v/>
      </c>
      <c r="R69" s="163">
        <f>IF(E69="","",IF($F69=111,$O69,SUMPRODUCT(H69:H$116,O69:O$116)/H69))</f>
        <v>0</v>
      </c>
      <c r="S69" s="163">
        <f t="shared" ref="S69:S100" si="24">IF(E69="","",IF(E69&gt;=$B$9,0,IF(E69=0,$B$23,IF(E69&lt;$B$32,$B$24,$B$25))))</f>
        <v>0</v>
      </c>
      <c r="T69" s="163">
        <f>IF(E69="","",IF($F69=111,0,SUMPRODUCT(H69:H$116,S69:S$116)/H69))</f>
        <v>0</v>
      </c>
      <c r="U69" s="163" t="str">
        <f t="shared" ref="U69:U100" ca="1" si="25">IF(E69="","",ROUND(Q69+R69-T69,0))</f>
        <v/>
      </c>
      <c r="V69" s="164" t="str">
        <f t="shared" ref="V69:V100" ca="1" si="26">IF(E69&gt;=$B$10,"",(U69+S69-N69-O69+U70)/2)</f>
        <v/>
      </c>
    </row>
    <row r="70" spans="4:22" x14ac:dyDescent="0.3">
      <c r="D70" s="178">
        <v>65</v>
      </c>
      <c r="E70" s="184">
        <f t="shared" si="20"/>
        <v>65</v>
      </c>
      <c r="F70" s="185">
        <f t="shared" si="21"/>
        <v>100</v>
      </c>
      <c r="G70" s="165">
        <f>IF(E70="","",IF(E70=$B$10,0,VLOOKUP(F70,Life!$A$3:$R$113,7,FALSE)))</f>
        <v>2259.8803140806708</v>
      </c>
      <c r="H70" s="166">
        <f>IF(E70="","",IF($F70=111,0,VLOOKUP(F70,Life!$A$3:$R$113,8,FALSE)))</f>
        <v>5848.6848085648344</v>
      </c>
      <c r="I70" s="166">
        <f t="shared" ref="I70:I116" si="27">IF(E70&gt;=$B$10,"",ROUND(IF(E70&lt;$B$9,FV(1%,$E70+1,-1,0,1)*$B$12,(1+2.25%)^(E70-$B$9+1)*$B$11),0))</f>
        <v>27830</v>
      </c>
      <c r="J70" s="166">
        <f t="shared" ref="J70:J116" si="28">IF(E70&gt;=$B$10,"",IF(E70&lt;$B$9,0,$B$12*$B$9*1.03))</f>
        <v>8713.8000000000011</v>
      </c>
      <c r="K70" s="166">
        <f t="shared" si="22"/>
        <v>0</v>
      </c>
      <c r="L70" s="166">
        <f t="shared" si="23"/>
        <v>0</v>
      </c>
      <c r="M70" s="163">
        <f t="shared" ca="1" si="16"/>
        <v>17441</v>
      </c>
      <c r="N70" s="166">
        <f t="shared" ref="N70:N110" si="29">IF(E70="","",IF(E70=$B$10,I69,0))</f>
        <v>0</v>
      </c>
      <c r="O70" s="166">
        <f t="shared" ref="O70:O110" si="30">IF(E70="","",0)</f>
        <v>0</v>
      </c>
      <c r="P70" s="166">
        <f>IF(E70="","",SUM(O$5:O70))</f>
        <v>0</v>
      </c>
      <c r="Q70" s="166" t="str">
        <f ca="1">IF(E70="","",IF($F70=111,$N70,(SUMPRODUCT(G70:G$116,M70:M$116)+SUMPRODUCT(H70:H$116,N70:N$116))/H70))</f>
        <v/>
      </c>
      <c r="R70" s="166">
        <f>IF(E70="","",IF($F70=111,$O70,SUMPRODUCT(H70:H$116,O70:O$116)/H70))</f>
        <v>0</v>
      </c>
      <c r="S70" s="166">
        <f t="shared" si="24"/>
        <v>0</v>
      </c>
      <c r="T70" s="166">
        <f>IF(E70="","",IF($F70=111,0,SUMPRODUCT(H70:H$116,S70:S$116)/H70))</f>
        <v>0</v>
      </c>
      <c r="U70" s="166" t="str">
        <f t="shared" ca="1" si="25"/>
        <v/>
      </c>
      <c r="V70" s="167" t="str">
        <f t="shared" ca="1" si="26"/>
        <v/>
      </c>
    </row>
    <row r="71" spans="4:22" x14ac:dyDescent="0.3">
      <c r="D71" s="178">
        <v>66</v>
      </c>
      <c r="E71" s="95">
        <f t="shared" si="20"/>
        <v>66</v>
      </c>
      <c r="F71" s="183">
        <f t="shared" si="21"/>
        <v>101</v>
      </c>
      <c r="G71" s="162">
        <f>IF(E71="","",IF(E71=$B$10,0,VLOOKUP(F71,Life!$A$3:$R$113,7,FALSE)))</f>
        <v>1440.9308268702027</v>
      </c>
      <c r="H71" s="163">
        <f>IF(E71="","",IF($F71=111,0,VLOOKUP(F71,Life!$A$3:$R$113,8,FALSE)))</f>
        <v>3485.1073471248856</v>
      </c>
      <c r="I71" s="163">
        <f t="shared" si="27"/>
        <v>28456</v>
      </c>
      <c r="J71" s="163">
        <f t="shared" si="28"/>
        <v>8713.8000000000011</v>
      </c>
      <c r="K71" s="163">
        <f t="shared" si="22"/>
        <v>0</v>
      </c>
      <c r="L71" s="163">
        <f t="shared" si="23"/>
        <v>0</v>
      </c>
      <c r="M71" s="163">
        <f t="shared" ca="1" si="16"/>
        <v>17441</v>
      </c>
      <c r="N71" s="163">
        <f t="shared" si="29"/>
        <v>0</v>
      </c>
      <c r="O71" s="163">
        <f t="shared" si="30"/>
        <v>0</v>
      </c>
      <c r="P71" s="163">
        <f>IF(E71="","",SUM(O$5:O71))</f>
        <v>0</v>
      </c>
      <c r="Q71" s="163" t="str">
        <f ca="1">IF(E71="","",IF($F71=111,$N71,(SUMPRODUCT(G71:G$116,M71:M$116)+SUMPRODUCT(H71:H$116,N71:N$116))/H71))</f>
        <v/>
      </c>
      <c r="R71" s="163">
        <f>IF(E71="","",IF($F71=111,$O71,SUMPRODUCT(H71:H$116,O71:O$116)/H71))</f>
        <v>0</v>
      </c>
      <c r="S71" s="163">
        <f t="shared" si="24"/>
        <v>0</v>
      </c>
      <c r="T71" s="163">
        <f>IF(E71="","",IF($F71=111,0,SUMPRODUCT(H71:H$116,S71:S$116)/H71))</f>
        <v>0</v>
      </c>
      <c r="U71" s="163" t="str">
        <f t="shared" ca="1" si="25"/>
        <v/>
      </c>
      <c r="V71" s="164" t="str">
        <f t="shared" ca="1" si="26"/>
        <v/>
      </c>
    </row>
    <row r="72" spans="4:22" x14ac:dyDescent="0.3">
      <c r="D72" s="178">
        <v>67</v>
      </c>
      <c r="E72" s="95">
        <f t="shared" si="20"/>
        <v>67</v>
      </c>
      <c r="F72" s="183">
        <f t="shared" si="21"/>
        <v>102</v>
      </c>
      <c r="G72" s="162">
        <f>IF(E72="","",IF(E72=$B$10,0,VLOOKUP(F72,Life!$A$3:$R$113,7,FALSE)))</f>
        <v>875.46221704853838</v>
      </c>
      <c r="H72" s="163">
        <f>IF(E72="","",IF($F72=111,0,VLOOKUP(F72,Life!$A$3:$R$113,8,FALSE)))</f>
        <v>1983.4290667378996</v>
      </c>
      <c r="I72" s="163">
        <f t="shared" si="27"/>
        <v>29096</v>
      </c>
      <c r="J72" s="163">
        <f t="shared" si="28"/>
        <v>8713.8000000000011</v>
      </c>
      <c r="K72" s="163">
        <f t="shared" si="22"/>
        <v>0</v>
      </c>
      <c r="L72" s="163">
        <f t="shared" si="23"/>
        <v>0</v>
      </c>
      <c r="M72" s="163">
        <f t="shared" ca="1" si="16"/>
        <v>17441</v>
      </c>
      <c r="N72" s="163">
        <f t="shared" si="29"/>
        <v>0</v>
      </c>
      <c r="O72" s="163">
        <f t="shared" si="30"/>
        <v>0</v>
      </c>
      <c r="P72" s="163">
        <f>IF(E72="","",SUM(O$5:O72))</f>
        <v>0</v>
      </c>
      <c r="Q72" s="163" t="str">
        <f ca="1">IF(E72="","",IF($F72=111,$N72,(SUMPRODUCT(G72:G$116,M72:M$116)+SUMPRODUCT(H72:H$116,N72:N$116))/H72))</f>
        <v/>
      </c>
      <c r="R72" s="163">
        <f>IF(E72="","",IF($F72=111,$O72,SUMPRODUCT(H72:H$116,O72:O$116)/H72))</f>
        <v>0</v>
      </c>
      <c r="S72" s="163">
        <f t="shared" si="24"/>
        <v>0</v>
      </c>
      <c r="T72" s="163">
        <f>IF(E72="","",IF($F72=111,0,SUMPRODUCT(H72:H$116,S72:S$116)/H72))</f>
        <v>0</v>
      </c>
      <c r="U72" s="163" t="str">
        <f t="shared" ca="1" si="25"/>
        <v/>
      </c>
      <c r="V72" s="164" t="str">
        <f t="shared" ca="1" si="26"/>
        <v/>
      </c>
    </row>
    <row r="73" spans="4:22" x14ac:dyDescent="0.3">
      <c r="D73" s="178">
        <v>68</v>
      </c>
      <c r="E73" s="95">
        <f t="shared" si="20"/>
        <v>68</v>
      </c>
      <c r="F73" s="183">
        <f t="shared" si="21"/>
        <v>103</v>
      </c>
      <c r="G73" s="162">
        <f>IF(E73="","",IF(E73=$B$10,0,VLOOKUP(F73,Life!$A$3:$R$113,7,FALSE)))</f>
        <v>504.92176562226359</v>
      </c>
      <c r="H73" s="163">
        <f>IF(E73="","",IF($F73=111,0,VLOOKUP(F73,Life!$A$3:$R$113,8,FALSE)))</f>
        <v>1074.0075163480462</v>
      </c>
      <c r="I73" s="163">
        <f t="shared" si="27"/>
        <v>29751</v>
      </c>
      <c r="J73" s="163">
        <f t="shared" si="28"/>
        <v>8713.8000000000011</v>
      </c>
      <c r="K73" s="163">
        <f t="shared" si="22"/>
        <v>0</v>
      </c>
      <c r="L73" s="163">
        <f t="shared" si="23"/>
        <v>0</v>
      </c>
      <c r="M73" s="163">
        <f t="shared" ca="1" si="16"/>
        <v>17441</v>
      </c>
      <c r="N73" s="163">
        <f t="shared" si="29"/>
        <v>0</v>
      </c>
      <c r="O73" s="163">
        <f t="shared" si="30"/>
        <v>0</v>
      </c>
      <c r="P73" s="163">
        <f>IF(E73="","",SUM(O$5:O73))</f>
        <v>0</v>
      </c>
      <c r="Q73" s="163" t="str">
        <f ca="1">IF(E73="","",IF($F73=111,$N73,(SUMPRODUCT(G73:G$116,M73:M$116)+SUMPRODUCT(H73:H$116,N73:N$116))/H73))</f>
        <v/>
      </c>
      <c r="R73" s="163">
        <f>IF(E73="","",IF($F73=111,$O73,SUMPRODUCT(H73:H$116,O73:O$116)/H73))</f>
        <v>0</v>
      </c>
      <c r="S73" s="163">
        <f t="shared" si="24"/>
        <v>0</v>
      </c>
      <c r="T73" s="163">
        <f>IF(E73="","",IF($F73=111,0,SUMPRODUCT(H73:H$116,S73:S$116)/H73))</f>
        <v>0</v>
      </c>
      <c r="U73" s="163" t="str">
        <f t="shared" ca="1" si="25"/>
        <v/>
      </c>
      <c r="V73" s="164" t="str">
        <f t="shared" ca="1" si="26"/>
        <v/>
      </c>
    </row>
    <row r="74" spans="4:22" x14ac:dyDescent="0.3">
      <c r="D74" s="178">
        <v>69</v>
      </c>
      <c r="E74" s="95">
        <f t="shared" si="20"/>
        <v>69</v>
      </c>
      <c r="F74" s="183">
        <f t="shared" si="21"/>
        <v>104</v>
      </c>
      <c r="G74" s="162">
        <f>IF(E74="","",IF(E74=$B$10,0,VLOOKUP(F74,Life!$A$3:$R$113,7,FALSE)))</f>
        <v>275.20847651784027</v>
      </c>
      <c r="H74" s="163">
        <f>IF(E74="","",IF($F74=111,0,VLOOKUP(F74,Life!$A$3:$R$113,8,FALSE)))</f>
        <v>551.03860973958956</v>
      </c>
      <c r="I74" s="163">
        <f t="shared" si="27"/>
        <v>30420</v>
      </c>
      <c r="J74" s="163">
        <f t="shared" si="28"/>
        <v>8713.8000000000011</v>
      </c>
      <c r="K74" s="163">
        <f t="shared" si="22"/>
        <v>0</v>
      </c>
      <c r="L74" s="163">
        <f t="shared" si="23"/>
        <v>0</v>
      </c>
      <c r="M74" s="163">
        <f t="shared" ca="1" si="16"/>
        <v>17441</v>
      </c>
      <c r="N74" s="163">
        <f t="shared" si="29"/>
        <v>0</v>
      </c>
      <c r="O74" s="163">
        <f t="shared" si="30"/>
        <v>0</v>
      </c>
      <c r="P74" s="163">
        <f>IF(E74="","",SUM(O$5:O74))</f>
        <v>0</v>
      </c>
      <c r="Q74" s="163" t="str">
        <f ca="1">IF(E74="","",IF($F74=111,$N74,(SUMPRODUCT(G74:G$116,M74:M$116)+SUMPRODUCT(H74:H$116,N74:N$116))/H74))</f>
        <v/>
      </c>
      <c r="R74" s="163">
        <f>IF(E74="","",IF($F74=111,$O74,SUMPRODUCT(H74:H$116,O74:O$116)/H74))</f>
        <v>0</v>
      </c>
      <c r="S74" s="163">
        <f t="shared" si="24"/>
        <v>0</v>
      </c>
      <c r="T74" s="163">
        <f>IF(E74="","",IF($F74=111,0,SUMPRODUCT(H74:H$116,S74:S$116)/H74))</f>
        <v>0</v>
      </c>
      <c r="U74" s="163" t="str">
        <f t="shared" ca="1" si="25"/>
        <v/>
      </c>
      <c r="V74" s="164" t="str">
        <f t="shared" ca="1" si="26"/>
        <v/>
      </c>
    </row>
    <row r="75" spans="4:22" x14ac:dyDescent="0.3">
      <c r="D75" s="178">
        <v>70</v>
      </c>
      <c r="E75" s="184">
        <f t="shared" si="20"/>
        <v>70</v>
      </c>
      <c r="F75" s="185">
        <f t="shared" si="21"/>
        <v>105</v>
      </c>
      <c r="G75" s="165">
        <f>IF(E75="","",IF(E75=$B$10,0,VLOOKUP(F75,Life!$A$3:$R$113,7,FALSE)))</f>
        <v>141.22142376175481</v>
      </c>
      <c r="H75" s="166">
        <f>IF(E75="","",IF($F75=111,0,VLOOKUP(F75,Life!$A$3:$R$113,8,FALSE)))</f>
        <v>266.74939871399573</v>
      </c>
      <c r="I75" s="166">
        <f t="shared" si="27"/>
        <v>31105</v>
      </c>
      <c r="J75" s="166">
        <f t="shared" si="28"/>
        <v>8713.8000000000011</v>
      </c>
      <c r="K75" s="166">
        <f t="shared" si="22"/>
        <v>0</v>
      </c>
      <c r="L75" s="166">
        <f t="shared" si="23"/>
        <v>0</v>
      </c>
      <c r="M75" s="163">
        <f t="shared" ca="1" si="16"/>
        <v>17441</v>
      </c>
      <c r="N75" s="166">
        <f t="shared" si="29"/>
        <v>0</v>
      </c>
      <c r="O75" s="166">
        <f t="shared" si="30"/>
        <v>0</v>
      </c>
      <c r="P75" s="166">
        <f>IF(E75="","",SUM(O$5:O75))</f>
        <v>0</v>
      </c>
      <c r="Q75" s="166" t="str">
        <f ca="1">IF(E75="","",IF($F75=111,$N75,(SUMPRODUCT(G75:G$116,M75:M$116)+SUMPRODUCT(H75:H$116,N75:N$116))/H75))</f>
        <v/>
      </c>
      <c r="R75" s="166">
        <f>IF(E75="","",IF($F75=111,$O75,SUMPRODUCT(H75:H$116,O75:O$116)/H75))</f>
        <v>0</v>
      </c>
      <c r="S75" s="166">
        <f t="shared" si="24"/>
        <v>0</v>
      </c>
      <c r="T75" s="166">
        <f>IF(E75="","",IF($F75=111,0,SUMPRODUCT(H75:H$116,S75:S$116)/H75))</f>
        <v>0</v>
      </c>
      <c r="U75" s="166" t="str">
        <f t="shared" ca="1" si="25"/>
        <v/>
      </c>
      <c r="V75" s="167" t="str">
        <f t="shared" ca="1" si="26"/>
        <v/>
      </c>
    </row>
    <row r="76" spans="4:22" x14ac:dyDescent="0.3">
      <c r="D76" s="178">
        <v>71</v>
      </c>
      <c r="E76" s="95">
        <f t="shared" si="20"/>
        <v>71</v>
      </c>
      <c r="F76" s="183">
        <f t="shared" si="21"/>
        <v>106</v>
      </c>
      <c r="G76" s="162">
        <f>IF(E76="","",IF(E76=$B$10,0,VLOOKUP(F76,Life!$A$3:$R$113,7,FALSE)))</f>
        <v>67.888059388891449</v>
      </c>
      <c r="H76" s="163">
        <f>IF(E76="","",IF($F76=111,0,VLOOKUP(F76,Life!$A$3:$R$113,8,FALSE)))</f>
        <v>121.22060778243156</v>
      </c>
      <c r="I76" s="163">
        <f t="shared" si="27"/>
        <v>31805</v>
      </c>
      <c r="J76" s="163">
        <f t="shared" si="28"/>
        <v>8713.8000000000011</v>
      </c>
      <c r="K76" s="163">
        <f t="shared" si="22"/>
        <v>0</v>
      </c>
      <c r="L76" s="163">
        <f t="shared" si="23"/>
        <v>0</v>
      </c>
      <c r="M76" s="163">
        <f t="shared" ca="1" si="16"/>
        <v>17441</v>
      </c>
      <c r="N76" s="163">
        <f t="shared" si="29"/>
        <v>0</v>
      </c>
      <c r="O76" s="163">
        <f t="shared" si="30"/>
        <v>0</v>
      </c>
      <c r="P76" s="163">
        <f>IF(E76="","",SUM(O$5:O76))</f>
        <v>0</v>
      </c>
      <c r="Q76" s="163" t="str">
        <f ca="1">IF(E76="","",IF($F76=111,$N76,(SUMPRODUCT(G76:G$116,M76:M$116)+SUMPRODUCT(H76:H$116,N76:N$116))/H76))</f>
        <v/>
      </c>
      <c r="R76" s="163">
        <f>IF(E76="","",IF($F76=111,$O76,SUMPRODUCT(H76:H$116,O76:O$116)/H76))</f>
        <v>0</v>
      </c>
      <c r="S76" s="163">
        <f t="shared" si="24"/>
        <v>0</v>
      </c>
      <c r="T76" s="163">
        <f>IF(E76="","",IF($F76=111,0,SUMPRODUCT(H76:H$116,S76:S$116)/H76))</f>
        <v>0</v>
      </c>
      <c r="U76" s="163" t="str">
        <f t="shared" ca="1" si="25"/>
        <v/>
      </c>
      <c r="V76" s="164" t="str">
        <f t="shared" ca="1" si="26"/>
        <v/>
      </c>
    </row>
    <row r="77" spans="4:22" x14ac:dyDescent="0.3">
      <c r="D77" s="178">
        <v>72</v>
      </c>
      <c r="E77" s="95">
        <f t="shared" si="20"/>
        <v>72</v>
      </c>
      <c r="F77" s="183">
        <f t="shared" si="21"/>
        <v>107</v>
      </c>
      <c r="G77" s="162">
        <f>IF(E77="","",IF(E77=$B$10,0,VLOOKUP(F77,Life!$A$3:$R$113,7,FALSE)))</f>
        <v>30.362081428346997</v>
      </c>
      <c r="H77" s="163">
        <f>IF(E77="","",IF($F77=111,0,VLOOKUP(F77,Life!$A$3:$R$113,8,FALSE)))</f>
        <v>51.416191790052935</v>
      </c>
      <c r="I77" s="163">
        <f t="shared" si="27"/>
        <v>32520</v>
      </c>
      <c r="J77" s="163">
        <f t="shared" si="28"/>
        <v>8713.8000000000011</v>
      </c>
      <c r="K77" s="163">
        <f t="shared" si="22"/>
        <v>0</v>
      </c>
      <c r="L77" s="163">
        <f t="shared" si="23"/>
        <v>0</v>
      </c>
      <c r="M77" s="163">
        <f t="shared" ca="1" si="16"/>
        <v>17441</v>
      </c>
      <c r="N77" s="163">
        <f t="shared" si="29"/>
        <v>0</v>
      </c>
      <c r="O77" s="163">
        <f t="shared" si="30"/>
        <v>0</v>
      </c>
      <c r="P77" s="163">
        <f>IF(E77="","",SUM(O$5:O77))</f>
        <v>0</v>
      </c>
      <c r="Q77" s="163" t="str">
        <f ca="1">IF(E77="","",IF($F77=111,$N77,(SUMPRODUCT(G77:G$116,M77:M$116)+SUMPRODUCT(H77:H$116,N77:N$116))/H77))</f>
        <v/>
      </c>
      <c r="R77" s="163">
        <f>IF(E77="","",IF($F77=111,$O77,SUMPRODUCT(H77:H$116,O77:O$116)/H77))</f>
        <v>0</v>
      </c>
      <c r="S77" s="163">
        <f t="shared" si="24"/>
        <v>0</v>
      </c>
      <c r="T77" s="163">
        <f>IF(E77="","",IF($F77=111,0,SUMPRODUCT(H77:H$116,S77:S$116)/H77))</f>
        <v>0</v>
      </c>
      <c r="U77" s="163" t="str">
        <f t="shared" ca="1" si="25"/>
        <v/>
      </c>
      <c r="V77" s="164" t="str">
        <f t="shared" ca="1" si="26"/>
        <v/>
      </c>
    </row>
    <row r="78" spans="4:22" x14ac:dyDescent="0.3">
      <c r="D78" s="178">
        <v>73</v>
      </c>
      <c r="E78" s="95">
        <f t="shared" si="20"/>
        <v>73</v>
      </c>
      <c r="F78" s="183">
        <f t="shared" si="21"/>
        <v>108</v>
      </c>
      <c r="G78" s="162">
        <f>IF(E78="","",IF(E78=$B$10,0,VLOOKUP(F78,Life!$A$3:$R$113,7,FALSE)))</f>
        <v>12.610992079998011</v>
      </c>
      <c r="H78" s="163">
        <f>IF(E78="","",IF($F78=111,0,VLOOKUP(F78,Life!$A$3:$R$113,8,FALSE)))</f>
        <v>20.258618073511204</v>
      </c>
      <c r="I78" s="163">
        <f t="shared" si="27"/>
        <v>33252</v>
      </c>
      <c r="J78" s="163">
        <f t="shared" si="28"/>
        <v>8713.8000000000011</v>
      </c>
      <c r="K78" s="163">
        <f t="shared" si="22"/>
        <v>0</v>
      </c>
      <c r="L78" s="163">
        <f t="shared" si="23"/>
        <v>0</v>
      </c>
      <c r="M78" s="163">
        <f t="shared" ca="1" si="16"/>
        <v>17441</v>
      </c>
      <c r="N78" s="163">
        <f t="shared" si="29"/>
        <v>0</v>
      </c>
      <c r="O78" s="163">
        <f t="shared" si="30"/>
        <v>0</v>
      </c>
      <c r="P78" s="163">
        <f>IF(E78="","",SUM(O$5:O78))</f>
        <v>0</v>
      </c>
      <c r="Q78" s="163" t="str">
        <f ca="1">IF(E78="","",IF($F78=111,$N78,(SUMPRODUCT(G78:G$116,M78:M$116)+SUMPRODUCT(H78:H$116,N78:N$116))/H78))</f>
        <v/>
      </c>
      <c r="R78" s="163">
        <f>IF(E78="","",IF($F78=111,$O78,SUMPRODUCT(H78:H$116,O78:O$116)/H78))</f>
        <v>0</v>
      </c>
      <c r="S78" s="163">
        <f t="shared" si="24"/>
        <v>0</v>
      </c>
      <c r="T78" s="163">
        <f>IF(E78="","",IF($F78=111,0,SUMPRODUCT(H78:H$116,S78:S$116)/H78))</f>
        <v>0</v>
      </c>
      <c r="U78" s="163" t="str">
        <f t="shared" ca="1" si="25"/>
        <v/>
      </c>
      <c r="V78" s="164" t="str">
        <f t="shared" ca="1" si="26"/>
        <v/>
      </c>
    </row>
    <row r="79" spans="4:22" x14ac:dyDescent="0.3">
      <c r="D79" s="178">
        <v>74</v>
      </c>
      <c r="E79" s="95">
        <f t="shared" si="20"/>
        <v>74</v>
      </c>
      <c r="F79" s="183">
        <f t="shared" si="21"/>
        <v>109</v>
      </c>
      <c r="G79" s="162">
        <f>IF(E79="","",IF(E79=$B$10,0,VLOOKUP(F79,Life!$A$3:$R$113,7,FALSE)))</f>
        <v>4.8109352643527084</v>
      </c>
      <c r="H79" s="163">
        <f>IF(E79="","",IF($F79=111,0,VLOOKUP(F79,Life!$A$3:$R$113,8,FALSE)))</f>
        <v>7.3413608981026472</v>
      </c>
      <c r="I79" s="163">
        <f t="shared" si="27"/>
        <v>34000</v>
      </c>
      <c r="J79" s="163">
        <f t="shared" si="28"/>
        <v>8713.8000000000011</v>
      </c>
      <c r="K79" s="163">
        <f t="shared" si="22"/>
        <v>0</v>
      </c>
      <c r="L79" s="163">
        <f t="shared" si="23"/>
        <v>0</v>
      </c>
      <c r="M79" s="163">
        <f t="shared" ca="1" si="16"/>
        <v>17441</v>
      </c>
      <c r="N79" s="163">
        <f t="shared" si="29"/>
        <v>0</v>
      </c>
      <c r="O79" s="163">
        <f t="shared" si="30"/>
        <v>0</v>
      </c>
      <c r="P79" s="163">
        <f>IF(E79="","",SUM(O$5:O79))</f>
        <v>0</v>
      </c>
      <c r="Q79" s="163" t="str">
        <f ca="1">IF(E79="","",IF($F79=111,$N79,(SUMPRODUCT(G79:G$116,M79:M$116)+SUMPRODUCT(H79:H$116,N79:N$116))/H79))</f>
        <v/>
      </c>
      <c r="R79" s="163">
        <f>IF(E79="","",IF($F79=111,$O79,SUMPRODUCT(H79:H$116,O79:O$116)/H79))</f>
        <v>0</v>
      </c>
      <c r="S79" s="163">
        <f t="shared" si="24"/>
        <v>0</v>
      </c>
      <c r="T79" s="163">
        <f>IF(E79="","",IF($F79=111,0,SUMPRODUCT(H79:H$116,S79:S$116)/H79))</f>
        <v>0</v>
      </c>
      <c r="U79" s="163" t="str">
        <f t="shared" ca="1" si="25"/>
        <v/>
      </c>
      <c r="V79" s="164" t="str">
        <f t="shared" ca="1" si="26"/>
        <v/>
      </c>
    </row>
    <row r="80" spans="4:22" x14ac:dyDescent="0.3">
      <c r="D80" s="178">
        <v>75</v>
      </c>
      <c r="E80" s="184">
        <f t="shared" si="20"/>
        <v>75</v>
      </c>
      <c r="F80" s="185">
        <f t="shared" si="21"/>
        <v>110</v>
      </c>
      <c r="G80" s="165">
        <f>IF(E80="","",IF(E80=$B$10,0,VLOOKUP(F80,Life!$A$3:$R$113,7,FALSE)))</f>
        <v>0</v>
      </c>
      <c r="H80" s="166">
        <f>IF(E80="","",IF($F80=111,0,VLOOKUP(F80,Life!$A$3:$R$113,8,FALSE)))</f>
        <v>2.4221062850546335</v>
      </c>
      <c r="I80" s="166" t="str">
        <f t="shared" si="27"/>
        <v/>
      </c>
      <c r="J80" s="166" t="str">
        <f t="shared" si="28"/>
        <v/>
      </c>
      <c r="K80" s="166" t="str">
        <f t="shared" si="22"/>
        <v/>
      </c>
      <c r="L80" s="166" t="str">
        <f t="shared" si="23"/>
        <v/>
      </c>
      <c r="M80" s="163" t="str">
        <f t="shared" si="16"/>
        <v/>
      </c>
      <c r="N80" s="166">
        <f t="shared" si="29"/>
        <v>34000</v>
      </c>
      <c r="O80" s="166">
        <f t="shared" si="30"/>
        <v>0</v>
      </c>
      <c r="P80" s="166">
        <f>IF(E80="","",SUM(O$5:O80))</f>
        <v>0</v>
      </c>
      <c r="Q80" s="166">
        <f>IF(E80="","",IF($F80=111,$N80,(SUMPRODUCT(G80:G$116,M80:M$116)+SUMPRODUCT(H80:H$116,N80:N$116))/H80))</f>
        <v>34000</v>
      </c>
      <c r="R80" s="166">
        <f>IF(E80="","",IF($F80=111,$O80,SUMPRODUCT(H80:H$116,O80:O$116)/H80))</f>
        <v>0</v>
      </c>
      <c r="S80" s="166">
        <f t="shared" si="24"/>
        <v>0</v>
      </c>
      <c r="T80" s="166">
        <f>IF(E80="","",IF($F80=111,0,SUMPRODUCT(H80:H$116,S80:S$116)/H80))</f>
        <v>0</v>
      </c>
      <c r="U80" s="166">
        <f t="shared" si="25"/>
        <v>34000</v>
      </c>
      <c r="V80" s="167" t="str">
        <f t="shared" si="26"/>
        <v/>
      </c>
    </row>
    <row r="81" spans="4:22" x14ac:dyDescent="0.3">
      <c r="D81" s="178">
        <v>76</v>
      </c>
      <c r="E81" s="95" t="str">
        <f t="shared" si="20"/>
        <v/>
      </c>
      <c r="F81" s="183" t="str">
        <f t="shared" si="21"/>
        <v/>
      </c>
      <c r="G81" s="162" t="str">
        <f>IF(E81="","",IF(E81=$B$10,0,VLOOKUP(F81,Life!$A$3:$R$113,7,FALSE)))</f>
        <v/>
      </c>
      <c r="H81" s="163" t="str">
        <f>IF(E81="","",IF($F81=111,0,VLOOKUP(F81,Life!$A$3:$R$113,8,FALSE)))</f>
        <v/>
      </c>
      <c r="I81" s="163" t="str">
        <f t="shared" si="27"/>
        <v/>
      </c>
      <c r="J81" s="163" t="str">
        <f t="shared" si="28"/>
        <v/>
      </c>
      <c r="K81" s="163" t="str">
        <f t="shared" si="22"/>
        <v/>
      </c>
      <c r="L81" s="163" t="str">
        <f t="shared" si="23"/>
        <v/>
      </c>
      <c r="M81" s="163" t="str">
        <f t="shared" si="16"/>
        <v/>
      </c>
      <c r="N81" s="163" t="str">
        <f t="shared" si="29"/>
        <v/>
      </c>
      <c r="O81" s="163" t="str">
        <f t="shared" si="30"/>
        <v/>
      </c>
      <c r="P81" s="163" t="str">
        <f>IF(E81="","",SUM(O$5:O81))</f>
        <v/>
      </c>
      <c r="Q81" s="163" t="str">
        <f>IF(E81="","",IF($F81=111,$N81,(SUMPRODUCT(G81:G$116,M81:M$116)+SUMPRODUCT(H81:H$116,N81:N$116))/H81))</f>
        <v/>
      </c>
      <c r="R81" s="163" t="str">
        <f>IF(E81="","",IF($F81=111,$O81,SUMPRODUCT(H81:H$116,O81:O$116)/H81))</f>
        <v/>
      </c>
      <c r="S81" s="163" t="str">
        <f t="shared" si="24"/>
        <v/>
      </c>
      <c r="T81" s="163" t="str">
        <f>IF(E81="","",IF($F81=111,0,SUMPRODUCT(H81:H$116,S81:S$116)/H81))</f>
        <v/>
      </c>
      <c r="U81" s="163" t="str">
        <f t="shared" si="25"/>
        <v/>
      </c>
      <c r="V81" s="164" t="str">
        <f t="shared" si="26"/>
        <v/>
      </c>
    </row>
    <row r="82" spans="4:22" x14ac:dyDescent="0.3">
      <c r="D82" s="178">
        <v>77</v>
      </c>
      <c r="E82" s="95" t="str">
        <f t="shared" si="20"/>
        <v/>
      </c>
      <c r="F82" s="183" t="str">
        <f t="shared" si="21"/>
        <v/>
      </c>
      <c r="G82" s="162" t="str">
        <f>IF(E82="","",IF(E82=$B$10,0,VLOOKUP(F82,Life!$A$3:$R$113,7,FALSE)))</f>
        <v/>
      </c>
      <c r="H82" s="163" t="str">
        <f>IF(E82="","",IF($F82=111,0,VLOOKUP(F82,Life!$A$3:$R$113,8,FALSE)))</f>
        <v/>
      </c>
      <c r="I82" s="163" t="str">
        <f t="shared" si="27"/>
        <v/>
      </c>
      <c r="J82" s="163" t="str">
        <f t="shared" si="28"/>
        <v/>
      </c>
      <c r="K82" s="163" t="str">
        <f t="shared" si="22"/>
        <v/>
      </c>
      <c r="L82" s="163" t="str">
        <f t="shared" si="23"/>
        <v/>
      </c>
      <c r="M82" s="163" t="str">
        <f t="shared" si="16"/>
        <v/>
      </c>
      <c r="N82" s="163" t="str">
        <f t="shared" si="29"/>
        <v/>
      </c>
      <c r="O82" s="163" t="str">
        <f t="shared" si="30"/>
        <v/>
      </c>
      <c r="P82" s="163" t="str">
        <f>IF(E82="","",SUM(O$5:O82))</f>
        <v/>
      </c>
      <c r="Q82" s="163" t="str">
        <f>IF(E82="","",IF($F82=111,$N82,(SUMPRODUCT(G82:G$116,M82:M$116)+SUMPRODUCT(H82:H$116,N82:N$116))/H82))</f>
        <v/>
      </c>
      <c r="R82" s="163" t="str">
        <f>IF(E82="","",IF($F82=111,$O82,SUMPRODUCT(H82:H$116,O82:O$116)/H82))</f>
        <v/>
      </c>
      <c r="S82" s="163" t="str">
        <f t="shared" si="24"/>
        <v/>
      </c>
      <c r="T82" s="163" t="str">
        <f>IF(E82="","",IF($F82=111,0,SUMPRODUCT(H82:H$116,S82:S$116)/H82))</f>
        <v/>
      </c>
      <c r="U82" s="163" t="str">
        <f t="shared" si="25"/>
        <v/>
      </c>
      <c r="V82" s="164" t="str">
        <f t="shared" si="26"/>
        <v/>
      </c>
    </row>
    <row r="83" spans="4:22" x14ac:dyDescent="0.3">
      <c r="D83" s="178">
        <v>78</v>
      </c>
      <c r="E83" s="95" t="str">
        <f t="shared" si="20"/>
        <v/>
      </c>
      <c r="F83" s="183" t="str">
        <f t="shared" si="21"/>
        <v/>
      </c>
      <c r="G83" s="162" t="str">
        <f>IF(E83="","",IF(E83=$B$10,0,VLOOKUP(F83,Life!$A$3:$R$113,7,FALSE)))</f>
        <v/>
      </c>
      <c r="H83" s="163" t="str">
        <f>IF(E83="","",IF($F83=111,0,VLOOKUP(F83,Life!$A$3:$R$113,8,FALSE)))</f>
        <v/>
      </c>
      <c r="I83" s="163" t="str">
        <f t="shared" si="27"/>
        <v/>
      </c>
      <c r="J83" s="163" t="str">
        <f t="shared" si="28"/>
        <v/>
      </c>
      <c r="K83" s="163" t="str">
        <f t="shared" si="22"/>
        <v/>
      </c>
      <c r="L83" s="163" t="str">
        <f t="shared" si="23"/>
        <v/>
      </c>
      <c r="M83" s="163" t="str">
        <f t="shared" si="16"/>
        <v/>
      </c>
      <c r="N83" s="163" t="str">
        <f t="shared" si="29"/>
        <v/>
      </c>
      <c r="O83" s="163" t="str">
        <f t="shared" si="30"/>
        <v/>
      </c>
      <c r="P83" s="163" t="str">
        <f>IF(E83="","",SUM(O$5:O83))</f>
        <v/>
      </c>
      <c r="Q83" s="163" t="str">
        <f>IF(E83="","",IF($F83=111,$N83,(SUMPRODUCT(G83:G$116,M83:M$116)+SUMPRODUCT(H83:H$116,N83:N$116))/H83))</f>
        <v/>
      </c>
      <c r="R83" s="163" t="str">
        <f>IF(E83="","",IF($F83=111,$O83,SUMPRODUCT(H83:H$116,O83:O$116)/H83))</f>
        <v/>
      </c>
      <c r="S83" s="163" t="str">
        <f t="shared" si="24"/>
        <v/>
      </c>
      <c r="T83" s="163" t="str">
        <f>IF(E83="","",IF($F83=111,0,SUMPRODUCT(H83:H$116,S83:S$116)/H83))</f>
        <v/>
      </c>
      <c r="U83" s="163" t="str">
        <f t="shared" si="25"/>
        <v/>
      </c>
      <c r="V83" s="164" t="str">
        <f t="shared" si="26"/>
        <v/>
      </c>
    </row>
    <row r="84" spans="4:22" x14ac:dyDescent="0.3">
      <c r="D84" s="178">
        <v>79</v>
      </c>
      <c r="E84" s="95" t="str">
        <f t="shared" si="20"/>
        <v/>
      </c>
      <c r="F84" s="183" t="str">
        <f t="shared" si="21"/>
        <v/>
      </c>
      <c r="G84" s="162" t="str">
        <f>IF(E84="","",IF(E84=$B$10,0,VLOOKUP(F84,Life!$A$3:$R$113,7,FALSE)))</f>
        <v/>
      </c>
      <c r="H84" s="163" t="str">
        <f>IF(E84="","",IF($F84=111,0,VLOOKUP(F84,Life!$A$3:$R$113,8,FALSE)))</f>
        <v/>
      </c>
      <c r="I84" s="163" t="str">
        <f t="shared" si="27"/>
        <v/>
      </c>
      <c r="J84" s="163" t="str">
        <f t="shared" si="28"/>
        <v/>
      </c>
      <c r="K84" s="163" t="str">
        <f t="shared" si="22"/>
        <v/>
      </c>
      <c r="L84" s="163" t="str">
        <f t="shared" si="23"/>
        <v/>
      </c>
      <c r="M84" s="163" t="str">
        <f t="shared" si="16"/>
        <v/>
      </c>
      <c r="N84" s="163" t="str">
        <f t="shared" si="29"/>
        <v/>
      </c>
      <c r="O84" s="163" t="str">
        <f t="shared" si="30"/>
        <v/>
      </c>
      <c r="P84" s="163" t="str">
        <f>IF(E84="","",SUM(O$5:O84))</f>
        <v/>
      </c>
      <c r="Q84" s="163" t="str">
        <f>IF(E84="","",IF($F84=111,$N84,(SUMPRODUCT(G84:G$116,M84:M$116)+SUMPRODUCT(H84:H$116,N84:N$116))/H84))</f>
        <v/>
      </c>
      <c r="R84" s="163" t="str">
        <f>IF(E84="","",IF($F84=111,$O84,SUMPRODUCT(H84:H$116,O84:O$116)/H84))</f>
        <v/>
      </c>
      <c r="S84" s="163" t="str">
        <f t="shared" si="24"/>
        <v/>
      </c>
      <c r="T84" s="163" t="str">
        <f>IF(E84="","",IF($F84=111,0,SUMPRODUCT(H84:H$116,S84:S$116)/H84))</f>
        <v/>
      </c>
      <c r="U84" s="163" t="str">
        <f t="shared" si="25"/>
        <v/>
      </c>
      <c r="V84" s="164" t="str">
        <f t="shared" si="26"/>
        <v/>
      </c>
    </row>
    <row r="85" spans="4:22" x14ac:dyDescent="0.3">
      <c r="D85" s="178">
        <v>80</v>
      </c>
      <c r="E85" s="184" t="str">
        <f t="shared" si="20"/>
        <v/>
      </c>
      <c r="F85" s="185" t="str">
        <f t="shared" si="21"/>
        <v/>
      </c>
      <c r="G85" s="165" t="str">
        <f>IF(E85="","",IF(E85=$B$10,0,VLOOKUP(F85,Life!$A$3:$R$113,7,FALSE)))</f>
        <v/>
      </c>
      <c r="H85" s="166" t="str">
        <f>IF(E85="","",IF($F85=111,0,VLOOKUP(F85,Life!$A$3:$R$113,8,FALSE)))</f>
        <v/>
      </c>
      <c r="I85" s="166" t="str">
        <f t="shared" si="27"/>
        <v/>
      </c>
      <c r="J85" s="166" t="str">
        <f t="shared" si="28"/>
        <v/>
      </c>
      <c r="K85" s="166" t="str">
        <f t="shared" si="22"/>
        <v/>
      </c>
      <c r="L85" s="166" t="str">
        <f t="shared" si="23"/>
        <v/>
      </c>
      <c r="M85" s="163" t="str">
        <f t="shared" si="16"/>
        <v/>
      </c>
      <c r="N85" s="166" t="str">
        <f t="shared" si="29"/>
        <v/>
      </c>
      <c r="O85" s="166" t="str">
        <f t="shared" si="30"/>
        <v/>
      </c>
      <c r="P85" s="166" t="str">
        <f>IF(E85="","",SUM(O$5:O85))</f>
        <v/>
      </c>
      <c r="Q85" s="166" t="str">
        <f>IF(E85="","",IF($F85=111,$N85,(SUMPRODUCT(G85:G$116,M85:M$116)+SUMPRODUCT(H85:H$116,N85:N$116))/H85))</f>
        <v/>
      </c>
      <c r="R85" s="166" t="str">
        <f>IF(E85="","",IF($F85=111,$O85,SUMPRODUCT(H85:H$116,O85:O$116)/H85))</f>
        <v/>
      </c>
      <c r="S85" s="166" t="str">
        <f t="shared" si="24"/>
        <v/>
      </c>
      <c r="T85" s="166" t="str">
        <f>IF(E85="","",IF($F85=111,0,SUMPRODUCT(H85:H$116,S85:S$116)/H85))</f>
        <v/>
      </c>
      <c r="U85" s="166" t="str">
        <f t="shared" si="25"/>
        <v/>
      </c>
      <c r="V85" s="167" t="str">
        <f t="shared" si="26"/>
        <v/>
      </c>
    </row>
    <row r="86" spans="4:22" x14ac:dyDescent="0.3">
      <c r="D86" s="178">
        <v>81</v>
      </c>
      <c r="E86" s="95" t="str">
        <f t="shared" si="20"/>
        <v/>
      </c>
      <c r="F86" s="183" t="str">
        <f t="shared" si="21"/>
        <v/>
      </c>
      <c r="G86" s="162" t="str">
        <f>IF(E86="","",IF(E86=$B$10,0,VLOOKUP(F86,Life!$A$3:$R$113,7,FALSE)))</f>
        <v/>
      </c>
      <c r="H86" s="163" t="str">
        <f>IF(E86="","",IF($F86=111,0,VLOOKUP(F86,Life!$A$3:$R$113,8,FALSE)))</f>
        <v/>
      </c>
      <c r="I86" s="163" t="str">
        <f t="shared" si="27"/>
        <v/>
      </c>
      <c r="J86" s="163" t="str">
        <f t="shared" si="28"/>
        <v/>
      </c>
      <c r="K86" s="163" t="str">
        <f t="shared" si="22"/>
        <v/>
      </c>
      <c r="L86" s="163" t="str">
        <f t="shared" si="23"/>
        <v/>
      </c>
      <c r="M86" s="163" t="str">
        <f t="shared" si="16"/>
        <v/>
      </c>
      <c r="N86" s="163" t="str">
        <f t="shared" si="29"/>
        <v/>
      </c>
      <c r="O86" s="163" t="str">
        <f t="shared" si="30"/>
        <v/>
      </c>
      <c r="P86" s="163" t="str">
        <f>IF(E86="","",SUM(O$5:O86))</f>
        <v/>
      </c>
      <c r="Q86" s="163" t="str">
        <f>IF(E86="","",IF($F86=111,$N86,(SUMPRODUCT(G86:G$116,M86:M$116)+SUMPRODUCT(H86:H$116,N86:N$116))/H86))</f>
        <v/>
      </c>
      <c r="R86" s="163" t="str">
        <f>IF(E86="","",IF($F86=111,$O86,SUMPRODUCT(H86:H$116,O86:O$116)/H86))</f>
        <v/>
      </c>
      <c r="S86" s="163" t="str">
        <f t="shared" si="24"/>
        <v/>
      </c>
      <c r="T86" s="163" t="str">
        <f>IF(E86="","",IF($F86=111,0,SUMPRODUCT(H86:H$116,S86:S$116)/H86))</f>
        <v/>
      </c>
      <c r="U86" s="163" t="str">
        <f t="shared" si="25"/>
        <v/>
      </c>
      <c r="V86" s="164" t="str">
        <f t="shared" si="26"/>
        <v/>
      </c>
    </row>
    <row r="87" spans="4:22" x14ac:dyDescent="0.3">
      <c r="D87" s="178">
        <v>82</v>
      </c>
      <c r="E87" s="95" t="str">
        <f t="shared" si="20"/>
        <v/>
      </c>
      <c r="F87" s="183" t="str">
        <f t="shared" si="21"/>
        <v/>
      </c>
      <c r="G87" s="162" t="str">
        <f>IF(E87="","",IF(E87=$B$10,0,VLOOKUP(F87,Life!$A$3:$R$113,7,FALSE)))</f>
        <v/>
      </c>
      <c r="H87" s="163" t="str">
        <f>IF(E87="","",IF($F87=111,0,VLOOKUP(F87,Life!$A$3:$R$113,8,FALSE)))</f>
        <v/>
      </c>
      <c r="I87" s="163" t="str">
        <f t="shared" si="27"/>
        <v/>
      </c>
      <c r="J87" s="163" t="str">
        <f t="shared" si="28"/>
        <v/>
      </c>
      <c r="K87" s="163" t="str">
        <f t="shared" si="22"/>
        <v/>
      </c>
      <c r="L87" s="163" t="str">
        <f t="shared" si="23"/>
        <v/>
      </c>
      <c r="M87" s="163" t="str">
        <f t="shared" si="16"/>
        <v/>
      </c>
      <c r="N87" s="163" t="str">
        <f t="shared" si="29"/>
        <v/>
      </c>
      <c r="O87" s="163" t="str">
        <f t="shared" si="30"/>
        <v/>
      </c>
      <c r="P87" s="163" t="str">
        <f>IF(E87="","",SUM(O$5:O87))</f>
        <v/>
      </c>
      <c r="Q87" s="163" t="str">
        <f>IF(E87="","",IF($F87=111,$N87,(SUMPRODUCT(G87:G$116,M87:M$116)+SUMPRODUCT(H87:H$116,N87:N$116))/H87))</f>
        <v/>
      </c>
      <c r="R87" s="163" t="str">
        <f>IF(E87="","",IF($F87=111,$O87,SUMPRODUCT(H87:H$116,O87:O$116)/H87))</f>
        <v/>
      </c>
      <c r="S87" s="163" t="str">
        <f t="shared" si="24"/>
        <v/>
      </c>
      <c r="T87" s="163" t="str">
        <f>IF(E87="","",IF($F87=111,0,SUMPRODUCT(H87:H$116,S87:S$116)/H87))</f>
        <v/>
      </c>
      <c r="U87" s="163" t="str">
        <f t="shared" si="25"/>
        <v/>
      </c>
      <c r="V87" s="164" t="str">
        <f t="shared" si="26"/>
        <v/>
      </c>
    </row>
    <row r="88" spans="4:22" x14ac:dyDescent="0.3">
      <c r="D88" s="178">
        <v>83</v>
      </c>
      <c r="E88" s="95" t="str">
        <f t="shared" si="20"/>
        <v/>
      </c>
      <c r="F88" s="183" t="str">
        <f t="shared" si="21"/>
        <v/>
      </c>
      <c r="G88" s="162" t="str">
        <f>IF(E88="","",IF(E88=$B$10,0,VLOOKUP(F88,Life!$A$3:$R$113,7,FALSE)))</f>
        <v/>
      </c>
      <c r="H88" s="163" t="str">
        <f>IF(E88="","",IF($F88=111,0,VLOOKUP(F88,Life!$A$3:$R$113,8,FALSE)))</f>
        <v/>
      </c>
      <c r="I88" s="163" t="str">
        <f t="shared" si="27"/>
        <v/>
      </c>
      <c r="J88" s="163" t="str">
        <f t="shared" si="28"/>
        <v/>
      </c>
      <c r="K88" s="163" t="str">
        <f t="shared" si="22"/>
        <v/>
      </c>
      <c r="L88" s="163" t="str">
        <f t="shared" si="23"/>
        <v/>
      </c>
      <c r="M88" s="163" t="str">
        <f t="shared" si="16"/>
        <v/>
      </c>
      <c r="N88" s="163" t="str">
        <f t="shared" si="29"/>
        <v/>
      </c>
      <c r="O88" s="163" t="str">
        <f t="shared" si="30"/>
        <v/>
      </c>
      <c r="P88" s="163" t="str">
        <f>IF(E88="","",SUM(O$5:O88))</f>
        <v/>
      </c>
      <c r="Q88" s="163" t="str">
        <f>IF(E88="","",IF($F88=111,$N88,(SUMPRODUCT(G88:G$116,M88:M$116)+SUMPRODUCT(H88:H$116,N88:N$116))/H88))</f>
        <v/>
      </c>
      <c r="R88" s="163" t="str">
        <f>IF(E88="","",IF($F88=111,$O88,SUMPRODUCT(H88:H$116,O88:O$116)/H88))</f>
        <v/>
      </c>
      <c r="S88" s="163" t="str">
        <f t="shared" si="24"/>
        <v/>
      </c>
      <c r="T88" s="163" t="str">
        <f>IF(E88="","",IF($F88=111,0,SUMPRODUCT(H88:H$116,S88:S$116)/H88))</f>
        <v/>
      </c>
      <c r="U88" s="163" t="str">
        <f t="shared" si="25"/>
        <v/>
      </c>
      <c r="V88" s="164" t="str">
        <f t="shared" si="26"/>
        <v/>
      </c>
    </row>
    <row r="89" spans="4:22" x14ac:dyDescent="0.3">
      <c r="D89" s="178">
        <v>84</v>
      </c>
      <c r="E89" s="95" t="str">
        <f t="shared" si="20"/>
        <v/>
      </c>
      <c r="F89" s="183" t="str">
        <f t="shared" si="21"/>
        <v/>
      </c>
      <c r="G89" s="162" t="str">
        <f>IF(E89="","",IF(E89=$B$10,0,VLOOKUP(F89,Life!$A$3:$R$113,7,FALSE)))</f>
        <v/>
      </c>
      <c r="H89" s="163" t="str">
        <f>IF(E89="","",IF($F89=111,0,VLOOKUP(F89,Life!$A$3:$R$113,8,FALSE)))</f>
        <v/>
      </c>
      <c r="I89" s="163" t="str">
        <f t="shared" si="27"/>
        <v/>
      </c>
      <c r="J89" s="163" t="str">
        <f t="shared" si="28"/>
        <v/>
      </c>
      <c r="K89" s="163" t="str">
        <f t="shared" si="22"/>
        <v/>
      </c>
      <c r="L89" s="163" t="str">
        <f t="shared" si="23"/>
        <v/>
      </c>
      <c r="M89" s="163" t="str">
        <f t="shared" si="16"/>
        <v/>
      </c>
      <c r="N89" s="163" t="str">
        <f t="shared" si="29"/>
        <v/>
      </c>
      <c r="O89" s="163" t="str">
        <f t="shared" si="30"/>
        <v/>
      </c>
      <c r="P89" s="163" t="str">
        <f>IF(E89="","",SUM(O$5:O89))</f>
        <v/>
      </c>
      <c r="Q89" s="163" t="str">
        <f>IF(E89="","",IF($F89=111,$N89,(SUMPRODUCT(G89:G$116,M89:M$116)+SUMPRODUCT(H89:H$116,N89:N$116))/H89))</f>
        <v/>
      </c>
      <c r="R89" s="163" t="str">
        <f>IF(E89="","",IF($F89=111,$O89,SUMPRODUCT(H89:H$116,O89:O$116)/H89))</f>
        <v/>
      </c>
      <c r="S89" s="163" t="str">
        <f t="shared" si="24"/>
        <v/>
      </c>
      <c r="T89" s="163" t="str">
        <f>IF(E89="","",IF($F89=111,0,SUMPRODUCT(H89:H$116,S89:S$116)/H89))</f>
        <v/>
      </c>
      <c r="U89" s="163" t="str">
        <f t="shared" si="25"/>
        <v/>
      </c>
      <c r="V89" s="164" t="str">
        <f t="shared" si="26"/>
        <v/>
      </c>
    </row>
    <row r="90" spans="4:22" x14ac:dyDescent="0.3">
      <c r="D90" s="178">
        <v>85</v>
      </c>
      <c r="E90" s="184" t="str">
        <f t="shared" si="20"/>
        <v/>
      </c>
      <c r="F90" s="185" t="str">
        <f t="shared" si="21"/>
        <v/>
      </c>
      <c r="G90" s="165" t="str">
        <f>IF(E90="","",IF(E90=$B$10,0,VLOOKUP(F90,Life!$A$3:$R$113,7,FALSE)))</f>
        <v/>
      </c>
      <c r="H90" s="166" t="str">
        <f>IF(E90="","",IF($F90=111,0,VLOOKUP(F90,Life!$A$3:$R$113,8,FALSE)))</f>
        <v/>
      </c>
      <c r="I90" s="166" t="str">
        <f t="shared" si="27"/>
        <v/>
      </c>
      <c r="J90" s="166" t="str">
        <f t="shared" si="28"/>
        <v/>
      </c>
      <c r="K90" s="166" t="str">
        <f t="shared" si="22"/>
        <v/>
      </c>
      <c r="L90" s="166" t="str">
        <f t="shared" si="23"/>
        <v/>
      </c>
      <c r="M90" s="163" t="str">
        <f t="shared" si="16"/>
        <v/>
      </c>
      <c r="N90" s="166" t="str">
        <f t="shared" si="29"/>
        <v/>
      </c>
      <c r="O90" s="166" t="str">
        <f t="shared" si="30"/>
        <v/>
      </c>
      <c r="P90" s="166" t="str">
        <f>IF(E90="","",SUM(O$5:O90))</f>
        <v/>
      </c>
      <c r="Q90" s="166" t="str">
        <f>IF(E90="","",IF($F90=111,$N90,(SUMPRODUCT(G90:G$116,M90:M$116)+SUMPRODUCT(H90:H$116,N90:N$116))/H90))</f>
        <v/>
      </c>
      <c r="R90" s="166" t="str">
        <f>IF(E90="","",IF($F90=111,$O90,SUMPRODUCT(H90:H$116,O90:O$116)/H90))</f>
        <v/>
      </c>
      <c r="S90" s="166" t="str">
        <f t="shared" si="24"/>
        <v/>
      </c>
      <c r="T90" s="166" t="str">
        <f>IF(E90="","",IF($F90=111,0,SUMPRODUCT(H90:H$116,S90:S$116)/H90))</f>
        <v/>
      </c>
      <c r="U90" s="166" t="str">
        <f t="shared" si="25"/>
        <v/>
      </c>
      <c r="V90" s="167" t="str">
        <f t="shared" si="26"/>
        <v/>
      </c>
    </row>
    <row r="91" spans="4:22" x14ac:dyDescent="0.3">
      <c r="D91" s="178">
        <v>86</v>
      </c>
      <c r="E91" s="95" t="str">
        <f t="shared" si="20"/>
        <v/>
      </c>
      <c r="F91" s="183" t="str">
        <f t="shared" si="21"/>
        <v/>
      </c>
      <c r="G91" s="162" t="str">
        <f>IF(E91="","",IF(E91=$B$10,0,VLOOKUP(F91,Life!$A$3:$R$113,7,FALSE)))</f>
        <v/>
      </c>
      <c r="H91" s="163" t="str">
        <f>IF(E91="","",IF($F91=111,0,VLOOKUP(F91,Life!$A$3:$R$113,8,FALSE)))</f>
        <v/>
      </c>
      <c r="I91" s="163" t="str">
        <f t="shared" si="27"/>
        <v/>
      </c>
      <c r="J91" s="163" t="str">
        <f t="shared" si="28"/>
        <v/>
      </c>
      <c r="K91" s="163" t="str">
        <f t="shared" si="22"/>
        <v/>
      </c>
      <c r="L91" s="163" t="str">
        <f t="shared" si="23"/>
        <v/>
      </c>
      <c r="M91" s="163" t="str">
        <f t="shared" si="16"/>
        <v/>
      </c>
      <c r="N91" s="163" t="str">
        <f t="shared" si="29"/>
        <v/>
      </c>
      <c r="O91" s="163" t="str">
        <f t="shared" si="30"/>
        <v/>
      </c>
      <c r="P91" s="163" t="str">
        <f>IF(E91="","",SUM(O$5:O91))</f>
        <v/>
      </c>
      <c r="Q91" s="163" t="str">
        <f>IF(E91="","",IF($F91=111,$N91,(SUMPRODUCT(G91:G$116,M91:M$116)+SUMPRODUCT(H91:H$116,N91:N$116))/H91))</f>
        <v/>
      </c>
      <c r="R91" s="163" t="str">
        <f>IF(E91="","",IF($F91=111,$O91,SUMPRODUCT(H91:H$116,O91:O$116)/H91))</f>
        <v/>
      </c>
      <c r="S91" s="163" t="str">
        <f t="shared" si="24"/>
        <v/>
      </c>
      <c r="T91" s="163" t="str">
        <f>IF(E91="","",IF($F91=111,0,SUMPRODUCT(H91:H$116,S91:S$116)/H91))</f>
        <v/>
      </c>
      <c r="U91" s="163" t="str">
        <f t="shared" si="25"/>
        <v/>
      </c>
      <c r="V91" s="164" t="str">
        <f t="shared" si="26"/>
        <v/>
      </c>
    </row>
    <row r="92" spans="4:22" x14ac:dyDescent="0.3">
      <c r="D92" s="178">
        <v>87</v>
      </c>
      <c r="E92" s="95" t="str">
        <f t="shared" si="20"/>
        <v/>
      </c>
      <c r="F92" s="183" t="str">
        <f t="shared" si="21"/>
        <v/>
      </c>
      <c r="G92" s="162" t="str">
        <f>IF(E92="","",IF(E92=$B$10,0,VLOOKUP(F92,Life!$A$3:$R$113,7,FALSE)))</f>
        <v/>
      </c>
      <c r="H92" s="163" t="str">
        <f>IF(E92="","",IF($F92=111,0,VLOOKUP(F92,Life!$A$3:$R$113,8,FALSE)))</f>
        <v/>
      </c>
      <c r="I92" s="163" t="str">
        <f t="shared" si="27"/>
        <v/>
      </c>
      <c r="J92" s="163" t="str">
        <f t="shared" si="28"/>
        <v/>
      </c>
      <c r="K92" s="163" t="str">
        <f t="shared" si="22"/>
        <v/>
      </c>
      <c r="L92" s="163" t="str">
        <f t="shared" si="23"/>
        <v/>
      </c>
      <c r="M92" s="163" t="str">
        <f t="shared" si="16"/>
        <v/>
      </c>
      <c r="N92" s="163" t="str">
        <f t="shared" si="29"/>
        <v/>
      </c>
      <c r="O92" s="163" t="str">
        <f t="shared" si="30"/>
        <v/>
      </c>
      <c r="P92" s="163" t="str">
        <f>IF(E92="","",SUM(O$5:O92))</f>
        <v/>
      </c>
      <c r="Q92" s="163" t="str">
        <f>IF(E92="","",IF($F92=111,$N92,(SUMPRODUCT(G92:G$116,M92:M$116)+SUMPRODUCT(H92:H$116,N92:N$116))/H92))</f>
        <v/>
      </c>
      <c r="R92" s="163" t="str">
        <f>IF(E92="","",IF($F92=111,$O92,SUMPRODUCT(H92:H$116,O92:O$116)/H92))</f>
        <v/>
      </c>
      <c r="S92" s="163" t="str">
        <f t="shared" si="24"/>
        <v/>
      </c>
      <c r="T92" s="163" t="str">
        <f>IF(E92="","",IF($F92=111,0,SUMPRODUCT(H92:H$116,S92:S$116)/H92))</f>
        <v/>
      </c>
      <c r="U92" s="163" t="str">
        <f t="shared" si="25"/>
        <v/>
      </c>
      <c r="V92" s="164" t="str">
        <f t="shared" si="26"/>
        <v/>
      </c>
    </row>
    <row r="93" spans="4:22" x14ac:dyDescent="0.3">
      <c r="D93" s="178">
        <v>88</v>
      </c>
      <c r="E93" s="95" t="str">
        <f t="shared" si="20"/>
        <v/>
      </c>
      <c r="F93" s="183" t="str">
        <f t="shared" si="21"/>
        <v/>
      </c>
      <c r="G93" s="162" t="str">
        <f>IF(E93="","",IF(E93=$B$10,0,VLOOKUP(F93,Life!$A$3:$R$113,7,FALSE)))</f>
        <v/>
      </c>
      <c r="H93" s="163" t="str">
        <f>IF(E93="","",IF($F93=111,0,VLOOKUP(F93,Life!$A$3:$R$113,8,FALSE)))</f>
        <v/>
      </c>
      <c r="I93" s="163" t="str">
        <f t="shared" si="27"/>
        <v/>
      </c>
      <c r="J93" s="163" t="str">
        <f t="shared" si="28"/>
        <v/>
      </c>
      <c r="K93" s="163" t="str">
        <f t="shared" si="22"/>
        <v/>
      </c>
      <c r="L93" s="163" t="str">
        <f t="shared" si="23"/>
        <v/>
      </c>
      <c r="M93" s="163" t="str">
        <f t="shared" si="16"/>
        <v/>
      </c>
      <c r="N93" s="163" t="str">
        <f t="shared" si="29"/>
        <v/>
      </c>
      <c r="O93" s="163" t="str">
        <f t="shared" si="30"/>
        <v/>
      </c>
      <c r="P93" s="163" t="str">
        <f>IF(E93="","",SUM(O$5:O93))</f>
        <v/>
      </c>
      <c r="Q93" s="163" t="str">
        <f>IF(E93="","",IF($F93=111,$N93,(SUMPRODUCT(G93:G$116,M93:M$116)+SUMPRODUCT(H93:H$116,N93:N$116))/H93))</f>
        <v/>
      </c>
      <c r="R93" s="163" t="str">
        <f>IF(E93="","",IF($F93=111,$O93,SUMPRODUCT(H93:H$116,O93:O$116)/H93))</f>
        <v/>
      </c>
      <c r="S93" s="163" t="str">
        <f t="shared" si="24"/>
        <v/>
      </c>
      <c r="T93" s="163" t="str">
        <f>IF(E93="","",IF($F93=111,0,SUMPRODUCT(H93:H$116,S93:S$116)/H93))</f>
        <v/>
      </c>
      <c r="U93" s="163" t="str">
        <f t="shared" si="25"/>
        <v/>
      </c>
      <c r="V93" s="164" t="str">
        <f t="shared" si="26"/>
        <v/>
      </c>
    </row>
    <row r="94" spans="4:22" x14ac:dyDescent="0.3">
      <c r="D94" s="178">
        <v>89</v>
      </c>
      <c r="E94" s="95" t="str">
        <f t="shared" si="20"/>
        <v/>
      </c>
      <c r="F94" s="183" t="str">
        <f t="shared" si="21"/>
        <v/>
      </c>
      <c r="G94" s="162" t="str">
        <f>IF(E94="","",IF(E94=$B$10,0,VLOOKUP(F94,Life!$A$3:$R$113,7,FALSE)))</f>
        <v/>
      </c>
      <c r="H94" s="163" t="str">
        <f>IF(E94="","",IF($F94=111,0,VLOOKUP(F94,Life!$A$3:$R$113,8,FALSE)))</f>
        <v/>
      </c>
      <c r="I94" s="163" t="str">
        <f t="shared" si="27"/>
        <v/>
      </c>
      <c r="J94" s="163" t="str">
        <f t="shared" si="28"/>
        <v/>
      </c>
      <c r="K94" s="163" t="str">
        <f t="shared" si="22"/>
        <v/>
      </c>
      <c r="L94" s="163" t="str">
        <f t="shared" si="23"/>
        <v/>
      </c>
      <c r="M94" s="163" t="str">
        <f t="shared" si="16"/>
        <v/>
      </c>
      <c r="N94" s="163" t="str">
        <f t="shared" si="29"/>
        <v/>
      </c>
      <c r="O94" s="163" t="str">
        <f t="shared" si="30"/>
        <v/>
      </c>
      <c r="P94" s="163" t="str">
        <f>IF(E94="","",SUM(O$5:O94))</f>
        <v/>
      </c>
      <c r="Q94" s="163" t="str">
        <f>IF(E94="","",IF($F94=111,$N94,(SUMPRODUCT(G94:G$116,M94:M$116)+SUMPRODUCT(H94:H$116,N94:N$116))/H94))</f>
        <v/>
      </c>
      <c r="R94" s="163" t="str">
        <f>IF(E94="","",IF($F94=111,$O94,SUMPRODUCT(H94:H$116,O94:O$116)/H94))</f>
        <v/>
      </c>
      <c r="S94" s="163" t="str">
        <f t="shared" si="24"/>
        <v/>
      </c>
      <c r="T94" s="163" t="str">
        <f>IF(E94="","",IF($F94=111,0,SUMPRODUCT(H94:H$116,S94:S$116)/H94))</f>
        <v/>
      </c>
      <c r="U94" s="163" t="str">
        <f t="shared" si="25"/>
        <v/>
      </c>
      <c r="V94" s="164" t="str">
        <f t="shared" si="26"/>
        <v/>
      </c>
    </row>
    <row r="95" spans="4:22" x14ac:dyDescent="0.3">
      <c r="D95" s="178">
        <v>90</v>
      </c>
      <c r="E95" s="184" t="str">
        <f t="shared" si="20"/>
        <v/>
      </c>
      <c r="F95" s="185" t="str">
        <f t="shared" si="21"/>
        <v/>
      </c>
      <c r="G95" s="165" t="str">
        <f>IF(E95="","",IF(E95=$B$10,0,VLOOKUP(F95,Life!$A$3:$R$113,7,FALSE)))</f>
        <v/>
      </c>
      <c r="H95" s="166" t="str">
        <f>IF(E95="","",IF($F95=111,0,VLOOKUP(F95,Life!$A$3:$R$113,8,FALSE)))</f>
        <v/>
      </c>
      <c r="I95" s="166" t="str">
        <f t="shared" si="27"/>
        <v/>
      </c>
      <c r="J95" s="166" t="str">
        <f t="shared" si="28"/>
        <v/>
      </c>
      <c r="K95" s="166" t="str">
        <f t="shared" si="22"/>
        <v/>
      </c>
      <c r="L95" s="166" t="str">
        <f t="shared" si="23"/>
        <v/>
      </c>
      <c r="M95" s="163" t="str">
        <f t="shared" si="16"/>
        <v/>
      </c>
      <c r="N95" s="166" t="str">
        <f t="shared" si="29"/>
        <v/>
      </c>
      <c r="O95" s="166" t="str">
        <f t="shared" si="30"/>
        <v/>
      </c>
      <c r="P95" s="166" t="str">
        <f>IF(E95="","",SUM(O$5:O95))</f>
        <v/>
      </c>
      <c r="Q95" s="166" t="str">
        <f>IF(E95="","",IF($F95=111,$N95,(SUMPRODUCT(G95:G$116,M95:M$116)+SUMPRODUCT(H95:H$116,N95:N$116))/H95))</f>
        <v/>
      </c>
      <c r="R95" s="166" t="str">
        <f>IF(E95="","",IF($F95=111,$O95,SUMPRODUCT(H95:H$116,O95:O$116)/H95))</f>
        <v/>
      </c>
      <c r="S95" s="166" t="str">
        <f t="shared" si="24"/>
        <v/>
      </c>
      <c r="T95" s="166" t="str">
        <f>IF(E95="","",IF($F95=111,0,SUMPRODUCT(H95:H$116,S95:S$116)/H95))</f>
        <v/>
      </c>
      <c r="U95" s="166" t="str">
        <f t="shared" si="25"/>
        <v/>
      </c>
      <c r="V95" s="167" t="str">
        <f t="shared" si="26"/>
        <v/>
      </c>
    </row>
    <row r="96" spans="4:22" x14ac:dyDescent="0.3">
      <c r="D96" s="178">
        <v>91</v>
      </c>
      <c r="E96" s="95" t="str">
        <f t="shared" si="20"/>
        <v/>
      </c>
      <c r="F96" s="183" t="str">
        <f t="shared" si="21"/>
        <v/>
      </c>
      <c r="G96" s="162" t="str">
        <f>IF(E96="","",IF(E96=$B$10,0,VLOOKUP(F96,Life!$A$3:$R$113,7,FALSE)))</f>
        <v/>
      </c>
      <c r="H96" s="163" t="str">
        <f>IF(E96="","",IF($F96=111,0,VLOOKUP(F96,Life!$A$3:$R$113,8,FALSE)))</f>
        <v/>
      </c>
      <c r="I96" s="163" t="str">
        <f t="shared" si="27"/>
        <v/>
      </c>
      <c r="J96" s="163" t="str">
        <f t="shared" si="28"/>
        <v/>
      </c>
      <c r="K96" s="163" t="str">
        <f t="shared" si="22"/>
        <v/>
      </c>
      <c r="L96" s="163" t="str">
        <f t="shared" si="23"/>
        <v/>
      </c>
      <c r="M96" s="163" t="str">
        <f t="shared" si="16"/>
        <v/>
      </c>
      <c r="N96" s="163" t="str">
        <f t="shared" si="29"/>
        <v/>
      </c>
      <c r="O96" s="163" t="str">
        <f t="shared" si="30"/>
        <v/>
      </c>
      <c r="P96" s="163" t="str">
        <f>IF(E96="","",SUM(O$5:O96))</f>
        <v/>
      </c>
      <c r="Q96" s="163" t="str">
        <f>IF(E96="","",IF($F96=111,$N96,(SUMPRODUCT(G96:G$116,M96:M$116)+SUMPRODUCT(H96:H$116,N96:N$116))/H96))</f>
        <v/>
      </c>
      <c r="R96" s="163" t="str">
        <f>IF(E96="","",IF($F96=111,$O96,SUMPRODUCT(H96:H$116,O96:O$116)/H96))</f>
        <v/>
      </c>
      <c r="S96" s="163" t="str">
        <f t="shared" si="24"/>
        <v/>
      </c>
      <c r="T96" s="163" t="str">
        <f>IF(E96="","",IF($F96=111,0,SUMPRODUCT(H96:H$116,S96:S$116)/H96))</f>
        <v/>
      </c>
      <c r="U96" s="163" t="str">
        <f t="shared" si="25"/>
        <v/>
      </c>
      <c r="V96" s="164" t="str">
        <f t="shared" si="26"/>
        <v/>
      </c>
    </row>
    <row r="97" spans="4:22" x14ac:dyDescent="0.3">
      <c r="D97" s="178">
        <v>92</v>
      </c>
      <c r="E97" s="95" t="str">
        <f t="shared" si="20"/>
        <v/>
      </c>
      <c r="F97" s="183" t="str">
        <f t="shared" si="21"/>
        <v/>
      </c>
      <c r="G97" s="162" t="str">
        <f>IF(E97="","",IF(E97=$B$10,0,VLOOKUP(F97,Life!$A$3:$R$113,7,FALSE)))</f>
        <v/>
      </c>
      <c r="H97" s="163" t="str">
        <f>IF(E97="","",IF($F97=111,0,VLOOKUP(F97,Life!$A$3:$R$113,8,FALSE)))</f>
        <v/>
      </c>
      <c r="I97" s="163" t="str">
        <f t="shared" si="27"/>
        <v/>
      </c>
      <c r="J97" s="163" t="str">
        <f t="shared" si="28"/>
        <v/>
      </c>
      <c r="K97" s="163" t="str">
        <f t="shared" si="22"/>
        <v/>
      </c>
      <c r="L97" s="163" t="str">
        <f t="shared" si="23"/>
        <v/>
      </c>
      <c r="M97" s="163" t="str">
        <f t="shared" si="16"/>
        <v/>
      </c>
      <c r="N97" s="163" t="str">
        <f t="shared" si="29"/>
        <v/>
      </c>
      <c r="O97" s="163" t="str">
        <f t="shared" si="30"/>
        <v/>
      </c>
      <c r="P97" s="163" t="str">
        <f>IF(E97="","",SUM(O$5:O97))</f>
        <v/>
      </c>
      <c r="Q97" s="163" t="str">
        <f>IF(E97="","",IF($F97=111,$N97,(SUMPRODUCT(G97:G$116,M97:M$116)+SUMPRODUCT(H97:H$116,N97:N$116))/H97))</f>
        <v/>
      </c>
      <c r="R97" s="163" t="str">
        <f>IF(E97="","",IF($F97=111,$O97,SUMPRODUCT(H97:H$116,O97:O$116)/H97))</f>
        <v/>
      </c>
      <c r="S97" s="163" t="str">
        <f t="shared" si="24"/>
        <v/>
      </c>
      <c r="T97" s="163" t="str">
        <f>IF(E97="","",IF($F97=111,0,SUMPRODUCT(H97:H$116,S97:S$116)/H97))</f>
        <v/>
      </c>
      <c r="U97" s="163" t="str">
        <f t="shared" si="25"/>
        <v/>
      </c>
      <c r="V97" s="164" t="str">
        <f t="shared" si="26"/>
        <v/>
      </c>
    </row>
    <row r="98" spans="4:22" x14ac:dyDescent="0.3">
      <c r="D98" s="178">
        <v>93</v>
      </c>
      <c r="E98" s="95" t="str">
        <f t="shared" si="20"/>
        <v/>
      </c>
      <c r="F98" s="183" t="str">
        <f t="shared" si="21"/>
        <v/>
      </c>
      <c r="G98" s="162" t="str">
        <f>IF(E98="","",IF(E98=$B$10,0,VLOOKUP(F98,Life!$A$3:$R$113,7,FALSE)))</f>
        <v/>
      </c>
      <c r="H98" s="163" t="str">
        <f>IF(E98="","",IF($F98=111,0,VLOOKUP(F98,Life!$A$3:$R$113,8,FALSE)))</f>
        <v/>
      </c>
      <c r="I98" s="163" t="str">
        <f t="shared" si="27"/>
        <v/>
      </c>
      <c r="J98" s="163" t="str">
        <f t="shared" si="28"/>
        <v/>
      </c>
      <c r="K98" s="163" t="str">
        <f t="shared" si="22"/>
        <v/>
      </c>
      <c r="L98" s="163" t="str">
        <f t="shared" si="23"/>
        <v/>
      </c>
      <c r="M98" s="163" t="str">
        <f t="shared" si="16"/>
        <v/>
      </c>
      <c r="N98" s="163" t="str">
        <f t="shared" si="29"/>
        <v/>
      </c>
      <c r="O98" s="163" t="str">
        <f t="shared" si="30"/>
        <v/>
      </c>
      <c r="P98" s="163" t="str">
        <f>IF(E98="","",SUM(O$5:O98))</f>
        <v/>
      </c>
      <c r="Q98" s="163" t="str">
        <f>IF(E98="","",IF($F98=111,$N98,(SUMPRODUCT(G98:G$116,M98:M$116)+SUMPRODUCT(H98:H$116,N98:N$116))/H98))</f>
        <v/>
      </c>
      <c r="R98" s="163" t="str">
        <f>IF(E98="","",IF($F98=111,$O98,SUMPRODUCT(H98:H$116,O98:O$116)/H98))</f>
        <v/>
      </c>
      <c r="S98" s="163" t="str">
        <f t="shared" si="24"/>
        <v/>
      </c>
      <c r="T98" s="163" t="str">
        <f>IF(E98="","",IF($F98=111,0,SUMPRODUCT(H98:H$116,S98:S$116)/H98))</f>
        <v/>
      </c>
      <c r="U98" s="163" t="str">
        <f t="shared" si="25"/>
        <v/>
      </c>
      <c r="V98" s="164" t="str">
        <f t="shared" si="26"/>
        <v/>
      </c>
    </row>
    <row r="99" spans="4:22" x14ac:dyDescent="0.3">
      <c r="D99" s="178">
        <v>94</v>
      </c>
      <c r="E99" s="95" t="str">
        <f t="shared" si="20"/>
        <v/>
      </c>
      <c r="F99" s="183" t="str">
        <f t="shared" si="21"/>
        <v/>
      </c>
      <c r="G99" s="162" t="str">
        <f>IF(E99="","",IF(E99=$B$10,0,VLOOKUP(F99,Life!$A$3:$R$113,7,FALSE)))</f>
        <v/>
      </c>
      <c r="H99" s="163" t="str">
        <f>IF(E99="","",IF($F99=111,0,VLOOKUP(F99,Life!$A$3:$R$113,8,FALSE)))</f>
        <v/>
      </c>
      <c r="I99" s="163" t="str">
        <f t="shared" si="27"/>
        <v/>
      </c>
      <c r="J99" s="163" t="str">
        <f t="shared" si="28"/>
        <v/>
      </c>
      <c r="K99" s="163" t="str">
        <f t="shared" si="22"/>
        <v/>
      </c>
      <c r="L99" s="163" t="str">
        <f t="shared" si="23"/>
        <v/>
      </c>
      <c r="M99" s="163" t="str">
        <f t="shared" si="16"/>
        <v/>
      </c>
      <c r="N99" s="163" t="str">
        <f t="shared" si="29"/>
        <v/>
      </c>
      <c r="O99" s="163" t="str">
        <f t="shared" si="30"/>
        <v/>
      </c>
      <c r="P99" s="163" t="str">
        <f>IF(E99="","",SUM(O$5:O99))</f>
        <v/>
      </c>
      <c r="Q99" s="163" t="str">
        <f>IF(E99="","",IF($F99=111,$N99,(SUMPRODUCT(G99:G$116,M99:M$116)+SUMPRODUCT(H99:H$116,N99:N$116))/H99))</f>
        <v/>
      </c>
      <c r="R99" s="163" t="str">
        <f>IF(E99="","",IF($F99=111,$O99,SUMPRODUCT(H99:H$116,O99:O$116)/H99))</f>
        <v/>
      </c>
      <c r="S99" s="163" t="str">
        <f t="shared" si="24"/>
        <v/>
      </c>
      <c r="T99" s="163" t="str">
        <f>IF(E99="","",IF($F99=111,0,SUMPRODUCT(H99:H$116,S99:S$116)/H99))</f>
        <v/>
      </c>
      <c r="U99" s="163" t="str">
        <f t="shared" si="25"/>
        <v/>
      </c>
      <c r="V99" s="164" t="str">
        <f t="shared" si="26"/>
        <v/>
      </c>
    </row>
    <row r="100" spans="4:22" x14ac:dyDescent="0.3">
      <c r="D100" s="178">
        <v>95</v>
      </c>
      <c r="E100" s="184" t="str">
        <f t="shared" si="20"/>
        <v/>
      </c>
      <c r="F100" s="185" t="str">
        <f t="shared" si="21"/>
        <v/>
      </c>
      <c r="G100" s="165" t="str">
        <f>IF(E100="","",IF(E100=$B$10,0,VLOOKUP(F100,Life!$A$3:$R$113,7,FALSE)))</f>
        <v/>
      </c>
      <c r="H100" s="166" t="str">
        <f>IF(E100="","",IF($F100=111,0,VLOOKUP(F100,Life!$A$3:$R$113,8,FALSE)))</f>
        <v/>
      </c>
      <c r="I100" s="166" t="str">
        <f t="shared" si="27"/>
        <v/>
      </c>
      <c r="J100" s="166" t="str">
        <f t="shared" si="28"/>
        <v/>
      </c>
      <c r="K100" s="166" t="str">
        <f t="shared" si="22"/>
        <v/>
      </c>
      <c r="L100" s="166" t="str">
        <f t="shared" si="23"/>
        <v/>
      </c>
      <c r="M100" s="163" t="str">
        <f t="shared" si="16"/>
        <v/>
      </c>
      <c r="N100" s="166" t="str">
        <f t="shared" si="29"/>
        <v/>
      </c>
      <c r="O100" s="166" t="str">
        <f t="shared" si="30"/>
        <v/>
      </c>
      <c r="P100" s="166" t="str">
        <f>IF(E100="","",SUM(O$5:O100))</f>
        <v/>
      </c>
      <c r="Q100" s="166" t="str">
        <f>IF(E100="","",IF($F100=111,$N100,(SUMPRODUCT(G100:G$116,M100:M$116)+SUMPRODUCT(H100:H$116,N100:N$116))/H100))</f>
        <v/>
      </c>
      <c r="R100" s="166" t="str">
        <f>IF(E100="","",IF($F100=111,$O100,SUMPRODUCT(H100:H$116,O100:O$116)/H100))</f>
        <v/>
      </c>
      <c r="S100" s="166" t="str">
        <f t="shared" si="24"/>
        <v/>
      </c>
      <c r="T100" s="166" t="str">
        <f>IF(E100="","",IF($F100=111,0,SUMPRODUCT(H100:H$116,S100:S$116)/H100))</f>
        <v/>
      </c>
      <c r="U100" s="166" t="str">
        <f t="shared" si="25"/>
        <v/>
      </c>
      <c r="V100" s="167" t="str">
        <f t="shared" si="26"/>
        <v/>
      </c>
    </row>
    <row r="101" spans="4:22" x14ac:dyDescent="0.3">
      <c r="D101" s="178">
        <v>96</v>
      </c>
      <c r="E101" s="95" t="str">
        <f t="shared" ref="E101:E116" si="31">IF(D101&lt;=$B$10,D101,"")</f>
        <v/>
      </c>
      <c r="F101" s="183" t="str">
        <f t="shared" ref="F101:F116" si="32">IF(E101="","",E101+$B$7)</f>
        <v/>
      </c>
      <c r="G101" s="162" t="str">
        <f>IF(E101="","",IF(E101=$B$10,0,VLOOKUP(F101,Life!$A$3:$R$113,7,FALSE)))</f>
        <v/>
      </c>
      <c r="H101" s="163" t="str">
        <f>IF(E101="","",IF($F101=111,0,VLOOKUP(F101,Life!$A$3:$R$113,8,FALSE)))</f>
        <v/>
      </c>
      <c r="I101" s="163" t="str">
        <f t="shared" si="27"/>
        <v/>
      </c>
      <c r="J101" s="163" t="str">
        <f t="shared" si="28"/>
        <v/>
      </c>
      <c r="K101" s="163" t="str">
        <f t="shared" ref="K101:K116" si="33">IF(E101&gt;=$B$10,"",IF(F101&lt;16,IF($K$3=0,MIN(E101+1,$B$9),((1+$K$3)^MIN(E101+1,$B$9)-1)/$K$3*(1+$K$3)^(MAX(E101+1-$B$9,0)+0.5)),0)*$B$12)</f>
        <v/>
      </c>
      <c r="L101" s="163" t="str">
        <f t="shared" ref="L101:L116" si="34">IF(E101&gt;=$B$10,"",IF(AND($L$3=1,E101+1&lt;=$B$9),0.5*$B$12,0))</f>
        <v/>
      </c>
      <c r="M101" s="163" t="str">
        <f t="shared" ref="M101:M102" si="35">IF(E101&gt;=$B$10,"",IF(F101&lt;16,K101,IFERROR(MAX(I101,IF(E101&lt;$B$9,0,J101),V101),0)+L101))</f>
        <v/>
      </c>
      <c r="N101" s="163" t="str">
        <f t="shared" si="29"/>
        <v/>
      </c>
      <c r="O101" s="163" t="str">
        <f t="shared" si="30"/>
        <v/>
      </c>
      <c r="P101" s="163" t="str">
        <f>IF(E101="","",SUM(O$5:O101))</f>
        <v/>
      </c>
      <c r="Q101" s="163" t="str">
        <f>IF(E101="","",IF($F101=111,$N101,(SUMPRODUCT(G101:G$116,M101:M$116)+SUMPRODUCT(H101:H$116,N101:N$116))/H101))</f>
        <v/>
      </c>
      <c r="R101" s="163" t="str">
        <f>IF(E101="","",IF($F101=111,$O101,SUMPRODUCT(H101:H$116,O101:O$116)/H101))</f>
        <v/>
      </c>
      <c r="S101" s="163" t="str">
        <f t="shared" ref="S101:S116" si="36">IF(E101="","",IF(E101&gt;=$B$9,0,IF(E101=0,$B$23,IF(E101&lt;$B$32,$B$24,$B$25))))</f>
        <v/>
      </c>
      <c r="T101" s="163" t="str">
        <f>IF(E101="","",IF($F101=111,0,SUMPRODUCT(H101:H$116,S101:S$116)/H101))</f>
        <v/>
      </c>
      <c r="U101" s="163" t="str">
        <f t="shared" ref="U101:U116" si="37">IF(E101="","",ROUND(Q101+R101-T101,0))</f>
        <v/>
      </c>
      <c r="V101" s="164" t="str">
        <f t="shared" ref="V101:V116" si="38">IF(E101&gt;=$B$10,"",(U101+S101-N101-O101+U102)/2)</f>
        <v/>
      </c>
    </row>
    <row r="102" spans="4:22" x14ac:dyDescent="0.3">
      <c r="D102" s="178">
        <v>97</v>
      </c>
      <c r="E102" s="95" t="str">
        <f t="shared" si="31"/>
        <v/>
      </c>
      <c r="F102" s="183" t="str">
        <f t="shared" si="32"/>
        <v/>
      </c>
      <c r="G102" s="162" t="str">
        <f>IF(E102="","",IF(E102=$B$10,0,VLOOKUP(F102,Life!$A$3:$R$113,7,FALSE)))</f>
        <v/>
      </c>
      <c r="H102" s="163" t="str">
        <f>IF(E102="","",IF($F102=111,0,VLOOKUP(F102,Life!$A$3:$R$113,8,FALSE)))</f>
        <v/>
      </c>
      <c r="I102" s="163" t="str">
        <f t="shared" si="27"/>
        <v/>
      </c>
      <c r="J102" s="163" t="str">
        <f t="shared" si="28"/>
        <v/>
      </c>
      <c r="K102" s="163" t="str">
        <f t="shared" si="33"/>
        <v/>
      </c>
      <c r="L102" s="163" t="str">
        <f t="shared" si="34"/>
        <v/>
      </c>
      <c r="M102" s="163" t="str">
        <f t="shared" si="35"/>
        <v/>
      </c>
      <c r="N102" s="163" t="str">
        <f t="shared" si="29"/>
        <v/>
      </c>
      <c r="O102" s="163" t="str">
        <f t="shared" si="30"/>
        <v/>
      </c>
      <c r="P102" s="163" t="str">
        <f>IF(E102="","",SUM(O$5:O102))</f>
        <v/>
      </c>
      <c r="Q102" s="163" t="str">
        <f>IF(E102="","",IF($F102=111,$N102,(SUMPRODUCT(G102:G$116,M102:M$116)+SUMPRODUCT(H102:H$116,N102:N$116))/H102))</f>
        <v/>
      </c>
      <c r="R102" s="163" t="str">
        <f>IF(E102="","",IF($F102=111,$O102,SUMPRODUCT(H102:H$116,O102:O$116)/H102))</f>
        <v/>
      </c>
      <c r="S102" s="163" t="str">
        <f t="shared" si="36"/>
        <v/>
      </c>
      <c r="T102" s="163" t="str">
        <f>IF(E102="","",IF($F102=111,0,SUMPRODUCT(H102:H$116,S102:S$116)/H102))</f>
        <v/>
      </c>
      <c r="U102" s="163" t="str">
        <f t="shared" si="37"/>
        <v/>
      </c>
      <c r="V102" s="164" t="str">
        <f t="shared" si="38"/>
        <v/>
      </c>
    </row>
    <row r="103" spans="4:22" x14ac:dyDescent="0.3">
      <c r="D103" s="178">
        <v>98</v>
      </c>
      <c r="E103" s="95" t="str">
        <f t="shared" si="31"/>
        <v/>
      </c>
      <c r="F103" s="183" t="str">
        <f t="shared" si="32"/>
        <v/>
      </c>
      <c r="G103" s="162" t="str">
        <f>IF(E103="","",IF(E103=$B$10,0,VLOOKUP(F103,Life!$A$3:$R$113,7,FALSE)))</f>
        <v/>
      </c>
      <c r="H103" s="163" t="str">
        <f>IF(E103="","",IF($F103=111,0,VLOOKUP(F103,Life!$A$3:$R$113,8,FALSE)))</f>
        <v/>
      </c>
      <c r="I103" s="163" t="str">
        <f t="shared" si="27"/>
        <v/>
      </c>
      <c r="J103" s="163" t="str">
        <f t="shared" si="28"/>
        <v/>
      </c>
      <c r="K103" s="163" t="str">
        <f t="shared" si="33"/>
        <v/>
      </c>
      <c r="L103" s="163" t="str">
        <f t="shared" si="34"/>
        <v/>
      </c>
      <c r="M103" s="163" t="str">
        <f t="shared" ref="M103:M115" si="39">IF(E103&gt;=$B$10,"",IF(F103&lt;16,K103,IFERROR(MAX(I103,IF(E103&lt;$B$9,0,J103),V103),0)+L103))</f>
        <v/>
      </c>
      <c r="N103" s="163" t="str">
        <f t="shared" si="29"/>
        <v/>
      </c>
      <c r="O103" s="163" t="str">
        <f t="shared" si="30"/>
        <v/>
      </c>
      <c r="P103" s="163" t="str">
        <f>IF(E103="","",SUM(O$5:O103))</f>
        <v/>
      </c>
      <c r="Q103" s="163" t="str">
        <f>IF(E103="","",IF($F103=111,$N103,(SUMPRODUCT(G103:G$116,M103:M$116)+SUMPRODUCT(H103:H$116,N103:N$116))/H103))</f>
        <v/>
      </c>
      <c r="R103" s="163" t="str">
        <f>IF(E103="","",IF($F103=111,$O103,SUMPRODUCT(H103:H$116,O103:O$116)/H103))</f>
        <v/>
      </c>
      <c r="S103" s="163" t="str">
        <f t="shared" si="36"/>
        <v/>
      </c>
      <c r="T103" s="163" t="str">
        <f>IF(E103="","",IF($F103=111,0,SUMPRODUCT(H103:H$116,S103:S$116)/H103))</f>
        <v/>
      </c>
      <c r="U103" s="163" t="str">
        <f t="shared" si="37"/>
        <v/>
      </c>
      <c r="V103" s="164" t="str">
        <f t="shared" si="38"/>
        <v/>
      </c>
    </row>
    <row r="104" spans="4:22" x14ac:dyDescent="0.3">
      <c r="D104" s="178">
        <v>99</v>
      </c>
      <c r="E104" s="95" t="str">
        <f t="shared" si="31"/>
        <v/>
      </c>
      <c r="F104" s="183" t="str">
        <f t="shared" si="32"/>
        <v/>
      </c>
      <c r="G104" s="162" t="str">
        <f>IF(E104="","",IF(E104=$B$10,0,VLOOKUP(F104,Life!$A$3:$R$113,7,FALSE)))</f>
        <v/>
      </c>
      <c r="H104" s="163" t="str">
        <f>IF(E104="","",IF($F104=111,0,VLOOKUP(F104,Life!$A$3:$R$113,8,FALSE)))</f>
        <v/>
      </c>
      <c r="I104" s="163" t="str">
        <f t="shared" si="27"/>
        <v/>
      </c>
      <c r="J104" s="163" t="str">
        <f t="shared" si="28"/>
        <v/>
      </c>
      <c r="K104" s="163" t="str">
        <f t="shared" si="33"/>
        <v/>
      </c>
      <c r="L104" s="163" t="str">
        <f t="shared" si="34"/>
        <v/>
      </c>
      <c r="M104" s="163" t="str">
        <f t="shared" si="39"/>
        <v/>
      </c>
      <c r="N104" s="163" t="str">
        <f t="shared" si="29"/>
        <v/>
      </c>
      <c r="O104" s="163" t="str">
        <f t="shared" si="30"/>
        <v/>
      </c>
      <c r="P104" s="163" t="str">
        <f>IF(E104="","",SUM(O$5:O104))</f>
        <v/>
      </c>
      <c r="Q104" s="163" t="str">
        <f>IF(E104="","",IF($F104=111,$N104,(SUMPRODUCT(G104:G$116,M104:M$116)+SUMPRODUCT(H104:H$116,N104:N$116))/H104))</f>
        <v/>
      </c>
      <c r="R104" s="163" t="str">
        <f>IF(E104="","",IF($F104=111,$O104,SUMPRODUCT(H104:H$116,O104:O$116)/H104))</f>
        <v/>
      </c>
      <c r="S104" s="163" t="str">
        <f t="shared" si="36"/>
        <v/>
      </c>
      <c r="T104" s="163" t="str">
        <f>IF(E104="","",IF($F104=111,0,SUMPRODUCT(H104:H$116,S104:S$116)/H104))</f>
        <v/>
      </c>
      <c r="U104" s="163" t="str">
        <f t="shared" si="37"/>
        <v/>
      </c>
      <c r="V104" s="164" t="str">
        <f t="shared" si="38"/>
        <v/>
      </c>
    </row>
    <row r="105" spans="4:22" x14ac:dyDescent="0.3">
      <c r="D105" s="178">
        <v>100</v>
      </c>
      <c r="E105" s="184" t="str">
        <f t="shared" si="31"/>
        <v/>
      </c>
      <c r="F105" s="185" t="str">
        <f t="shared" si="32"/>
        <v/>
      </c>
      <c r="G105" s="165" t="str">
        <f>IF(E105="","",IF(E105=$B$10,0,VLOOKUP(F105,Life!$A$3:$R$113,7,FALSE)))</f>
        <v/>
      </c>
      <c r="H105" s="166" t="str">
        <f>IF(E105="","",IF($F105=111,0,VLOOKUP(F105,Life!$A$3:$R$113,8,FALSE)))</f>
        <v/>
      </c>
      <c r="I105" s="166" t="str">
        <f t="shared" si="27"/>
        <v/>
      </c>
      <c r="J105" s="166" t="str">
        <f t="shared" si="28"/>
        <v/>
      </c>
      <c r="K105" s="166" t="str">
        <f t="shared" si="33"/>
        <v/>
      </c>
      <c r="L105" s="166" t="str">
        <f t="shared" si="34"/>
        <v/>
      </c>
      <c r="M105" s="166" t="str">
        <f t="shared" si="39"/>
        <v/>
      </c>
      <c r="N105" s="166" t="str">
        <f t="shared" si="29"/>
        <v/>
      </c>
      <c r="O105" s="166" t="str">
        <f t="shared" si="30"/>
        <v/>
      </c>
      <c r="P105" s="166" t="str">
        <f>IF(E105="","",SUM(O$5:O105))</f>
        <v/>
      </c>
      <c r="Q105" s="166" t="str">
        <f>IF(E105="","",IF($F105=111,$N105,(SUMPRODUCT(G105:G$116,M105:M$116)+SUMPRODUCT(H105:H$116,N105:N$116))/H105))</f>
        <v/>
      </c>
      <c r="R105" s="166" t="str">
        <f>IF(E105="","",IF($F105=111,$O105,SUMPRODUCT(H105:H$116,O105:O$116)/H105))</f>
        <v/>
      </c>
      <c r="S105" s="166" t="str">
        <f t="shared" si="36"/>
        <v/>
      </c>
      <c r="T105" s="166" t="str">
        <f>IF(E105="","",IF($F105=111,0,SUMPRODUCT(H105:H$116,S105:S$116)/H105))</f>
        <v/>
      </c>
      <c r="U105" s="166" t="str">
        <f t="shared" si="37"/>
        <v/>
      </c>
      <c r="V105" s="167" t="str">
        <f t="shared" si="38"/>
        <v/>
      </c>
    </row>
    <row r="106" spans="4:22" x14ac:dyDescent="0.3">
      <c r="D106" s="178">
        <v>101</v>
      </c>
      <c r="E106" s="95" t="str">
        <f t="shared" si="31"/>
        <v/>
      </c>
      <c r="F106" s="183" t="str">
        <f t="shared" si="32"/>
        <v/>
      </c>
      <c r="G106" s="162" t="str">
        <f>IF(E106="","",IF(E106=$B$10,0,VLOOKUP(F106,Life!$A$3:$R$113,7,FALSE)))</f>
        <v/>
      </c>
      <c r="H106" s="163" t="str">
        <f>IF(E106="","",IF($F106=111,0,VLOOKUP(F106,Life!$A$3:$R$113,8,FALSE)))</f>
        <v/>
      </c>
      <c r="I106" s="163" t="str">
        <f t="shared" si="27"/>
        <v/>
      </c>
      <c r="J106" s="163" t="str">
        <f t="shared" si="28"/>
        <v/>
      </c>
      <c r="K106" s="163" t="str">
        <f t="shared" si="33"/>
        <v/>
      </c>
      <c r="L106" s="163" t="str">
        <f t="shared" si="34"/>
        <v/>
      </c>
      <c r="M106" s="163" t="str">
        <f t="shared" si="39"/>
        <v/>
      </c>
      <c r="N106" s="163" t="str">
        <f t="shared" si="29"/>
        <v/>
      </c>
      <c r="O106" s="163" t="str">
        <f t="shared" si="30"/>
        <v/>
      </c>
      <c r="P106" s="163" t="str">
        <f>IF(E106="","",SUM(O$5:O106))</f>
        <v/>
      </c>
      <c r="Q106" s="163" t="str">
        <f>IF(E106="","",IF($F106=111,$N106,(SUMPRODUCT(G106:G$116,M106:M$116)+SUMPRODUCT(H106:H$116,N106:N$116))/H106))</f>
        <v/>
      </c>
      <c r="R106" s="163" t="str">
        <f>IF(E106="","",IF($F106=111,$O106,SUMPRODUCT(H106:H$116,O106:O$116)/H106))</f>
        <v/>
      </c>
      <c r="S106" s="163" t="str">
        <f t="shared" si="36"/>
        <v/>
      </c>
      <c r="T106" s="163" t="str">
        <f>IF(E106="","",IF($F106=111,0,SUMPRODUCT(H106:H$116,S106:S$116)/H106))</f>
        <v/>
      </c>
      <c r="U106" s="163" t="str">
        <f t="shared" si="37"/>
        <v/>
      </c>
      <c r="V106" s="164" t="str">
        <f t="shared" si="38"/>
        <v/>
      </c>
    </row>
    <row r="107" spans="4:22" x14ac:dyDescent="0.3">
      <c r="D107" s="178">
        <v>102</v>
      </c>
      <c r="E107" s="95" t="str">
        <f t="shared" si="31"/>
        <v/>
      </c>
      <c r="F107" s="183" t="str">
        <f t="shared" si="32"/>
        <v/>
      </c>
      <c r="G107" s="162" t="str">
        <f>IF(E107="","",IF(E107=$B$10,0,VLOOKUP(F107,Life!$A$3:$R$113,7,FALSE)))</f>
        <v/>
      </c>
      <c r="H107" s="163" t="str">
        <f>IF(E107="","",IF($F107=111,0,VLOOKUP(F107,Life!$A$3:$R$113,8,FALSE)))</f>
        <v/>
      </c>
      <c r="I107" s="163" t="str">
        <f t="shared" si="27"/>
        <v/>
      </c>
      <c r="J107" s="163" t="str">
        <f t="shared" si="28"/>
        <v/>
      </c>
      <c r="K107" s="163" t="str">
        <f t="shared" si="33"/>
        <v/>
      </c>
      <c r="L107" s="163" t="str">
        <f t="shared" si="34"/>
        <v/>
      </c>
      <c r="M107" s="163" t="str">
        <f t="shared" si="39"/>
        <v/>
      </c>
      <c r="N107" s="163" t="str">
        <f t="shared" si="29"/>
        <v/>
      </c>
      <c r="O107" s="163" t="str">
        <f t="shared" si="30"/>
        <v/>
      </c>
      <c r="P107" s="163" t="str">
        <f>IF(E107="","",SUM(O$5:O107))</f>
        <v/>
      </c>
      <c r="Q107" s="163" t="str">
        <f>IF(E107="","",IF($F107=111,$N107,(SUMPRODUCT(G107:G$116,M107:M$116)+SUMPRODUCT(H107:H$116,N107:N$116))/H107))</f>
        <v/>
      </c>
      <c r="R107" s="163" t="str">
        <f>IF(E107="","",IF($F107=111,$O107,SUMPRODUCT(H107:H$116,O107:O$116)/H107))</f>
        <v/>
      </c>
      <c r="S107" s="163" t="str">
        <f t="shared" si="36"/>
        <v/>
      </c>
      <c r="T107" s="163" t="str">
        <f>IF(E107="","",IF($F107=111,0,SUMPRODUCT(H107:H$116,S107:S$116)/H107))</f>
        <v/>
      </c>
      <c r="U107" s="163" t="str">
        <f t="shared" si="37"/>
        <v/>
      </c>
      <c r="V107" s="164" t="str">
        <f t="shared" si="38"/>
        <v/>
      </c>
    </row>
    <row r="108" spans="4:22" x14ac:dyDescent="0.3">
      <c r="D108" s="178">
        <v>103</v>
      </c>
      <c r="E108" s="95" t="str">
        <f t="shared" si="31"/>
        <v/>
      </c>
      <c r="F108" s="183" t="str">
        <f t="shared" si="32"/>
        <v/>
      </c>
      <c r="G108" s="162" t="str">
        <f>IF(E108="","",IF(E108=$B$10,0,VLOOKUP(F108,Life!$A$3:$R$113,7,FALSE)))</f>
        <v/>
      </c>
      <c r="H108" s="163" t="str">
        <f>IF(E108="","",IF($F108=111,0,VLOOKUP(F108,Life!$A$3:$R$113,8,FALSE)))</f>
        <v/>
      </c>
      <c r="I108" s="163" t="str">
        <f t="shared" si="27"/>
        <v/>
      </c>
      <c r="J108" s="163" t="str">
        <f t="shared" si="28"/>
        <v/>
      </c>
      <c r="K108" s="163" t="str">
        <f t="shared" si="33"/>
        <v/>
      </c>
      <c r="L108" s="163" t="str">
        <f t="shared" si="34"/>
        <v/>
      </c>
      <c r="M108" s="163" t="str">
        <f t="shared" si="39"/>
        <v/>
      </c>
      <c r="N108" s="163" t="str">
        <f t="shared" si="29"/>
        <v/>
      </c>
      <c r="O108" s="163" t="str">
        <f t="shared" si="30"/>
        <v/>
      </c>
      <c r="P108" s="163" t="str">
        <f>IF(E108="","",SUM(O$5:O108))</f>
        <v/>
      </c>
      <c r="Q108" s="163" t="str">
        <f>IF(E108="","",IF($F108=111,$N108,(SUMPRODUCT(G108:G$116,M108:M$116)+SUMPRODUCT(H108:H$116,N108:N$116))/H108))</f>
        <v/>
      </c>
      <c r="R108" s="163" t="str">
        <f>IF(E108="","",IF($F108=111,$O108,SUMPRODUCT(H108:H$116,O108:O$116)/H108))</f>
        <v/>
      </c>
      <c r="S108" s="163" t="str">
        <f t="shared" si="36"/>
        <v/>
      </c>
      <c r="T108" s="163" t="str">
        <f>IF(E108="","",IF($F108=111,0,SUMPRODUCT(H108:H$116,S108:S$116)/H108))</f>
        <v/>
      </c>
      <c r="U108" s="163" t="str">
        <f t="shared" si="37"/>
        <v/>
      </c>
      <c r="V108" s="164" t="str">
        <f t="shared" si="38"/>
        <v/>
      </c>
    </row>
    <row r="109" spans="4:22" x14ac:dyDescent="0.3">
      <c r="D109" s="178">
        <v>104</v>
      </c>
      <c r="E109" s="95" t="str">
        <f t="shared" si="31"/>
        <v/>
      </c>
      <c r="F109" s="183" t="str">
        <f t="shared" si="32"/>
        <v/>
      </c>
      <c r="G109" s="162" t="str">
        <f>IF(E109="","",IF(E109=$B$10,0,VLOOKUP(F109,Life!$A$3:$R$113,7,FALSE)))</f>
        <v/>
      </c>
      <c r="H109" s="163" t="str">
        <f>IF(E109="","",IF($F109=111,0,VLOOKUP(F109,Life!$A$3:$R$113,8,FALSE)))</f>
        <v/>
      </c>
      <c r="I109" s="163" t="str">
        <f t="shared" si="27"/>
        <v/>
      </c>
      <c r="J109" s="163" t="str">
        <f t="shared" si="28"/>
        <v/>
      </c>
      <c r="K109" s="163" t="str">
        <f t="shared" si="33"/>
        <v/>
      </c>
      <c r="L109" s="163" t="str">
        <f t="shared" si="34"/>
        <v/>
      </c>
      <c r="M109" s="163" t="str">
        <f t="shared" si="39"/>
        <v/>
      </c>
      <c r="N109" s="163" t="str">
        <f t="shared" si="29"/>
        <v/>
      </c>
      <c r="O109" s="163" t="str">
        <f t="shared" si="30"/>
        <v/>
      </c>
      <c r="P109" s="163" t="str">
        <f>IF(E109="","",SUM(O$5:O109))</f>
        <v/>
      </c>
      <c r="Q109" s="163" t="str">
        <f>IF(E109="","",IF($F109=111,$N109,(SUMPRODUCT(G109:G$116,M109:M$116)+SUMPRODUCT(H109:H$116,N109:N$116))/H109))</f>
        <v/>
      </c>
      <c r="R109" s="163" t="str">
        <f>IF(E109="","",IF($F109=111,$O109,SUMPRODUCT(H109:H$116,O109:O$116)/H109))</f>
        <v/>
      </c>
      <c r="S109" s="163" t="str">
        <f t="shared" si="36"/>
        <v/>
      </c>
      <c r="T109" s="163" t="str">
        <f>IF(E109="","",IF($F109=111,0,SUMPRODUCT(H109:H$116,S109:S$116)/H109))</f>
        <v/>
      </c>
      <c r="U109" s="163" t="str">
        <f t="shared" si="37"/>
        <v/>
      </c>
      <c r="V109" s="164" t="str">
        <f t="shared" si="38"/>
        <v/>
      </c>
    </row>
    <row r="110" spans="4:22" x14ac:dyDescent="0.3">
      <c r="D110" s="178">
        <v>105</v>
      </c>
      <c r="E110" s="184" t="str">
        <f t="shared" si="31"/>
        <v/>
      </c>
      <c r="F110" s="185" t="str">
        <f t="shared" si="32"/>
        <v/>
      </c>
      <c r="G110" s="165" t="str">
        <f>IF(E110="","",IF(E110=$B$10,0,VLOOKUP(F110,Life!$A$3:$R$113,7,FALSE)))</f>
        <v/>
      </c>
      <c r="H110" s="166" t="str">
        <f>IF(E110="","",IF($F110=111,0,VLOOKUP(F110,Life!$A$3:$R$113,8,FALSE)))</f>
        <v/>
      </c>
      <c r="I110" s="166" t="str">
        <f t="shared" si="27"/>
        <v/>
      </c>
      <c r="J110" s="166" t="str">
        <f t="shared" si="28"/>
        <v/>
      </c>
      <c r="K110" s="166" t="str">
        <f t="shared" si="33"/>
        <v/>
      </c>
      <c r="L110" s="166" t="str">
        <f t="shared" si="34"/>
        <v/>
      </c>
      <c r="M110" s="166" t="str">
        <f t="shared" si="39"/>
        <v/>
      </c>
      <c r="N110" s="166" t="str">
        <f t="shared" si="29"/>
        <v/>
      </c>
      <c r="O110" s="166" t="str">
        <f t="shared" si="30"/>
        <v/>
      </c>
      <c r="P110" s="166" t="str">
        <f>IF(E110="","",SUM(O$5:O110))</f>
        <v/>
      </c>
      <c r="Q110" s="166" t="str">
        <f>IF(E110="","",IF($F110=111,$N110,(SUMPRODUCT(G110:G$116,M110:M$116)+SUMPRODUCT(H110:H$116,N110:N$116))/H110))</f>
        <v/>
      </c>
      <c r="R110" s="166" t="str">
        <f>IF(E110="","",IF($F110=111,$O110,SUMPRODUCT(H110:H$116,O110:O$116)/H110))</f>
        <v/>
      </c>
      <c r="S110" s="166" t="str">
        <f t="shared" si="36"/>
        <v/>
      </c>
      <c r="T110" s="166" t="str">
        <f>IF(E110="","",IF($F110=111,0,SUMPRODUCT(H110:H$116,S110:S$116)/H110))</f>
        <v/>
      </c>
      <c r="U110" s="166" t="str">
        <f t="shared" si="37"/>
        <v/>
      </c>
      <c r="V110" s="167" t="str">
        <f t="shared" si="38"/>
        <v/>
      </c>
    </row>
    <row r="111" spans="4:22" x14ac:dyDescent="0.3">
      <c r="D111" s="178">
        <v>106</v>
      </c>
      <c r="E111" s="95" t="str">
        <f t="shared" si="31"/>
        <v/>
      </c>
      <c r="F111" s="183" t="str">
        <f t="shared" si="32"/>
        <v/>
      </c>
      <c r="G111" s="162" t="str">
        <f>IF(E111="","",IF(E111=$B$10,0,VLOOKUP(F111,Life!$A$3:$R$113,7,FALSE)))</f>
        <v/>
      </c>
      <c r="H111" s="163" t="str">
        <f>IF(E111="","",IF($F111=111,0,VLOOKUP(F111,Life!$A$3:$R$113,8,FALSE)))</f>
        <v/>
      </c>
      <c r="I111" s="163" t="str">
        <f t="shared" si="27"/>
        <v/>
      </c>
      <c r="J111" s="163" t="str">
        <f t="shared" si="28"/>
        <v/>
      </c>
      <c r="K111" s="163" t="str">
        <f t="shared" si="33"/>
        <v/>
      </c>
      <c r="L111" s="163" t="str">
        <f t="shared" si="34"/>
        <v/>
      </c>
      <c r="M111" s="163" t="str">
        <f t="shared" si="39"/>
        <v/>
      </c>
      <c r="N111" s="163" t="str">
        <f t="shared" ref="N111:N116" si="40">IF(E111="","",IF(E111=$B$10,I110,0))</f>
        <v/>
      </c>
      <c r="O111" s="163" t="str">
        <f t="shared" ref="O111:O116" si="41">IF(E111="","",0)</f>
        <v/>
      </c>
      <c r="P111" s="163" t="str">
        <f>IF(E111="","",SUM(O$5:O111))</f>
        <v/>
      </c>
      <c r="Q111" s="163" t="str">
        <f>IF(E111="","",IF($F111=111,$N111,(SUMPRODUCT(G111:G$116,M111:M$116)+SUMPRODUCT(H111:H$116,N111:N$116))/H111))</f>
        <v/>
      </c>
      <c r="R111" s="163" t="str">
        <f>IF(E111="","",IF($F111=111,$O111,SUMPRODUCT(H111:H$116,O111:O$116)/H111))</f>
        <v/>
      </c>
      <c r="S111" s="163" t="str">
        <f t="shared" si="36"/>
        <v/>
      </c>
      <c r="T111" s="163" t="str">
        <f>IF(E111="","",IF($F111=111,0,SUMPRODUCT(H111:H$116,S111:S$116)/H111))</f>
        <v/>
      </c>
      <c r="U111" s="163" t="str">
        <f t="shared" si="37"/>
        <v/>
      </c>
      <c r="V111" s="164" t="str">
        <f t="shared" si="38"/>
        <v/>
      </c>
    </row>
    <row r="112" spans="4:22" x14ac:dyDescent="0.3">
      <c r="D112" s="178">
        <v>107</v>
      </c>
      <c r="E112" s="95" t="str">
        <f t="shared" si="31"/>
        <v/>
      </c>
      <c r="F112" s="183" t="str">
        <f t="shared" si="32"/>
        <v/>
      </c>
      <c r="G112" s="162" t="str">
        <f>IF(E112="","",IF(E112=$B$10,0,VLOOKUP(F112,Life!$A$3:$R$113,7,FALSE)))</f>
        <v/>
      </c>
      <c r="H112" s="163" t="str">
        <f>IF(E112="","",IF($F112=111,0,VLOOKUP(F112,Life!$A$3:$R$113,8,FALSE)))</f>
        <v/>
      </c>
      <c r="I112" s="163" t="str">
        <f t="shared" si="27"/>
        <v/>
      </c>
      <c r="J112" s="163" t="str">
        <f t="shared" si="28"/>
        <v/>
      </c>
      <c r="K112" s="163" t="str">
        <f t="shared" si="33"/>
        <v/>
      </c>
      <c r="L112" s="163" t="str">
        <f t="shared" si="34"/>
        <v/>
      </c>
      <c r="M112" s="163" t="str">
        <f t="shared" si="39"/>
        <v/>
      </c>
      <c r="N112" s="163" t="str">
        <f t="shared" si="40"/>
        <v/>
      </c>
      <c r="O112" s="163" t="str">
        <f t="shared" si="41"/>
        <v/>
      </c>
      <c r="P112" s="163" t="str">
        <f>IF(E112="","",SUM(O$5:O112))</f>
        <v/>
      </c>
      <c r="Q112" s="163" t="str">
        <f>IF(E112="","",IF($F112=111,$N112,(SUMPRODUCT(G112:G$116,M112:M$116)+SUMPRODUCT(H112:H$116,N112:N$116))/H112))</f>
        <v/>
      </c>
      <c r="R112" s="163" t="str">
        <f>IF(E112="","",IF($F112=111,$O112,SUMPRODUCT(H112:H$116,O112:O$116)/H112))</f>
        <v/>
      </c>
      <c r="S112" s="163" t="str">
        <f t="shared" si="36"/>
        <v/>
      </c>
      <c r="T112" s="163" t="str">
        <f>IF(E112="","",IF($F112=111,0,SUMPRODUCT(H112:H$116,S112:S$116)/H112))</f>
        <v/>
      </c>
      <c r="U112" s="163" t="str">
        <f t="shared" si="37"/>
        <v/>
      </c>
      <c r="V112" s="164" t="str">
        <f t="shared" si="38"/>
        <v/>
      </c>
    </row>
    <row r="113" spans="4:22" x14ac:dyDescent="0.3">
      <c r="D113" s="178">
        <v>108</v>
      </c>
      <c r="E113" s="95" t="str">
        <f t="shared" si="31"/>
        <v/>
      </c>
      <c r="F113" s="183" t="str">
        <f t="shared" si="32"/>
        <v/>
      </c>
      <c r="G113" s="162" t="str">
        <f>IF(E113="","",IF(E113=$B$10,0,VLOOKUP(F113,Life!$A$3:$R$113,7,FALSE)))</f>
        <v/>
      </c>
      <c r="H113" s="163" t="str">
        <f>IF(E113="","",IF($F113=111,0,VLOOKUP(F113,Life!$A$3:$R$113,8,FALSE)))</f>
        <v/>
      </c>
      <c r="I113" s="163" t="str">
        <f t="shared" si="27"/>
        <v/>
      </c>
      <c r="J113" s="163" t="str">
        <f t="shared" si="28"/>
        <v/>
      </c>
      <c r="K113" s="163" t="str">
        <f t="shared" si="33"/>
        <v/>
      </c>
      <c r="L113" s="163" t="str">
        <f t="shared" si="34"/>
        <v/>
      </c>
      <c r="M113" s="163" t="str">
        <f t="shared" si="39"/>
        <v/>
      </c>
      <c r="N113" s="163" t="str">
        <f t="shared" si="40"/>
        <v/>
      </c>
      <c r="O113" s="163" t="str">
        <f t="shared" si="41"/>
        <v/>
      </c>
      <c r="P113" s="163" t="str">
        <f>IF(E113="","",SUM(O$5:O113))</f>
        <v/>
      </c>
      <c r="Q113" s="163" t="str">
        <f>IF(E113="","",IF($F113=111,$N113,(SUMPRODUCT(G113:G$116,M113:M$116)+SUMPRODUCT(H113:H$116,N113:N$116))/H113))</f>
        <v/>
      </c>
      <c r="R113" s="163" t="str">
        <f>IF(E113="","",IF($F113=111,$O113,SUMPRODUCT(H113:H$116,O113:O$116)/H113))</f>
        <v/>
      </c>
      <c r="S113" s="163" t="str">
        <f t="shared" si="36"/>
        <v/>
      </c>
      <c r="T113" s="163" t="str">
        <f>IF(E113="","",IF($F113=111,0,SUMPRODUCT(H113:H$116,S113:S$116)/H113))</f>
        <v/>
      </c>
      <c r="U113" s="163" t="str">
        <f t="shared" si="37"/>
        <v/>
      </c>
      <c r="V113" s="164" t="str">
        <f t="shared" si="38"/>
        <v/>
      </c>
    </row>
    <row r="114" spans="4:22" x14ac:dyDescent="0.3">
      <c r="D114" s="178">
        <v>109</v>
      </c>
      <c r="E114" s="95" t="str">
        <f t="shared" si="31"/>
        <v/>
      </c>
      <c r="F114" s="183" t="str">
        <f t="shared" si="32"/>
        <v/>
      </c>
      <c r="G114" s="162" t="str">
        <f>IF(E114="","",IF(E114=$B$10,0,VLOOKUP(F114,Life!$A$3:$R$113,7,FALSE)))</f>
        <v/>
      </c>
      <c r="H114" s="163" t="str">
        <f>IF(E114="","",IF($F114=111,0,VLOOKUP(F114,Life!$A$3:$R$113,8,FALSE)))</f>
        <v/>
      </c>
      <c r="I114" s="163" t="str">
        <f t="shared" si="27"/>
        <v/>
      </c>
      <c r="J114" s="163" t="str">
        <f t="shared" si="28"/>
        <v/>
      </c>
      <c r="K114" s="163" t="str">
        <f t="shared" si="33"/>
        <v/>
      </c>
      <c r="L114" s="163" t="str">
        <f t="shared" si="34"/>
        <v/>
      </c>
      <c r="M114" s="163" t="str">
        <f t="shared" si="39"/>
        <v/>
      </c>
      <c r="N114" s="163" t="str">
        <f t="shared" si="40"/>
        <v/>
      </c>
      <c r="O114" s="163" t="str">
        <f t="shared" si="41"/>
        <v/>
      </c>
      <c r="P114" s="163" t="str">
        <f>IF(E114="","",SUM(O$5:O114))</f>
        <v/>
      </c>
      <c r="Q114" s="163" t="str">
        <f>IF(E114="","",IF($F114=111,$N114,(SUMPRODUCT(G114:G$116,M114:M$116)+SUMPRODUCT(H114:H$116,N114:N$116))/H114))</f>
        <v/>
      </c>
      <c r="R114" s="163" t="str">
        <f>IF(E114="","",IF($F114=111,$O114,SUMPRODUCT(H114:H$116,O114:O$116)/H114))</f>
        <v/>
      </c>
      <c r="S114" s="163" t="str">
        <f t="shared" si="36"/>
        <v/>
      </c>
      <c r="T114" s="163" t="str">
        <f>IF(E114="","",IF($F114=111,0,SUMPRODUCT(H114:H$116,S114:S$116)/H114))</f>
        <v/>
      </c>
      <c r="U114" s="163" t="str">
        <f t="shared" si="37"/>
        <v/>
      </c>
      <c r="V114" s="164" t="str">
        <f t="shared" si="38"/>
        <v/>
      </c>
    </row>
    <row r="115" spans="4:22" x14ac:dyDescent="0.3">
      <c r="D115" s="178">
        <v>110</v>
      </c>
      <c r="E115" s="184" t="str">
        <f t="shared" si="31"/>
        <v/>
      </c>
      <c r="F115" s="185" t="str">
        <f t="shared" si="32"/>
        <v/>
      </c>
      <c r="G115" s="165" t="str">
        <f>IF(E115="","",IF(E115=$B$10,0,VLOOKUP(F115,Life!$A$3:$R$113,7,FALSE)))</f>
        <v/>
      </c>
      <c r="H115" s="166" t="str">
        <f>IF(E115="","",IF($F115=111,0,VLOOKUP(F115,Life!$A$3:$R$113,8,FALSE)))</f>
        <v/>
      </c>
      <c r="I115" s="166" t="str">
        <f t="shared" si="27"/>
        <v/>
      </c>
      <c r="J115" s="166" t="str">
        <f t="shared" si="28"/>
        <v/>
      </c>
      <c r="K115" s="166" t="str">
        <f t="shared" si="33"/>
        <v/>
      </c>
      <c r="L115" s="166" t="str">
        <f t="shared" si="34"/>
        <v/>
      </c>
      <c r="M115" s="166" t="str">
        <f t="shared" si="39"/>
        <v/>
      </c>
      <c r="N115" s="166" t="str">
        <f t="shared" si="40"/>
        <v/>
      </c>
      <c r="O115" s="166" t="str">
        <f t="shared" si="41"/>
        <v/>
      </c>
      <c r="P115" s="166" t="str">
        <f>IF(E115="","",SUM(O$5:O115))</f>
        <v/>
      </c>
      <c r="Q115" s="166" t="str">
        <f>IF(E115="","",IF($F115=111,$N115,(SUMPRODUCT(G115:G$116,M115:M$116)+SUMPRODUCT(H115:H$116,N115:N$116))/H115))</f>
        <v/>
      </c>
      <c r="R115" s="166" t="str">
        <f>IF(E115="","",IF($F115=111,$O115,SUMPRODUCT(H115:H$116,O115:O$116)/H115))</f>
        <v/>
      </c>
      <c r="S115" s="166" t="str">
        <f t="shared" si="36"/>
        <v/>
      </c>
      <c r="T115" s="166" t="str">
        <f>IF(E115="","",IF($F115=111,0,SUMPRODUCT(H115:H$116,S115:S$116)/H115))</f>
        <v/>
      </c>
      <c r="U115" s="166" t="str">
        <f t="shared" si="37"/>
        <v/>
      </c>
      <c r="V115" s="167" t="str">
        <f t="shared" si="38"/>
        <v/>
      </c>
    </row>
    <row r="116" spans="4:22" ht="15" thickBot="1" x14ac:dyDescent="0.35">
      <c r="D116" s="178">
        <v>111</v>
      </c>
      <c r="E116" s="96" t="str">
        <f t="shared" si="31"/>
        <v/>
      </c>
      <c r="F116" s="186" t="str">
        <f t="shared" si="32"/>
        <v/>
      </c>
      <c r="G116" s="168" t="str">
        <f>IF(E116="","",IF(E116=$B$10,0,VLOOKUP(F116,Life!$A$3:$R$113,7,FALSE)))</f>
        <v/>
      </c>
      <c r="H116" s="169" t="str">
        <f>IF(E116="","",IF($F116=111,0,VLOOKUP(F116,Life!$A$3:$R$113,8,FALSE)))</f>
        <v/>
      </c>
      <c r="I116" s="169" t="str">
        <f t="shared" si="27"/>
        <v/>
      </c>
      <c r="J116" s="169" t="str">
        <f t="shared" si="28"/>
        <v/>
      </c>
      <c r="K116" s="169" t="str">
        <f t="shared" si="33"/>
        <v/>
      </c>
      <c r="L116" s="169" t="str">
        <f t="shared" si="34"/>
        <v/>
      </c>
      <c r="M116" s="169" t="str">
        <f t="shared" ref="M116" si="42">IF(E116&gt;=$B$10,"",IF(F116&lt;16,K116,IFERROR(MAX(I116,J116,V116),0)+L116))</f>
        <v/>
      </c>
      <c r="N116" s="169" t="str">
        <f t="shared" si="40"/>
        <v/>
      </c>
      <c r="O116" s="169" t="str">
        <f t="shared" si="41"/>
        <v/>
      </c>
      <c r="P116" s="169" t="str">
        <f>IF(E116="","",SUM(O$5:O116))</f>
        <v/>
      </c>
      <c r="Q116" s="169" t="str">
        <f>IF(E116="","",IF($F116=111,$N116,(SUMPRODUCT(G116:G$116,M116:M$116)+SUMPRODUCT(H116:H$116,N116:N$116))/H116))</f>
        <v/>
      </c>
      <c r="R116" s="169" t="str">
        <f>IF(E116="","",IF($F116=111,$O116,SUMPRODUCT(H116:H$116,O116:O$116)/H116))</f>
        <v/>
      </c>
      <c r="S116" s="169" t="str">
        <f t="shared" si="36"/>
        <v/>
      </c>
      <c r="T116" s="169" t="str">
        <f>IF(E116="","",IF($F116=111,0,SUMPRODUCT(H116:H$116,S116:S$116)/H116))</f>
        <v/>
      </c>
      <c r="U116" s="169" t="str">
        <f t="shared" si="37"/>
        <v/>
      </c>
      <c r="V116" s="170" t="str">
        <f t="shared" si="38"/>
        <v/>
      </c>
    </row>
  </sheetData>
  <mergeCells count="5">
    <mergeCell ref="A1:J1"/>
    <mergeCell ref="A2:F2"/>
    <mergeCell ref="A5:B5"/>
    <mergeCell ref="A26:B26"/>
    <mergeCell ref="A36:B3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Fill="0" autoPict="0">
                <anchor moveWithCells="1">
                  <from>
                    <xdr:col>1</xdr:col>
                    <xdr:colOff>0</xdr:colOff>
                    <xdr:row>5</xdr:row>
                    <xdr:rowOff>7620</xdr:rowOff>
                  </from>
                  <to>
                    <xdr:col>1</xdr:col>
                    <xdr:colOff>533400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Drop Down 2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533400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Drop Down 3">
              <controlPr defaultSize="0" autoFill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533400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Drop Down 4">
              <controlPr defaultSize="0" autoFill="0" autoPict="0">
                <anchor moveWithCells="1">
                  <from>
                    <xdr:col>1</xdr:col>
                    <xdr:colOff>0</xdr:colOff>
                    <xdr:row>16</xdr:row>
                    <xdr:rowOff>15240</xdr:rowOff>
                  </from>
                  <to>
                    <xdr:col>1</xdr:col>
                    <xdr:colOff>533400</xdr:colOff>
                    <xdr:row>16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Drop Down 5">
              <controlPr defaultSize="0" autoFill="0" autoPict="0">
                <anchor moveWithCells="1">
                  <from>
                    <xdr:col>11</xdr:col>
                    <xdr:colOff>7620</xdr:colOff>
                    <xdr:row>2</xdr:row>
                    <xdr:rowOff>7620</xdr:rowOff>
                  </from>
                  <to>
                    <xdr:col>12</xdr:col>
                    <xdr:colOff>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16"/>
  <sheetViews>
    <sheetView showGridLines="0" zoomScaleNormal="100" workbookViewId="0">
      <pane xSplit="6" ySplit="4" topLeftCell="G5" activePane="bottomRight" state="frozenSplit"/>
      <selection activeCell="A2" sqref="A2:I2"/>
      <selection pane="topRight" activeCell="A2" sqref="A2:I2"/>
      <selection pane="bottomLeft" activeCell="A2" sqref="A2:I2"/>
      <selection pane="bottomRight" activeCell="P8" sqref="P8"/>
    </sheetView>
  </sheetViews>
  <sheetFormatPr defaultColWidth="7.88671875" defaultRowHeight="14.4" x14ac:dyDescent="0.3"/>
  <cols>
    <col min="1" max="2" width="8.88671875" style="35" customWidth="1"/>
    <col min="3" max="3" width="4.6640625" style="35" customWidth="1"/>
    <col min="4" max="4" width="4.6640625" style="35" hidden="1" customWidth="1"/>
    <col min="5" max="6" width="4.6640625" style="35" customWidth="1"/>
    <col min="7" max="7" width="8" style="35" bestFit="1" customWidth="1"/>
    <col min="8" max="8" width="10.109375" style="35" customWidth="1"/>
    <col min="9" max="19" width="8" style="35" bestFit="1" customWidth="1"/>
    <col min="20" max="16384" width="7.88671875" style="35"/>
  </cols>
  <sheetData>
    <row r="1" spans="1:19" ht="19.8" x14ac:dyDescent="0.3">
      <c r="A1" s="433" t="s">
        <v>14</v>
      </c>
      <c r="B1" s="433"/>
      <c r="C1" s="433"/>
      <c r="D1" s="433"/>
      <c r="E1" s="433"/>
      <c r="F1" s="433"/>
      <c r="G1" s="433"/>
      <c r="H1" s="433"/>
      <c r="I1" s="433"/>
      <c r="J1" s="433"/>
    </row>
    <row r="2" spans="1:19" ht="16.2" x14ac:dyDescent="0.3">
      <c r="A2" s="432" t="s">
        <v>146</v>
      </c>
      <c r="B2" s="432"/>
      <c r="C2" s="432"/>
      <c r="D2" s="432"/>
      <c r="E2" s="432"/>
      <c r="F2" s="432"/>
    </row>
    <row r="3" spans="1:19" ht="15" thickBot="1" x14ac:dyDescent="0.35"/>
    <row r="4" spans="1:19" ht="28.2" thickBot="1" x14ac:dyDescent="0.35">
      <c r="D4" s="178" t="s">
        <v>102</v>
      </c>
      <c r="E4" s="179" t="s">
        <v>103</v>
      </c>
      <c r="F4" s="180" t="s">
        <v>74</v>
      </c>
      <c r="G4" s="198" t="s">
        <v>77</v>
      </c>
      <c r="H4" s="199" t="s">
        <v>78</v>
      </c>
      <c r="I4" s="200" t="s">
        <v>126</v>
      </c>
      <c r="J4" s="199" t="s">
        <v>62</v>
      </c>
      <c r="K4" s="200" t="s">
        <v>127</v>
      </c>
      <c r="L4" s="200" t="s">
        <v>129</v>
      </c>
      <c r="M4" s="200" t="s">
        <v>130</v>
      </c>
      <c r="N4" s="200" t="s">
        <v>131</v>
      </c>
      <c r="O4" s="200" t="s">
        <v>132</v>
      </c>
      <c r="P4" s="199" t="s">
        <v>147</v>
      </c>
      <c r="Q4" s="199" t="s">
        <v>148</v>
      </c>
      <c r="R4" s="200" t="s">
        <v>149</v>
      </c>
      <c r="S4" s="201" t="s">
        <v>145</v>
      </c>
    </row>
    <row r="5" spans="1:19" ht="17.399999999999999" thickTop="1" thickBot="1" x14ac:dyDescent="0.35">
      <c r="A5" s="434" t="s">
        <v>133</v>
      </c>
      <c r="B5" s="435"/>
      <c r="D5" s="178">
        <v>0</v>
      </c>
      <c r="E5" s="181">
        <f t="shared" ref="E5:E36" si="0">IF(D5&lt;=$B$10,D5,"")</f>
        <v>0</v>
      </c>
      <c r="F5" s="182">
        <f t="shared" ref="F5:F36" si="1">IF(E5="","",E5+$B$7)</f>
        <v>35</v>
      </c>
      <c r="G5" s="159">
        <f>IF(E5="","",IF(E5=$B$10,0,VLOOKUP(F5,Life!$A$3:$R$113,14,FALSE)))</f>
        <v>8236.7729967429441</v>
      </c>
      <c r="H5" s="160">
        <f>IF(E5="","",IF($F5=111,0,VLOOKUP(F5,Life!$A$3:$R$113,15,FALSE)))</f>
        <v>4416173.316221063</v>
      </c>
      <c r="I5" s="160">
        <f ca="1">IF(E5&gt;=$B$10,"",IF(F5&lt;16,Pricing!K5,IFERROR(MAX(Pricing!I5,Pricing!J5,Pricing!V5),0)+Pricing!L5))</f>
        <v>453</v>
      </c>
      <c r="J5" s="160">
        <f>IF(E5="","",Pricing!N5)</f>
        <v>0</v>
      </c>
      <c r="K5" s="160">
        <f>IF(E5="","",Pricing!$O5)</f>
        <v>0</v>
      </c>
      <c r="L5" s="160">
        <f ca="1">IF(E5="","",IF($F5=111,$J5,(SUMPRODUCT(G5:G$116,I5:I$116)+SUMPRODUCT(H5:H$116,J5:J$116))/H5))</f>
        <v>5426.5686017980161</v>
      </c>
      <c r="M5" s="160">
        <f>IF(E5="","",IF($F5=111,$K5,SUMPRODUCT(H5:H$116,K5:K$116)/H5))</f>
        <v>0</v>
      </c>
      <c r="N5" s="160">
        <f t="shared" ref="N5:N36" ca="1" si="2">IF(E5="","",IF(E5&gt;=$B$9,0,IF(E5=0,$B$20,IF(E5&lt;$B$29,$B$21,$B$22))))</f>
        <v>5.3543528305965324</v>
      </c>
      <c r="O5" s="160">
        <f ca="1">IF(E5="","",IF($F5=111,0,SUMPRODUCT(H5:H$116,N5:N$116)/H5))</f>
        <v>5426.5686017980161</v>
      </c>
      <c r="P5" s="160">
        <f t="shared" ref="P5:P36" ca="1" si="3">IF(E5="","",L5+M5-O5)</f>
        <v>0</v>
      </c>
      <c r="Q5" s="160">
        <f ca="1">IF(E5="","",MAX(ROUND(P5,0),Pricing!$U5))</f>
        <v>0</v>
      </c>
      <c r="R5" s="160">
        <f t="shared" ref="R5:R36" ca="1" si="4">IF(E5="","",MAX(N5-$B$12*(1-$B$13),0))</f>
        <v>0</v>
      </c>
      <c r="S5" s="161">
        <f ca="1">IF(E5="","",IF($F5=111,0,ROUND(SUMPRODUCT(H5:H$116,R5:R$116)/H5,0)))</f>
        <v>0</v>
      </c>
    </row>
    <row r="6" spans="1:19" ht="15" thickTop="1" x14ac:dyDescent="0.3">
      <c r="A6" s="171" t="s">
        <v>134</v>
      </c>
      <c r="B6" s="148">
        <f>Pricing!B6</f>
        <v>1</v>
      </c>
      <c r="D6" s="178">
        <v>1</v>
      </c>
      <c r="E6" s="95">
        <f t="shared" si="0"/>
        <v>1</v>
      </c>
      <c r="F6" s="183">
        <f t="shared" si="1"/>
        <v>36</v>
      </c>
      <c r="G6" s="162">
        <f>IF(E6="","",IF(E6=$B$10,0,VLOOKUP(F6,Life!$A$3:$R$113,14,FALSE)))</f>
        <v>8684.0916074973284</v>
      </c>
      <c r="H6" s="163">
        <f>IF(E6="","",IF($F6=111,0,VLOOKUP(F6,Life!$A$3:$R$113,15,FALSE)))</f>
        <v>4310850.2640378559</v>
      </c>
      <c r="I6" s="163">
        <f ca="1">IF(E6&gt;=$B$10,"",IF(F6&lt;16,Pricing!K6,IFERROR(MAX(Pricing!I6,Pricing!J6,Pricing!V6),0)+Pricing!L6))</f>
        <v>912</v>
      </c>
      <c r="J6" s="163">
        <f>IF(E6="","",Pricing!N6)</f>
        <v>0</v>
      </c>
      <c r="K6" s="163">
        <f>IF(E6="","",Pricing!$O6)</f>
        <v>0</v>
      </c>
      <c r="L6" s="163">
        <f ca="1">IF(E6="","",IF($F6=111,$J6,(SUMPRODUCT(G6:G$116,I6:I$116)+SUMPRODUCT(H6:H$116,J6:J$116))/H6))</f>
        <v>5610.1932632737653</v>
      </c>
      <c r="M6" s="163">
        <f>IF(E6="","",IF($F6=111,$K6,SUMPRODUCT(H6:H$116,K6:K$116)/H6))</f>
        <v>0</v>
      </c>
      <c r="N6" s="163">
        <f t="shared" ca="1" si="2"/>
        <v>434.69252384829758</v>
      </c>
      <c r="O6" s="163">
        <f ca="1">IF(E6="","",IF($F6=111,0,SUMPRODUCT(H6:H$116,N6:N$116)/H6))</f>
        <v>5610.1886458583813</v>
      </c>
      <c r="P6" s="163">
        <f t="shared" ca="1" si="3"/>
        <v>4.6174153840183862E-3</v>
      </c>
      <c r="Q6" s="163">
        <f ca="1">IF(E6="","",MAX(ROUND(P6,0),Pricing!$U6))</f>
        <v>0</v>
      </c>
      <c r="R6" s="163">
        <f t="shared" ca="1" si="4"/>
        <v>0</v>
      </c>
      <c r="S6" s="164">
        <f ca="1">IF(E6="","",IF($F6=111,0,ROUND(SUMPRODUCT(H6:H$116,R6:R$116)/H6,0)))</f>
        <v>0</v>
      </c>
    </row>
    <row r="7" spans="1:19" x14ac:dyDescent="0.3">
      <c r="A7" s="172" t="s">
        <v>135</v>
      </c>
      <c r="B7" s="149">
        <f>Pricing!B7</f>
        <v>35</v>
      </c>
      <c r="D7" s="178">
        <v>2</v>
      </c>
      <c r="E7" s="95">
        <f t="shared" si="0"/>
        <v>2</v>
      </c>
      <c r="F7" s="183">
        <f t="shared" si="1"/>
        <v>37</v>
      </c>
      <c r="G7" s="162">
        <f>IF(E7="","",IF(E7=$B$10,0,VLOOKUP(F7,Life!$A$3:$R$113,14,FALSE)))</f>
        <v>9158.0952096789752</v>
      </c>
      <c r="H7" s="163">
        <f>IF(E7="","",IF($F7=111,0,VLOOKUP(F7,Life!$A$3:$R$113,15,FALSE)))</f>
        <v>4207402.4643943384</v>
      </c>
      <c r="I7" s="163">
        <f ca="1">IF(E7&gt;=$B$10,"",IF(F7&lt;16,Pricing!K7,IFERROR(MAX(Pricing!I7,Pricing!J7,Pricing!V7),0)+Pricing!L7))</f>
        <v>1374</v>
      </c>
      <c r="J7" s="163">
        <f>IF(E7="","",Pricing!N7)</f>
        <v>0</v>
      </c>
      <c r="K7" s="163">
        <f>IF(E7="","",Pricing!$O7)</f>
        <v>0</v>
      </c>
      <c r="L7" s="163">
        <f ca="1">IF(E7="","",IF($F7=111,$J7,(SUMPRODUCT(G7:G$116,I7:I$116)+SUMPRODUCT(H7:H$116,J7:J$116))/H7))</f>
        <v>5800.4745331050744</v>
      </c>
      <c r="M7" s="163">
        <f>IF(E7="","",IF($F7=111,$K7,SUMPRODUCT(H7:H$116,K7:K$116)/H7))</f>
        <v>0</v>
      </c>
      <c r="N7" s="163">
        <f t="shared" ca="1" si="2"/>
        <v>434.69252384829758</v>
      </c>
      <c r="O7" s="163">
        <f ca="1">IF(E7="","",IF($F7=111,0,SUMPRODUCT(H7:H$116,N7:N$116)/H7))</f>
        <v>5362.3527124572556</v>
      </c>
      <c r="P7" s="163">
        <f t="shared" ca="1" si="3"/>
        <v>438.12182064781882</v>
      </c>
      <c r="Q7" s="163">
        <f ca="1">IF(E7="","",MAX(ROUND(P7,0),Pricing!$U7))</f>
        <v>438</v>
      </c>
      <c r="R7" s="163">
        <f t="shared" ca="1" si="4"/>
        <v>0</v>
      </c>
      <c r="S7" s="164">
        <f ca="1">IF(E7="","",IF($F7=111,0,ROUND(SUMPRODUCT(H7:H$116,R7:R$116)/H7,0)))</f>
        <v>0</v>
      </c>
    </row>
    <row r="8" spans="1:19" x14ac:dyDescent="0.3">
      <c r="A8" s="172" t="s">
        <v>136</v>
      </c>
      <c r="B8" s="149">
        <f>Pricing!B8</f>
        <v>4</v>
      </c>
      <c r="D8" s="178">
        <v>3</v>
      </c>
      <c r="E8" s="95">
        <f t="shared" si="0"/>
        <v>3</v>
      </c>
      <c r="F8" s="183">
        <f t="shared" si="1"/>
        <v>38</v>
      </c>
      <c r="G8" s="162">
        <f>IF(E8="","",IF(E8=$B$10,0,VLOOKUP(F8,Life!$A$3:$R$113,14,FALSE)))</f>
        <v>9639.3013348203822</v>
      </c>
      <c r="H8" s="163">
        <f>IF(E8="","",IF($F8=111,0,VLOOKUP(F8,Life!$A$3:$R$113,15,FALSE)))</f>
        <v>4105762.2628066028</v>
      </c>
      <c r="I8" s="163">
        <f ca="1">IF(E8&gt;=$B$10,"",IF(F8&lt;16,Pricing!K8,IFERROR(MAX(Pricing!I8,Pricing!J8,Pricing!V8),0)+Pricing!L8))</f>
        <v>1841</v>
      </c>
      <c r="J8" s="163">
        <f>IF(E8="","",Pricing!N8)</f>
        <v>0</v>
      </c>
      <c r="K8" s="163">
        <f>IF(E8="","",Pricing!$O8)</f>
        <v>0</v>
      </c>
      <c r="L8" s="163">
        <f ca="1">IF(E8="","",IF($F8=111,$J8,(SUMPRODUCT(G8:G$116,I8:I$116)+SUMPRODUCT(H8:H$116,J8:J$116))/H8))</f>
        <v>5997.5878305427987</v>
      </c>
      <c r="M8" s="163">
        <f>IF(E8="","",IF($F8=111,$K8,SUMPRODUCT(H8:H$116,K8:K$116)/H8))</f>
        <v>0</v>
      </c>
      <c r="N8" s="163">
        <f t="shared" ca="1" si="2"/>
        <v>434.69252384829758</v>
      </c>
      <c r="O8" s="163">
        <f ca="1">IF(E8="","",IF($F8=111,0,SUMPRODUCT(H8:H$116,N8:N$116)/H8))</f>
        <v>5112.4224624181679</v>
      </c>
      <c r="P8" s="163">
        <f t="shared" ca="1" si="3"/>
        <v>885.16536812463073</v>
      </c>
      <c r="Q8" s="163">
        <f ca="1">IF(E8="","",MAX(ROUND(P8,0),Pricing!$U8))</f>
        <v>885</v>
      </c>
      <c r="R8" s="163">
        <f t="shared" ca="1" si="4"/>
        <v>0</v>
      </c>
      <c r="S8" s="164">
        <f ca="1">IF(E8="","",IF($F8=111,0,ROUND(SUMPRODUCT(H8:H$116,R8:R$116)/H8,0)))</f>
        <v>0</v>
      </c>
    </row>
    <row r="9" spans="1:19" x14ac:dyDescent="0.3">
      <c r="A9" s="172" t="s">
        <v>137</v>
      </c>
      <c r="B9" s="149">
        <f>Pricing!B9</f>
        <v>20</v>
      </c>
      <c r="D9" s="178">
        <v>4</v>
      </c>
      <c r="E9" s="95">
        <f t="shared" si="0"/>
        <v>4</v>
      </c>
      <c r="F9" s="183">
        <f t="shared" si="1"/>
        <v>39</v>
      </c>
      <c r="G9" s="162">
        <f>IF(E9="","",IF(E9=$B$10,0,VLOOKUP(F9,Life!$A$3:$R$113,14,FALSE)))</f>
        <v>10141.40205506131</v>
      </c>
      <c r="H9" s="163">
        <f>IF(E9="","",IF($F9=111,0,VLOOKUP(F9,Life!$A$3:$R$113,15,FALSE)))</f>
        <v>4005882.7604415221</v>
      </c>
      <c r="I9" s="163">
        <f ca="1">IF(E9&gt;=$B$10,"",IF(F9&lt;16,Pricing!K9,IFERROR(MAX(Pricing!I9,Pricing!J9,Pricing!V9),0)+Pricing!L9))</f>
        <v>2313</v>
      </c>
      <c r="J9" s="163">
        <f>IF(E9="","",Pricing!N9)</f>
        <v>0</v>
      </c>
      <c r="K9" s="163">
        <f>IF(E9="","",Pricing!$O9)</f>
        <v>0</v>
      </c>
      <c r="L9" s="163">
        <f ca="1">IF(E9="","",IF($F9=111,$J9,(SUMPRODUCT(G9:G$116,I9:I$116)+SUMPRODUCT(H9:H$116,J9:J$116))/H9))</f>
        <v>6201.6888005441197</v>
      </c>
      <c r="M9" s="163">
        <f>IF(E9="","",IF($F9=111,$K9,SUMPRODUCT(H9:H$116,K9:K$116)/H9))</f>
        <v>0</v>
      </c>
      <c r="N9" s="163">
        <f t="shared" ca="1" si="2"/>
        <v>434.69252384829758</v>
      </c>
      <c r="O9" s="163">
        <f ca="1">IF(E9="","",IF($F9=111,0,SUMPRODUCT(H9:H$116,N9:N$116)/H9))</f>
        <v>4860.4251062989333</v>
      </c>
      <c r="P9" s="163">
        <f t="shared" ca="1" si="3"/>
        <v>1341.2636942451863</v>
      </c>
      <c r="Q9" s="163">
        <f ca="1">IF(E9="","",MAX(ROUND(P9,0),Pricing!$U9))</f>
        <v>1341</v>
      </c>
      <c r="R9" s="163">
        <f t="shared" ca="1" si="4"/>
        <v>0</v>
      </c>
      <c r="S9" s="164">
        <f ca="1">IF(E9="","",IF($F9=111,0,ROUND(SUMPRODUCT(H9:H$116,R9:R$116)/H9,0)))</f>
        <v>0</v>
      </c>
    </row>
    <row r="10" spans="1:19" x14ac:dyDescent="0.3">
      <c r="A10" s="172" t="s">
        <v>138</v>
      </c>
      <c r="B10" s="149">
        <f>Pricing!B10</f>
        <v>75</v>
      </c>
      <c r="D10" s="178">
        <v>5</v>
      </c>
      <c r="E10" s="184">
        <f t="shared" si="0"/>
        <v>5</v>
      </c>
      <c r="F10" s="185">
        <f t="shared" si="1"/>
        <v>40</v>
      </c>
      <c r="G10" s="165">
        <f>IF(E10="","",IF(E10=$B$10,0,VLOOKUP(F10,Life!$A$3:$R$113,14,FALSE)))</f>
        <v>10669.937365933605</v>
      </c>
      <c r="H10" s="166">
        <f>IF(E10="","",IF($F10=111,0,VLOOKUP(F10,Life!$A$3:$R$113,15,FALSE)))</f>
        <v>3907704.5498817507</v>
      </c>
      <c r="I10" s="166">
        <f ca="1">IF(E10&gt;=$B$10,"",IF(F10&lt;16,Pricing!K10,IFERROR(MAX(Pricing!I10,Pricing!J10,Pricing!V10),0)+Pricing!L10))</f>
        <v>2790</v>
      </c>
      <c r="J10" s="166">
        <f>IF(E10="","",Pricing!N10)</f>
        <v>0</v>
      </c>
      <c r="K10" s="166">
        <f>IF(E10="","",Pricing!$O10)</f>
        <v>0</v>
      </c>
      <c r="L10" s="166">
        <f ca="1">IF(E10="","",IF($F10=111,$J10,(SUMPRODUCT(G10:G$116,I10:I$116)+SUMPRODUCT(H10:H$116,J10:J$116))/H10))</f>
        <v>6412.8805875929038</v>
      </c>
      <c r="M10" s="166">
        <f>IF(E10="","",IF($F10=111,$K10,SUMPRODUCT(H10:H$116,K10:K$116)/H10))</f>
        <v>0</v>
      </c>
      <c r="N10" s="166">
        <f t="shared" ca="1" si="2"/>
        <v>434.69252384829758</v>
      </c>
      <c r="O10" s="166">
        <f ca="1">IF(E10="","",IF($F10=111,0,SUMPRODUCT(H10:H$116,N10:N$116)/H10))</f>
        <v>4606.3278925650811</v>
      </c>
      <c r="P10" s="166">
        <f t="shared" ca="1" si="3"/>
        <v>1806.5526950278227</v>
      </c>
      <c r="Q10" s="166">
        <f ca="1">IF(E10="","",MAX(ROUND(P10,0),Pricing!$U10))</f>
        <v>1807</v>
      </c>
      <c r="R10" s="166">
        <f t="shared" ca="1" si="4"/>
        <v>0</v>
      </c>
      <c r="S10" s="167">
        <f ca="1">IF(E10="","",IF($F10=111,0,ROUND(SUMPRODUCT(H10:H$116,R10:R$116)/H10,0)))</f>
        <v>0</v>
      </c>
    </row>
    <row r="11" spans="1:19" x14ac:dyDescent="0.3">
      <c r="A11" s="172" t="s">
        <v>139</v>
      </c>
      <c r="B11" s="149">
        <f>Pricing!B11</f>
        <v>10000</v>
      </c>
      <c r="D11" s="178">
        <v>6</v>
      </c>
      <c r="E11" s="95">
        <f t="shared" si="0"/>
        <v>6</v>
      </c>
      <c r="F11" s="183">
        <f t="shared" si="1"/>
        <v>41</v>
      </c>
      <c r="G11" s="162">
        <f>IF(E11="","",IF(E11=$B$10,0,VLOOKUP(F11,Life!$A$3:$R$113,14,FALSE)))</f>
        <v>11231.464938750105</v>
      </c>
      <c r="H11" s="163">
        <f>IF(E11="","",IF($F11=111,0,VLOOKUP(F11,Life!$A$3:$R$113,15,FALSE)))</f>
        <v>3811164.0522606466</v>
      </c>
      <c r="I11" s="163">
        <f ca="1">IF(E11&gt;=$B$10,"",IF(F11&lt;16,Pricing!K11,IFERROR(MAX(Pricing!I11,Pricing!J11,Pricing!V11),0)+Pricing!L11))</f>
        <v>3271</v>
      </c>
      <c r="J11" s="163">
        <f>IF(E11="","",Pricing!N11)</f>
        <v>0</v>
      </c>
      <c r="K11" s="163">
        <f>IF(E11="","",Pricing!$O11)</f>
        <v>0</v>
      </c>
      <c r="L11" s="163">
        <f ca="1">IF(E11="","",IF($F11=111,$J11,(SUMPRODUCT(G11:G$116,I11:I$116)+SUMPRODUCT(H11:H$116,J11:J$116))/H11))</f>
        <v>6631.2021526098079</v>
      </c>
      <c r="M11" s="163">
        <f>IF(E11="","",IF($F11=111,$K11,SUMPRODUCT(H11:H$116,K11:K$116)/H11))</f>
        <v>0</v>
      </c>
      <c r="N11" s="163">
        <f t="shared" ca="1" si="2"/>
        <v>434.69252384829758</v>
      </c>
      <c r="O11" s="163">
        <f ca="1">IF(E11="","",IF($F11=111,0,SUMPRODUCT(H11:H$116,N11:N$116)/H11))</f>
        <v>4350.0222769222219</v>
      </c>
      <c r="P11" s="163">
        <f t="shared" ca="1" si="3"/>
        <v>2281.179875687586</v>
      </c>
      <c r="Q11" s="163">
        <f ca="1">IF(E11="","",MAX(ROUND(P11,0),Pricing!$U11))</f>
        <v>2281</v>
      </c>
      <c r="R11" s="163">
        <f t="shared" ca="1" si="4"/>
        <v>0</v>
      </c>
      <c r="S11" s="164">
        <f ca="1">IF(E11="","",IF($F11=111,0,ROUND(SUMPRODUCT(H11:H$116,R11:R$116)/H11,0)))</f>
        <v>0</v>
      </c>
    </row>
    <row r="12" spans="1:19" x14ac:dyDescent="0.3">
      <c r="A12" s="172" t="s">
        <v>104</v>
      </c>
      <c r="B12" s="149">
        <f>Pricing!B12</f>
        <v>423</v>
      </c>
      <c r="D12" s="178">
        <v>7</v>
      </c>
      <c r="E12" s="95">
        <f t="shared" si="0"/>
        <v>7</v>
      </c>
      <c r="F12" s="183">
        <f t="shared" si="1"/>
        <v>42</v>
      </c>
      <c r="G12" s="162">
        <f>IF(E12="","",IF(E12=$B$10,0,VLOOKUP(F12,Life!$A$3:$R$113,14,FALSE)))</f>
        <v>11833.806914838038</v>
      </c>
      <c r="H12" s="163">
        <f>IF(E12="","",IF($F12=111,0,VLOOKUP(F12,Life!$A$3:$R$113,15,FALSE)))</f>
        <v>3716192.6026379843</v>
      </c>
      <c r="I12" s="163">
        <f ca="1">IF(E12&gt;=$B$10,"",IF(F12&lt;16,Pricing!K12,IFERROR(MAX(Pricing!I12,Pricing!J12,Pricing!V12),0)+Pricing!L12))</f>
        <v>3757</v>
      </c>
      <c r="J12" s="163">
        <f>IF(E12="","",Pricing!N12)</f>
        <v>0</v>
      </c>
      <c r="K12" s="163">
        <f>IF(E12="","",Pricing!$O12)</f>
        <v>0</v>
      </c>
      <c r="L12" s="163">
        <f ca="1">IF(E12="","",IF($F12=111,$J12,(SUMPRODUCT(G12:G$116,I12:I$116)+SUMPRODUCT(H12:H$116,J12:J$116))/H12))</f>
        <v>6856.6302348655754</v>
      </c>
      <c r="M12" s="163">
        <f>IF(E12="","",IF($F12=111,$K12,SUMPRODUCT(H12:H$116,K12:K$116)/H12))</f>
        <v>0</v>
      </c>
      <c r="N12" s="163">
        <f t="shared" ca="1" si="2"/>
        <v>434.69252384829758</v>
      </c>
      <c r="O12" s="163">
        <f ca="1">IF(E12="","",IF($F12=111,0,SUMPRODUCT(H12:H$116,N12:N$116)/H12))</f>
        <v>4091.297366827027</v>
      </c>
      <c r="P12" s="163">
        <f t="shared" ca="1" si="3"/>
        <v>2765.3328680385484</v>
      </c>
      <c r="Q12" s="163">
        <f ca="1">IF(E12="","",MAX(ROUND(P12,0),Pricing!$U12))</f>
        <v>2765</v>
      </c>
      <c r="R12" s="163">
        <f t="shared" ca="1" si="4"/>
        <v>0</v>
      </c>
      <c r="S12" s="164">
        <f ca="1">IF(E12="","",IF($F12=111,0,ROUND(SUMPRODUCT(H12:H$116,R12:R$116)/H12,0)))</f>
        <v>0</v>
      </c>
    </row>
    <row r="13" spans="1:19" ht="15" thickBot="1" x14ac:dyDescent="0.35">
      <c r="A13" s="173" t="s">
        <v>150</v>
      </c>
      <c r="B13" s="202">
        <f>INDEX(Code!$F$6:$F$46,Code!$F$4)</f>
        <v>0</v>
      </c>
      <c r="D13" s="178">
        <v>8</v>
      </c>
      <c r="E13" s="95">
        <f t="shared" si="0"/>
        <v>8</v>
      </c>
      <c r="F13" s="183">
        <f t="shared" si="1"/>
        <v>43</v>
      </c>
      <c r="G13" s="162">
        <f>IF(E13="","",IF(E13=$B$10,0,VLOOKUP(F13,Life!$A$3:$R$113,14,FALSE)))</f>
        <v>12482.07678085806</v>
      </c>
      <c r="H13" s="163">
        <f>IF(E13="","",IF($F13=111,0,VLOOKUP(F13,Life!$A$3:$R$113,15,FALSE)))</f>
        <v>3622715.3114380743</v>
      </c>
      <c r="I13" s="163">
        <f ca="1">IF(E13&gt;=$B$10,"",IF(F13&lt;16,Pricing!K13,IFERROR(MAX(Pricing!I13,Pricing!J13,Pricing!V13),0)+Pricing!L13))</f>
        <v>4249</v>
      </c>
      <c r="J13" s="163">
        <f>IF(E13="","",Pricing!N13)</f>
        <v>0</v>
      </c>
      <c r="K13" s="163">
        <f>IF(E13="","",Pricing!$O13)</f>
        <v>0</v>
      </c>
      <c r="L13" s="163">
        <f ca="1">IF(E13="","",IF($F13=111,$J13,(SUMPRODUCT(G13:G$116,I13:I$116)+SUMPRODUCT(H13:H$116,J13:J$116))/H13))</f>
        <v>7089.0252931817286</v>
      </c>
      <c r="M13" s="163">
        <f>IF(E13="","",IF($F13=111,$K13,SUMPRODUCT(H13:H$116,K13:K$116)/H13))</f>
        <v>0</v>
      </c>
      <c r="N13" s="163">
        <f t="shared" ca="1" si="2"/>
        <v>434.69252384829758</v>
      </c>
      <c r="O13" s="163">
        <f ca="1">IF(E13="","",IF($F13=111,0,SUMPRODUCT(H13:H$116,N13:N$116)/H13))</f>
        <v>3829.8174282052705</v>
      </c>
      <c r="P13" s="163">
        <f t="shared" ca="1" si="3"/>
        <v>3259.207864976458</v>
      </c>
      <c r="Q13" s="163">
        <f ca="1">IF(E13="","",MAX(ROUND(P13,0),Pricing!$U13))</f>
        <v>3259</v>
      </c>
      <c r="R13" s="163">
        <f t="shared" ca="1" si="4"/>
        <v>0</v>
      </c>
      <c r="S13" s="164">
        <f ca="1">IF(E13="","",IF($F13=111,0,ROUND(SUMPRODUCT(H13:H$116,R13:R$116)/H13,0)))</f>
        <v>0</v>
      </c>
    </row>
    <row r="14" spans="1:19" ht="15" thickBot="1" x14ac:dyDescent="0.35">
      <c r="D14" s="178">
        <v>9</v>
      </c>
      <c r="E14" s="95">
        <f t="shared" si="0"/>
        <v>9</v>
      </c>
      <c r="F14" s="183">
        <f t="shared" si="1"/>
        <v>44</v>
      </c>
      <c r="G14" s="162">
        <f>IF(E14="","",IF(E14=$B$10,0,VLOOKUP(F14,Life!$A$3:$R$113,14,FALSE)))</f>
        <v>13166.675157832145</v>
      </c>
      <c r="H14" s="163">
        <f>IF(E14="","",IF($F14=111,0,VLOOKUP(F14,Life!$A$3:$R$113,15,FALSE)))</f>
        <v>3530653.8801092547</v>
      </c>
      <c r="I14" s="163">
        <f ca="1">IF(E14&gt;=$B$10,"",IF(F14&lt;16,Pricing!K14,IFERROR(MAX(Pricing!I14,Pricing!J14,Pricing!V14),0)+Pricing!L14))</f>
        <v>4745</v>
      </c>
      <c r="J14" s="163">
        <f>IF(E14="","",Pricing!N14)</f>
        <v>0</v>
      </c>
      <c r="K14" s="163">
        <f>IF(E14="","",Pricing!$O14)</f>
        <v>0</v>
      </c>
      <c r="L14" s="163">
        <f ca="1">IF(E14="","",IF($F14=111,$J14,(SUMPRODUCT(G14:G$116,I14:I$116)+SUMPRODUCT(H14:H$116,J14:J$116))/H14))</f>
        <v>7328.1007162506203</v>
      </c>
      <c r="M14" s="163">
        <f>IF(E14="","",IF($F14=111,$K14,SUMPRODUCT(H14:H$116,K14:K$116)/H14))</f>
        <v>0</v>
      </c>
      <c r="N14" s="163">
        <f t="shared" ca="1" si="2"/>
        <v>434.69252384829758</v>
      </c>
      <c r="O14" s="163">
        <f ca="1">IF(E14="","",IF($F14=111,0,SUMPRODUCT(H14:H$116,N14:N$116)/H14))</f>
        <v>3565.0915329518725</v>
      </c>
      <c r="P14" s="163">
        <f t="shared" ca="1" si="3"/>
        <v>3763.0091832987478</v>
      </c>
      <c r="Q14" s="163">
        <f ca="1">IF(E14="","",MAX(ROUND(P14,0),Pricing!$U14))</f>
        <v>3763</v>
      </c>
      <c r="R14" s="163">
        <f t="shared" ca="1" si="4"/>
        <v>0</v>
      </c>
      <c r="S14" s="164">
        <f ca="1">IF(E14="","",IF($F14=111,0,ROUND(SUMPRODUCT(H14:H$116,R14:R$116)/H14,0)))</f>
        <v>0</v>
      </c>
    </row>
    <row r="15" spans="1:19" ht="15" thickBot="1" x14ac:dyDescent="0.35">
      <c r="A15" s="65" t="s">
        <v>141</v>
      </c>
      <c r="B15" s="67" t="s">
        <v>151</v>
      </c>
      <c r="D15" s="178">
        <v>10</v>
      </c>
      <c r="E15" s="184">
        <f t="shared" si="0"/>
        <v>10</v>
      </c>
      <c r="F15" s="185">
        <f t="shared" si="1"/>
        <v>45</v>
      </c>
      <c r="G15" s="165">
        <f>IF(E15="","",IF(E15=$B$10,0,VLOOKUP(F15,Life!$A$3:$R$113,14,FALSE)))</f>
        <v>13893.219657316136</v>
      </c>
      <c r="H15" s="166">
        <f>IF(E15="","",IF($F15=111,0,VLOOKUP(F15,Life!$A$3:$R$113,15,FALSE)))</f>
        <v>3439941.2262257137</v>
      </c>
      <c r="I15" s="166">
        <f ca="1">IF(E15&gt;=$B$10,"",IF(F15&lt;16,Pricing!K15,IFERROR(MAX(Pricing!I15,Pricing!J15,Pricing!V15),0)+Pricing!L15))</f>
        <v>5245</v>
      </c>
      <c r="J15" s="166">
        <f>IF(E15="","",Pricing!N15)</f>
        <v>0</v>
      </c>
      <c r="K15" s="166">
        <f>IF(E15="","",Pricing!$O15)</f>
        <v>0</v>
      </c>
      <c r="L15" s="166">
        <f ca="1">IF(E15="","",IF($F15=111,$J15,(SUMPRODUCT(G15:G$116,I15:I$116)+SUMPRODUCT(H15:H$116,J15:J$116))/H15))</f>
        <v>7573.5147911279701</v>
      </c>
      <c r="M15" s="166">
        <f>IF(E15="","",IF($F15=111,$K15,SUMPRODUCT(H15:H$116,K15:K$116)/H15))</f>
        <v>0</v>
      </c>
      <c r="N15" s="166">
        <f t="shared" ca="1" si="2"/>
        <v>434.69252384829758</v>
      </c>
      <c r="O15" s="166">
        <f ca="1">IF(E15="","",IF($F15=111,0,SUMPRODUCT(H15:H$116,N15:N$116)/H15))</f>
        <v>3296.4836592365746</v>
      </c>
      <c r="P15" s="166">
        <f t="shared" ca="1" si="3"/>
        <v>4277.0311318913955</v>
      </c>
      <c r="Q15" s="166">
        <f ca="1">IF(E15="","",MAX(ROUND(P15,0),Pricing!$U15))</f>
        <v>4277</v>
      </c>
      <c r="R15" s="166">
        <f t="shared" ca="1" si="4"/>
        <v>0</v>
      </c>
      <c r="S15" s="167">
        <f ca="1">IF(E15="","",IF($F15=111,0,ROUND(SUMPRODUCT(H15:H$116,R15:R$116)/H15,0)))</f>
        <v>0</v>
      </c>
    </row>
    <row r="16" spans="1:19" ht="15" thickTop="1" x14ac:dyDescent="0.3">
      <c r="A16" s="174" t="s">
        <v>106</v>
      </c>
      <c r="B16" s="191">
        <f>INDEX(Set!$15:$15,$B$8+1)-IF($B$9&lt;6,0.0025,0)</f>
        <v>2.2499999999999999E-2</v>
      </c>
      <c r="D16" s="178">
        <v>11</v>
      </c>
      <c r="E16" s="95">
        <f t="shared" si="0"/>
        <v>11</v>
      </c>
      <c r="F16" s="183">
        <f t="shared" si="1"/>
        <v>46</v>
      </c>
      <c r="G16" s="162">
        <f>IF(E16="","",IF(E16=$B$10,0,VLOOKUP(F16,Life!$A$3:$R$113,14,FALSE)))</f>
        <v>14648.574654896036</v>
      </c>
      <c r="H16" s="163">
        <f>IF(E16="","",IF($F16=111,0,VLOOKUP(F16,Life!$A$3:$R$113,15,FALSE)))</f>
        <v>3350506.1880427534</v>
      </c>
      <c r="I16" s="163">
        <f ca="1">IF(E16&gt;=$B$10,"",IF(F16&lt;16,Pricing!K16,IFERROR(MAX(Pricing!I16,Pricing!J16,Pricing!V16),0)+Pricing!L16))</f>
        <v>5751</v>
      </c>
      <c r="J16" s="163">
        <f>IF(E16="","",Pricing!N16)</f>
        <v>0</v>
      </c>
      <c r="K16" s="163">
        <f>IF(E16="","",Pricing!$O16)</f>
        <v>0</v>
      </c>
      <c r="L16" s="163">
        <f ca="1">IF(E16="","",IF($F16=111,$J16,(SUMPRODUCT(G16:G$116,I16:I$116)+SUMPRODUCT(H16:H$116,J16:J$116))/H16))</f>
        <v>7824.7937031464344</v>
      </c>
      <c r="M16" s="163">
        <f>IF(E16="","",IF($F16=111,$K16,SUMPRODUCT(H16:H$116,K16:K$116)/H16))</f>
        <v>0</v>
      </c>
      <c r="N16" s="163">
        <f t="shared" ca="1" si="2"/>
        <v>434.69252384829758</v>
      </c>
      <c r="O16" s="163">
        <f ca="1">IF(E16="","",IF($F16=111,0,SUMPRODUCT(H16:H$116,N16:N$116)/H16))</f>
        <v>3023.1613810569866</v>
      </c>
      <c r="P16" s="163">
        <f t="shared" ca="1" si="3"/>
        <v>4801.6323220894483</v>
      </c>
      <c r="Q16" s="163">
        <f ca="1">IF(E16="","",MAX(ROUND(P16,0),Pricing!$U16))</f>
        <v>4802</v>
      </c>
      <c r="R16" s="163">
        <f t="shared" ca="1" si="4"/>
        <v>0</v>
      </c>
      <c r="S16" s="164">
        <f ca="1">IF(E16="","",IF($F16=111,0,ROUND(SUMPRODUCT(H16:H$116,R16:R$116)/H16,0)))</f>
        <v>0</v>
      </c>
    </row>
    <row r="17" spans="1:19" ht="15.6" x14ac:dyDescent="0.3">
      <c r="A17" s="175" t="s">
        <v>117</v>
      </c>
      <c r="B17" s="192">
        <f>INDEX(Set!$16:$16,$B$8+1)</f>
        <v>1</v>
      </c>
      <c r="D17" s="178">
        <v>12</v>
      </c>
      <c r="E17" s="95">
        <f t="shared" si="0"/>
        <v>12</v>
      </c>
      <c r="F17" s="183">
        <f t="shared" si="1"/>
        <v>47</v>
      </c>
      <c r="G17" s="162">
        <f>IF(E17="","",IF(E17=$B$10,0,VLOOKUP(F17,Life!$A$3:$R$113,14,FALSE)))</f>
        <v>15434.160422789304</v>
      </c>
      <c r="H17" s="163">
        <f>IF(E17="","",IF($F17=111,0,VLOOKUP(F17,Life!$A$3:$R$113,15,FALSE)))</f>
        <v>3262292.1600185414</v>
      </c>
      <c r="I17" s="163">
        <f ca="1">IF(E17&gt;=$B$10,"",IF(F17&lt;16,Pricing!K17,IFERROR(MAX(Pricing!I17,Pricing!J17,Pricing!V17),0)+Pricing!L17))</f>
        <v>6262</v>
      </c>
      <c r="J17" s="163">
        <f>IF(E17="","",Pricing!N17)</f>
        <v>0</v>
      </c>
      <c r="K17" s="163">
        <f>IF(E17="","",Pricing!$O17)</f>
        <v>0</v>
      </c>
      <c r="L17" s="163">
        <f ca="1">IF(E17="","",IF($F17=111,$J17,(SUMPRODUCT(G17:G$116,I17:I$116)+SUMPRODUCT(H17:H$116,J17:J$116))/H17))</f>
        <v>8081.2131314734561</v>
      </c>
      <c r="M17" s="163">
        <f>IF(E17="","",IF($F17=111,$K17,SUMPRODUCT(H17:H$116,K17:K$116)/H17))</f>
        <v>0</v>
      </c>
      <c r="N17" s="163">
        <f t="shared" ca="1" si="2"/>
        <v>434.69252384829758</v>
      </c>
      <c r="O17" s="163">
        <f ca="1">IF(E17="","",IF($F17=111,0,SUMPRODUCT(H17:H$116,N17:N$116)/H17))</f>
        <v>2744.0292357642834</v>
      </c>
      <c r="P17" s="163">
        <f t="shared" ca="1" si="3"/>
        <v>5337.1838957091732</v>
      </c>
      <c r="Q17" s="163">
        <f ca="1">IF(E17="","",MAX(ROUND(P17,0),Pricing!$U17))</f>
        <v>5337</v>
      </c>
      <c r="R17" s="163">
        <f t="shared" ca="1" si="4"/>
        <v>0</v>
      </c>
      <c r="S17" s="164">
        <f ca="1">IF(E17="","",IF($F17=111,0,ROUND(SUMPRODUCT(H17:H$116,R17:R$116)/H17,0)))</f>
        <v>0</v>
      </c>
    </row>
    <row r="18" spans="1:19" x14ac:dyDescent="0.3">
      <c r="A18" s="175" t="s">
        <v>107</v>
      </c>
      <c r="B18" s="192">
        <f ca="1">1-$B$19/$B$12</f>
        <v>0.10284605007034098</v>
      </c>
      <c r="D18" s="178">
        <v>13</v>
      </c>
      <c r="E18" s="95">
        <f t="shared" si="0"/>
        <v>13</v>
      </c>
      <c r="F18" s="183">
        <f t="shared" si="1"/>
        <v>48</v>
      </c>
      <c r="G18" s="162">
        <f>IF(E18="","",IF(E18=$B$10,0,VLOOKUP(F18,Life!$A$3:$R$113,14,FALSE)))</f>
        <v>16250.134817564676</v>
      </c>
      <c r="H18" s="163">
        <f>IF(E18="","",IF($F18=111,0,VLOOKUP(F18,Life!$A$3:$R$113,15,FALSE)))</f>
        <v>3175242.3776511368</v>
      </c>
      <c r="I18" s="163">
        <f ca="1">IF(E18&gt;=$B$10,"",IF(F18&lt;16,Pricing!K18,IFERROR(MAX(Pricing!I18,Pricing!J18,Pricing!V18),0)+Pricing!L18))</f>
        <v>6779</v>
      </c>
      <c r="J18" s="163">
        <f>IF(E18="","",Pricing!N18)</f>
        <v>0</v>
      </c>
      <c r="K18" s="163">
        <f>IF(E18="","",Pricing!$O18)</f>
        <v>0</v>
      </c>
      <c r="L18" s="163">
        <f ca="1">IF(E18="","",IF($F18=111,$J18,(SUMPRODUCT(G18:G$116,I18:I$116)+SUMPRODUCT(H18:H$116,J18:J$116))/H18))</f>
        <v>8341.840172978862</v>
      </c>
      <c r="M18" s="163">
        <f>IF(E18="","",IF($F18=111,$K18,SUMPRODUCT(H18:H$116,K18:K$116)/H18))</f>
        <v>0</v>
      </c>
      <c r="N18" s="163">
        <f t="shared" ca="1" si="2"/>
        <v>434.69252384829758</v>
      </c>
      <c r="O18" s="163">
        <f ca="1">IF(E18="","",IF($F18=111,0,SUMPRODUCT(H18:H$116,N18:N$116)/H18))</f>
        <v>2457.656732062198</v>
      </c>
      <c r="P18" s="163">
        <f t="shared" ca="1" si="3"/>
        <v>5884.183440916664</v>
      </c>
      <c r="Q18" s="163">
        <f ca="1">IF(E18="","",MAX(ROUND(P18,0),Pricing!$U18))</f>
        <v>5884</v>
      </c>
      <c r="R18" s="163">
        <f t="shared" ca="1" si="4"/>
        <v>0</v>
      </c>
      <c r="S18" s="164">
        <f ca="1">IF(E18="","",IF($F18=111,0,ROUND(SUMPRODUCT(H18:H$116,R18:R$116)/H18,0)))</f>
        <v>0</v>
      </c>
    </row>
    <row r="19" spans="1:19" x14ac:dyDescent="0.3">
      <c r="A19" s="175" t="s">
        <v>108</v>
      </c>
      <c r="B19" s="150">
        <f ca="1">B24+B34</f>
        <v>402.8221235184169</v>
      </c>
      <c r="D19" s="178">
        <v>14</v>
      </c>
      <c r="E19" s="95">
        <f t="shared" si="0"/>
        <v>14</v>
      </c>
      <c r="F19" s="183">
        <f t="shared" si="1"/>
        <v>49</v>
      </c>
      <c r="G19" s="162">
        <f>IF(E19="","",IF(E19=$B$10,0,VLOOKUP(F19,Life!$A$3:$R$113,14,FALSE)))</f>
        <v>17099.510154263429</v>
      </c>
      <c r="H19" s="163">
        <f>IF(E19="","",IF($F19=111,0,VLOOKUP(F19,Life!$A$3:$R$113,15,FALSE)))</f>
        <v>3089301.1694251187</v>
      </c>
      <c r="I19" s="163">
        <f ca="1">IF(E19&gt;=$B$10,"",IF(F19&lt;16,Pricing!K19,IFERROR(MAX(Pricing!I19,Pricing!J19,Pricing!V19),0)+Pricing!L19))</f>
        <v>7300</v>
      </c>
      <c r="J19" s="163">
        <f>IF(E19="","",Pricing!N19)</f>
        <v>0</v>
      </c>
      <c r="K19" s="163">
        <f>IF(E19="","",Pricing!$O19)</f>
        <v>0</v>
      </c>
      <c r="L19" s="163">
        <f ca="1">IF(E19="","",IF($F19=111,$J19,(SUMPRODUCT(G19:G$116,I19:I$116)+SUMPRODUCT(H19:H$116,J19:J$116))/H19))</f>
        <v>8605.3953348937466</v>
      </c>
      <c r="M19" s="163">
        <f>IF(E19="","",IF($F19=111,$K19,SUMPRODUCT(H19:H$116,K19:K$116)/H19))</f>
        <v>0</v>
      </c>
      <c r="N19" s="163">
        <f t="shared" ca="1" si="2"/>
        <v>434.69252384829758</v>
      </c>
      <c r="O19" s="163">
        <f ca="1">IF(E19="","",IF($F19=111,0,SUMPRODUCT(H19:H$116,N19:N$116)/H19))</f>
        <v>2162.1833448363836</v>
      </c>
      <c r="P19" s="163">
        <f t="shared" ca="1" si="3"/>
        <v>6443.2119900573634</v>
      </c>
      <c r="Q19" s="163">
        <f ca="1">IF(E19="","",MAX(ROUND(P19,0),Pricing!$U19))</f>
        <v>6443</v>
      </c>
      <c r="R19" s="163">
        <f t="shared" ca="1" si="4"/>
        <v>0</v>
      </c>
      <c r="S19" s="164">
        <f ca="1">IF(E19="","",IF($F19=111,0,ROUND(SUMPRODUCT(H19:H$116,R19:R$116)/H19,0)))</f>
        <v>0</v>
      </c>
    </row>
    <row r="20" spans="1:19" x14ac:dyDescent="0.3">
      <c r="A20" s="175" t="s">
        <v>109</v>
      </c>
      <c r="B20" s="150">
        <f ca="1">B30+B34</f>
        <v>5.3543528305965324</v>
      </c>
      <c r="D20" s="178">
        <v>15</v>
      </c>
      <c r="E20" s="184">
        <f t="shared" si="0"/>
        <v>15</v>
      </c>
      <c r="F20" s="185">
        <f t="shared" si="1"/>
        <v>50</v>
      </c>
      <c r="G20" s="165">
        <f>IF(E20="","",IF(E20=$B$10,0,VLOOKUP(F20,Life!$A$3:$R$113,14,FALSE)))</f>
        <v>17993.360719458666</v>
      </c>
      <c r="H20" s="166">
        <f>IF(E20="","",IF($F20=111,0,VLOOKUP(F20,Life!$A$3:$R$113,15,FALSE)))</f>
        <v>3004411.1098827897</v>
      </c>
      <c r="I20" s="166">
        <f ca="1">IF(E20&gt;=$B$10,"",IF(F20&lt;16,Pricing!K20,IFERROR(MAX(Pricing!I20,Pricing!J20,Pricing!V20),0)+Pricing!L20))</f>
        <v>7826</v>
      </c>
      <c r="J20" s="166">
        <f>IF(E20="","",Pricing!N20)</f>
        <v>0</v>
      </c>
      <c r="K20" s="166">
        <f>IF(E20="","",Pricing!$O20)</f>
        <v>0</v>
      </c>
      <c r="L20" s="166">
        <f ca="1">IF(E20="","",IF($F20=111,$J20,(SUMPRODUCT(G20:G$116,I20:I$116)+SUMPRODUCT(H20:H$116,J20:J$116))/H20))</f>
        <v>8870.3169423702493</v>
      </c>
      <c r="M20" s="166">
        <f>IF(E20="","",IF($F20=111,$K20,SUMPRODUCT(H20:H$116,K20:K$116)/H20))</f>
        <v>0</v>
      </c>
      <c r="N20" s="166">
        <f t="shared" ca="1" si="2"/>
        <v>434.69252384829758</v>
      </c>
      <c r="O20" s="166">
        <f ca="1">IF(E20="","",IF($F20=111,0,SUMPRODUCT(H20:H$116,N20:N$116)/H20))</f>
        <v>1855.2166869729726</v>
      </c>
      <c r="P20" s="166">
        <f t="shared" ca="1" si="3"/>
        <v>7015.1002553972767</v>
      </c>
      <c r="Q20" s="166">
        <f ca="1">IF(E20="","",MAX(ROUND(P20,0),Pricing!$U20))</f>
        <v>7016</v>
      </c>
      <c r="R20" s="166">
        <f t="shared" ca="1" si="4"/>
        <v>0</v>
      </c>
      <c r="S20" s="167">
        <f ca="1">IF(E20="","",IF($F20=111,0,ROUND(SUMPRODUCT(H20:H$116,R20:R$116)/H20,0)))</f>
        <v>0</v>
      </c>
    </row>
    <row r="21" spans="1:19" x14ac:dyDescent="0.3">
      <c r="A21" s="175" t="s">
        <v>110</v>
      </c>
      <c r="B21" s="150">
        <f ca="1">B31+B34</f>
        <v>434.69252384829758</v>
      </c>
      <c r="D21" s="178">
        <v>16</v>
      </c>
      <c r="E21" s="95">
        <f t="shared" si="0"/>
        <v>16</v>
      </c>
      <c r="F21" s="183">
        <f t="shared" si="1"/>
        <v>51</v>
      </c>
      <c r="G21" s="162">
        <f>IF(E21="","",IF(E21=$B$10,0,VLOOKUP(F21,Life!$A$3:$R$113,14,FALSE)))</f>
        <v>18940.696803643626</v>
      </c>
      <c r="H21" s="163">
        <f>IF(E21="","",IF($F21=111,0,VLOOKUP(F21,Life!$A$3:$R$113,15,FALSE)))</f>
        <v>2920505.085442753</v>
      </c>
      <c r="I21" s="163">
        <f ca="1">IF(E21&gt;=$B$10,"",IF(F21&lt;16,Pricing!K21,IFERROR(MAX(Pricing!I21,Pricing!J21,Pricing!V21),0)+Pricing!L21))</f>
        <v>8358</v>
      </c>
      <c r="J21" s="163">
        <f>IF(E21="","",Pricing!N21)</f>
        <v>0</v>
      </c>
      <c r="K21" s="163">
        <f>IF(E21="","",Pricing!$O21)</f>
        <v>0</v>
      </c>
      <c r="L21" s="163">
        <f ca="1">IF(E21="","",IF($F21=111,$J21,(SUMPRODUCT(G21:G$116,I21:I$116)+SUMPRODUCT(H21:H$116,J21:J$116))/H21))</f>
        <v>9134.5276934942285</v>
      </c>
      <c r="M21" s="163">
        <f>IF(E21="","",IF($F21=111,$K21,SUMPRODUCT(H21:H$116,K21:K$116)/H21))</f>
        <v>0</v>
      </c>
      <c r="N21" s="163">
        <f t="shared" ca="1" si="2"/>
        <v>434.69252384829758</v>
      </c>
      <c r="O21" s="163">
        <f ca="1">IF(E21="","",IF($F21=111,0,SUMPRODUCT(H21:H$116,N21:N$116)/H21))</f>
        <v>1533.6659297439417</v>
      </c>
      <c r="P21" s="163">
        <f t="shared" ca="1" si="3"/>
        <v>7600.8617637502866</v>
      </c>
      <c r="Q21" s="163">
        <f ca="1">IF(E21="","",MAX(ROUND(P21,0),Pricing!$U21))</f>
        <v>7602</v>
      </c>
      <c r="R21" s="163">
        <f t="shared" ca="1" si="4"/>
        <v>0</v>
      </c>
      <c r="S21" s="164">
        <f ca="1">IF(E21="","",IF($F21=111,0,ROUND(SUMPRODUCT(H21:H$116,R21:R$116)/H21,0)))</f>
        <v>0</v>
      </c>
    </row>
    <row r="22" spans="1:19" ht="15" thickBot="1" x14ac:dyDescent="0.35">
      <c r="A22" s="195" t="s">
        <v>111</v>
      </c>
      <c r="B22" s="196">
        <f ca="1">B32+B34</f>
        <v>0</v>
      </c>
      <c r="D22" s="178">
        <v>17</v>
      </c>
      <c r="E22" s="95">
        <f t="shared" si="0"/>
        <v>17</v>
      </c>
      <c r="F22" s="183">
        <f t="shared" si="1"/>
        <v>52</v>
      </c>
      <c r="G22" s="162">
        <f>IF(E22="","",IF(E22=$B$10,0,VLOOKUP(F22,Life!$A$3:$R$113,14,FALSE)))</f>
        <v>19945.83511740739</v>
      </c>
      <c r="H22" s="163">
        <f>IF(E22="","",IF($F22=111,0,VLOOKUP(F22,Life!$A$3:$R$113,15,FALSE)))</f>
        <v>2837508.5487467712</v>
      </c>
      <c r="I22" s="163">
        <f ca="1">IF(E22&gt;=$B$10,"",IF(F22&lt;16,Pricing!K22,IFERROR(MAX(Pricing!I22,Pricing!J22,Pricing!V22),0)+Pricing!L22))</f>
        <v>8895</v>
      </c>
      <c r="J22" s="163">
        <f>IF(E22="","",Pricing!N22)</f>
        <v>0</v>
      </c>
      <c r="K22" s="163">
        <f>IF(E22="","",Pricing!$O22)</f>
        <v>0</v>
      </c>
      <c r="L22" s="163">
        <f ca="1">IF(E22="","",IF($F22=111,$J22,(SUMPRODUCT(G22:G$116,I22:I$116)+SUMPRODUCT(H22:H$116,J22:J$116))/H22))</f>
        <v>9395.2534154399891</v>
      </c>
      <c r="M22" s="163">
        <f>IF(E22="","",IF($F22=111,$K22,SUMPRODUCT(H22:H$116,K22:K$116)/H22))</f>
        <v>0</v>
      </c>
      <c r="N22" s="163">
        <f t="shared" ca="1" si="2"/>
        <v>434.69252384829758</v>
      </c>
      <c r="O22" s="163">
        <f ca="1">IF(E22="","",IF($F22=111,0,SUMPRODUCT(H22:H$116,N22:N$116)/H22))</f>
        <v>1193.5072471434974</v>
      </c>
      <c r="P22" s="163">
        <f t="shared" ca="1" si="3"/>
        <v>8201.7461682964913</v>
      </c>
      <c r="Q22" s="163">
        <f ca="1">IF(E22="","",MAX(ROUND(P22,0),Pricing!$U22))</f>
        <v>8203</v>
      </c>
      <c r="R22" s="163">
        <f t="shared" ca="1" si="4"/>
        <v>0</v>
      </c>
      <c r="S22" s="164">
        <f ca="1">IF(E22="","",IF($F22=111,0,ROUND(SUMPRODUCT(H22:H$116,R22:R$116)/H22,0)))</f>
        <v>0</v>
      </c>
    </row>
    <row r="23" spans="1:19" ht="16.2" x14ac:dyDescent="0.3">
      <c r="A23" s="436" t="s">
        <v>143</v>
      </c>
      <c r="B23" s="437"/>
      <c r="D23" s="178">
        <v>18</v>
      </c>
      <c r="E23" s="95">
        <f t="shared" si="0"/>
        <v>18</v>
      </c>
      <c r="F23" s="183">
        <f t="shared" si="1"/>
        <v>53</v>
      </c>
      <c r="G23" s="162">
        <f>IF(E23="","",IF(E23=$B$10,0,VLOOKUP(F23,Life!$A$3:$R$113,14,FALSE)))</f>
        <v>21016.772282006146</v>
      </c>
      <c r="H23" s="163">
        <f>IF(E23="","",IF($F23=111,0,VLOOKUP(F23,Life!$A$3:$R$113,15,FALSE)))</f>
        <v>2755344.3238909938</v>
      </c>
      <c r="I23" s="163">
        <f ca="1">IF(E23&gt;=$B$10,"",IF(F23&lt;16,Pricing!K23,IFERROR(MAX(Pricing!I23,Pricing!J23,Pricing!V23),0)+Pricing!L23))</f>
        <v>9438</v>
      </c>
      <c r="J23" s="163">
        <f>IF(E23="","",Pricing!N23)</f>
        <v>0</v>
      </c>
      <c r="K23" s="163">
        <f>IF(E23="","",Pricing!$O23)</f>
        <v>0</v>
      </c>
      <c r="L23" s="163">
        <f ca="1">IF(E23="","",IF($F23=111,$J23,(SUMPRODUCT(G23:G$116,I23:I$116)+SUMPRODUCT(H23:H$116,J23:J$116))/H23))</f>
        <v>9648.9312113816868</v>
      </c>
      <c r="M23" s="163">
        <f>IF(E23="","",IF($F23=111,$K23,SUMPRODUCT(H23:H$116,K23:K$116)/H23))</f>
        <v>0</v>
      </c>
      <c r="N23" s="163">
        <f t="shared" ca="1" si="2"/>
        <v>434.69252384829758</v>
      </c>
      <c r="O23" s="163">
        <f ca="1">IF(E23="","",IF($F23=111,0,SUMPRODUCT(H23:H$116,N23:N$116)/H23))</f>
        <v>829.48430009528249</v>
      </c>
      <c r="P23" s="163">
        <f t="shared" ca="1" si="3"/>
        <v>8819.4469112864044</v>
      </c>
      <c r="Q23" s="163">
        <f ca="1">IF(E23="","",MAX(ROUND(P23,0),Pricing!$U23))</f>
        <v>8821</v>
      </c>
      <c r="R23" s="163">
        <f t="shared" ca="1" si="4"/>
        <v>0</v>
      </c>
      <c r="S23" s="164">
        <f ca="1">IF(E23="","",IF($F23=111,0,ROUND(SUMPRODUCT(H23:H$116,R23:R$116)/H23,0)))</f>
        <v>0</v>
      </c>
    </row>
    <row r="24" spans="1:19" x14ac:dyDescent="0.3">
      <c r="A24" s="176" t="s">
        <v>108</v>
      </c>
      <c r="B24" s="150">
        <f ca="1">$L$5/(SUMIF($E$5:$E$116,"&lt;" &amp; $B$9,$H$5:$H$116)/$H$5)</f>
        <v>402.8221235184169</v>
      </c>
      <c r="D24" s="178">
        <v>19</v>
      </c>
      <c r="E24" s="95">
        <f t="shared" si="0"/>
        <v>19</v>
      </c>
      <c r="F24" s="183">
        <f t="shared" si="1"/>
        <v>54</v>
      </c>
      <c r="G24" s="162">
        <f>IF(E24="","",IF(E24=$B$10,0,VLOOKUP(F24,Life!$A$3:$R$113,14,FALSE)))</f>
        <v>22159.69631565443</v>
      </c>
      <c r="H24" s="163">
        <f>IF(E24="","",IF($F24=111,0,VLOOKUP(F24,Life!$A$3:$R$113,15,FALSE)))</f>
        <v>2673929.0250693858</v>
      </c>
      <c r="I24" s="163">
        <f ca="1">IF(E24&gt;=$B$10,"",IF(F24&lt;16,Pricing!K24,IFERROR(MAX(Pricing!I24,Pricing!J24,Pricing!V24),0)+Pricing!L24))</f>
        <v>10001.760561669704</v>
      </c>
      <c r="J24" s="163">
        <f>IF(E24="","",Pricing!N24)</f>
        <v>0</v>
      </c>
      <c r="K24" s="163">
        <f>IF(E24="","",Pricing!$O24)</f>
        <v>0</v>
      </c>
      <c r="L24" s="163">
        <f ca="1">IF(E24="","",IF($F24=111,$J24,(SUMPRODUCT(G24:G$116,I24:I$116)+SUMPRODUCT(H24:H$116,J24:J$116))/H24))</f>
        <v>9890.8085215737101</v>
      </c>
      <c r="M24" s="163">
        <f>IF(E24="","",IF($F24=111,$K24,SUMPRODUCT(H24:H$116,K24:K$116)/H24))</f>
        <v>0</v>
      </c>
      <c r="N24" s="163">
        <f t="shared" ca="1" si="2"/>
        <v>434.69252384829758</v>
      </c>
      <c r="O24" s="163">
        <f ca="1">IF(E24="","",IF($F24=111,0,SUMPRODUCT(H24:H$116,N24:N$116)/H24))</f>
        <v>434.69252384829758</v>
      </c>
      <c r="P24" s="163">
        <f t="shared" ca="1" si="3"/>
        <v>9456.1159977254119</v>
      </c>
      <c r="Q24" s="163">
        <f ca="1">IF(E24="","",MAX(ROUND(P24,0),Pricing!$U24))</f>
        <v>9457</v>
      </c>
      <c r="R24" s="163">
        <f t="shared" ca="1" si="4"/>
        <v>0</v>
      </c>
      <c r="S24" s="164">
        <f ca="1">IF(E24="","",IF($F24=111,0,ROUND(SUMPRODUCT(H24:H$116,R24:R$116)/H24,0)))</f>
        <v>0</v>
      </c>
    </row>
    <row r="25" spans="1:19" x14ac:dyDescent="0.3">
      <c r="A25" s="176" t="s">
        <v>112</v>
      </c>
      <c r="B25" s="150">
        <f ca="1">IF($B$9=1,"",SUMPRODUCT($G$5:$G$116,$I$5:$I$116)/(SUM($G$5:$G$116)*$B$11))</f>
        <v>0.81258265493862492</v>
      </c>
      <c r="D25" s="178">
        <v>20</v>
      </c>
      <c r="E25" s="184">
        <f t="shared" si="0"/>
        <v>20</v>
      </c>
      <c r="F25" s="185">
        <f t="shared" si="1"/>
        <v>55</v>
      </c>
      <c r="G25" s="165">
        <f>IF(E25="","",IF(E25=$B$10,0,VLOOKUP(F25,Life!$A$3:$R$113,14,FALSE)))</f>
        <v>23382.920737678058</v>
      </c>
      <c r="H25" s="166">
        <f>IF(E25="","",IF($F25=111,0,VLOOKUP(F25,Life!$A$3:$R$113,15,FALSE)))</f>
        <v>2593174.9818152324</v>
      </c>
      <c r="I25" s="166">
        <f ca="1">IF(E25&gt;=$B$10,"",IF(F25&lt;16,Pricing!K25,IFERROR(MAX(Pricing!I25,Pricing!J25,Pricing!V25),0)+Pricing!L25))</f>
        <v>10227</v>
      </c>
      <c r="J25" s="166">
        <f>IF(E25="","",Pricing!N25)</f>
        <v>0</v>
      </c>
      <c r="K25" s="166">
        <f>IF(E25="","",Pricing!$O25)</f>
        <v>0</v>
      </c>
      <c r="L25" s="166">
        <f ca="1">IF(E25="","",IF($F25=111,$J25,(SUMPRODUCT(G25:G$116,I25:I$116)+SUMPRODUCT(H25:H$116,J25:J$116))/H25))</f>
        <v>10113.325823497749</v>
      </c>
      <c r="M25" s="166">
        <f>IF(E25="","",IF($F25=111,$K25,SUMPRODUCT(H25:H$116,K25:K$116)/H25))</f>
        <v>0</v>
      </c>
      <c r="N25" s="166">
        <f t="shared" si="2"/>
        <v>0</v>
      </c>
      <c r="O25" s="166">
        <f>IF(E25="","",IF($F25=111,0,SUMPRODUCT(H25:H$116,N25:N$116)/H25))</f>
        <v>0</v>
      </c>
      <c r="P25" s="166">
        <f t="shared" ca="1" si="3"/>
        <v>10113.325823497749</v>
      </c>
      <c r="Q25" s="166">
        <f ca="1">IF(E25="","",MAX(ROUND(P25,0),Pricing!$U25))</f>
        <v>10113</v>
      </c>
      <c r="R25" s="166">
        <f t="shared" si="4"/>
        <v>0</v>
      </c>
      <c r="S25" s="167">
        <f>IF(E25="","",IF($F25=111,0,ROUND(SUMPRODUCT(H25:H$116,R25:R$116)/H25,0)))</f>
        <v>0</v>
      </c>
    </row>
    <row r="26" spans="1:19" x14ac:dyDescent="0.3">
      <c r="A26" s="176" t="s">
        <v>113</v>
      </c>
      <c r="B26" s="150">
        <f>IF($B$9=1,"",VLOOKUP(B7,Life!$A$3:$Q$113,16)/(VLOOKUP(B7,Life!$A$3:$Q$113,17)-VLOOKUP(B7+20,Life!$A$3:$Q$113,17))*$B$11)</f>
        <v>269.834032396314</v>
      </c>
      <c r="D26" s="178">
        <v>21</v>
      </c>
      <c r="E26" s="95">
        <f t="shared" si="0"/>
        <v>21</v>
      </c>
      <c r="F26" s="183">
        <f t="shared" si="1"/>
        <v>56</v>
      </c>
      <c r="G26" s="162">
        <f>IF(E26="","",IF(E26=$B$10,0,VLOOKUP(F26,Life!$A$3:$R$113,14,FALSE)))</f>
        <v>24690.354320896589</v>
      </c>
      <c r="H26" s="163">
        <f>IF(E26="","",IF($F26=111,0,VLOOKUP(F26,Life!$A$3:$R$113,15,FALSE)))</f>
        <v>2512988.2312993109</v>
      </c>
      <c r="I26" s="163">
        <f ca="1">IF(E26&gt;=$B$10,"",IF(F26&lt;16,Pricing!K26,IFERROR(MAX(Pricing!I26,Pricing!J26,Pricing!V26),0)+Pricing!L26))</f>
        <v>10457</v>
      </c>
      <c r="J26" s="163">
        <f>IF(E26="","",Pricing!N26)</f>
        <v>0</v>
      </c>
      <c r="K26" s="163">
        <f>IF(E26="","",Pricing!$O26)</f>
        <v>0</v>
      </c>
      <c r="L26" s="163">
        <f ca="1">IF(E26="","",IF($F26=111,$J26,(SUMPRODUCT(G26:G$116,I26:I$116)+SUMPRODUCT(H26:H$116,J26:J$116))/H26))</f>
        <v>10340.824413913188</v>
      </c>
      <c r="M26" s="163">
        <f>IF(E26="","",IF($F26=111,$K26,SUMPRODUCT(H26:H$116,K26:K$116)/H26))</f>
        <v>0</v>
      </c>
      <c r="N26" s="163">
        <f t="shared" si="2"/>
        <v>0</v>
      </c>
      <c r="O26" s="163">
        <f>IF(E26="","",IF($F26=111,0,SUMPRODUCT(H26:H$116,N26:N$116)/H26))</f>
        <v>0</v>
      </c>
      <c r="P26" s="163">
        <f t="shared" ca="1" si="3"/>
        <v>10340.824413913188</v>
      </c>
      <c r="Q26" s="163">
        <f ca="1">IF(E26="","",MAX(ROUND(P26,0),Pricing!$U26))</f>
        <v>10341</v>
      </c>
      <c r="R26" s="163">
        <f t="shared" si="4"/>
        <v>0</v>
      </c>
      <c r="S26" s="164">
        <f>IF(E26="","",IF($F26=111,0,ROUND(SUMPRODUCT(H26:H$116,R26:R$116)/H26,0)))</f>
        <v>0</v>
      </c>
    </row>
    <row r="27" spans="1:19" x14ac:dyDescent="0.3">
      <c r="A27" s="176" t="s">
        <v>114</v>
      </c>
      <c r="B27" s="150">
        <f ca="1">IF($B$9=1,"",(I5*G5+J6*H5)/H5)</f>
        <v>5.3498909488927566</v>
      </c>
      <c r="D27" s="178">
        <v>22</v>
      </c>
      <c r="E27" s="95">
        <f t="shared" si="0"/>
        <v>22</v>
      </c>
      <c r="F27" s="183">
        <f t="shared" si="1"/>
        <v>57</v>
      </c>
      <c r="G27" s="162">
        <f>IF(E27="","",IF(E27=$B$10,0,VLOOKUP(F27,Life!$A$3:$R$113,14,FALSE)))</f>
        <v>26082.492840220912</v>
      </c>
      <c r="H27" s="163">
        <f>IF(E27="","",IF($F27=111,0,VLOOKUP(F27,Life!$A$3:$R$113,15,FALSE)))</f>
        <v>2433273.0128065841</v>
      </c>
      <c r="I27" s="163">
        <f ca="1">IF(E27&gt;=$B$10,"",IF(F27&lt;16,Pricing!K27,IFERROR(MAX(Pricing!I27,Pricing!J27,Pricing!V27),0)+Pricing!L27))</f>
        <v>10692</v>
      </c>
      <c r="J27" s="163">
        <f>IF(E27="","",Pricing!N27)</f>
        <v>0</v>
      </c>
      <c r="K27" s="163">
        <f>IF(E27="","",Pricing!$O27)</f>
        <v>0</v>
      </c>
      <c r="L27" s="163">
        <f ca="1">IF(E27="","",IF($F27=111,$J27,(SUMPRODUCT(G27:G$116,I27:I$116)+SUMPRODUCT(H27:H$116,J27:J$116))/H27))</f>
        <v>10573.440559463792</v>
      </c>
      <c r="M27" s="163">
        <f>IF(E27="","",IF($F27=111,$K27,SUMPRODUCT(H27:H$116,K27:K$116)/H27))</f>
        <v>0</v>
      </c>
      <c r="N27" s="163">
        <f t="shared" si="2"/>
        <v>0</v>
      </c>
      <c r="O27" s="163">
        <f>IF(E27="","",IF($F27=111,0,SUMPRODUCT(H27:H$116,N27:N$116)/H27))</f>
        <v>0</v>
      </c>
      <c r="P27" s="163">
        <f t="shared" ca="1" si="3"/>
        <v>10573.440559463792</v>
      </c>
      <c r="Q27" s="163">
        <f ca="1">IF(E27="","",MAX(ROUND(P27,0),Pricing!$U27))</f>
        <v>10573</v>
      </c>
      <c r="R27" s="163">
        <f t="shared" si="4"/>
        <v>0</v>
      </c>
      <c r="S27" s="164">
        <f>IF(E27="","",IF($F27=111,0,ROUND(SUMPRODUCT(H27:H$116,R27:R$116)/H27,0)))</f>
        <v>0</v>
      </c>
    </row>
    <row r="28" spans="1:19" x14ac:dyDescent="0.3">
      <c r="A28" s="176" t="s">
        <v>115</v>
      </c>
      <c r="B28" s="149">
        <f ca="1">IF($B$9=1,"",IF(B24&gt;B25*B26,20,1))</f>
        <v>20</v>
      </c>
      <c r="D28" s="178">
        <v>23</v>
      </c>
      <c r="E28" s="95">
        <f t="shared" si="0"/>
        <v>23</v>
      </c>
      <c r="F28" s="183">
        <f t="shared" si="1"/>
        <v>58</v>
      </c>
      <c r="G28" s="162">
        <f>IF(E28="","",IF(E28=$B$10,0,VLOOKUP(F28,Life!$A$3:$R$113,14,FALSE)))</f>
        <v>27562.207246525653</v>
      </c>
      <c r="H28" s="163">
        <f>IF(E28="","",IF($F28=111,0,VLOOKUP(F28,Life!$A$3:$R$113,15,FALSE)))</f>
        <v>2353935.1825361787</v>
      </c>
      <c r="I28" s="163">
        <f ca="1">IF(E28&gt;=$B$10,"",IF(F28&lt;16,Pricing!K28,IFERROR(MAX(Pricing!I28,Pricing!J28,Pricing!V28),0)+Pricing!L28))</f>
        <v>10932.5</v>
      </c>
      <c r="J28" s="163">
        <f>IF(E28="","",Pricing!N28)</f>
        <v>0</v>
      </c>
      <c r="K28" s="163">
        <f>IF(E28="","",Pricing!$O28)</f>
        <v>0</v>
      </c>
      <c r="L28" s="163">
        <f ca="1">IF(E28="","",IF($F28=111,$J28,(SUMPRODUCT(G28:G$116,I28:I$116)+SUMPRODUCT(H28:H$116,J28:J$116))/H28))</f>
        <v>10811.310685115433</v>
      </c>
      <c r="M28" s="163">
        <f>IF(E28="","",IF($F28=111,$K28,SUMPRODUCT(H28:H$116,K28:K$116)/H28))</f>
        <v>0</v>
      </c>
      <c r="N28" s="163">
        <f t="shared" si="2"/>
        <v>0</v>
      </c>
      <c r="O28" s="163">
        <f>IF(E28="","",IF($F28=111,0,SUMPRODUCT(H28:H$116,N28:N$116)/H28))</f>
        <v>0</v>
      </c>
      <c r="P28" s="163">
        <f t="shared" ca="1" si="3"/>
        <v>10811.310685115433</v>
      </c>
      <c r="Q28" s="163">
        <f ca="1">IF(E28="","",MAX(ROUND(P28,0),Pricing!$U28))</f>
        <v>10811</v>
      </c>
      <c r="R28" s="163">
        <f t="shared" si="4"/>
        <v>0</v>
      </c>
      <c r="S28" s="164">
        <f>IF(E28="","",IF($F28=111,0,ROUND(SUMPRODUCT(H28:H$116,R28:R$116)/H28,0)))</f>
        <v>0</v>
      </c>
    </row>
    <row r="29" spans="1:19" x14ac:dyDescent="0.3">
      <c r="A29" s="176" t="s">
        <v>116</v>
      </c>
      <c r="B29" s="149">
        <f ca="1">IF($B$9=1,"",IF(B28=20,MIN(B9,20),B9))</f>
        <v>20</v>
      </c>
      <c r="D29" s="178">
        <v>24</v>
      </c>
      <c r="E29" s="95">
        <f t="shared" si="0"/>
        <v>24</v>
      </c>
      <c r="F29" s="183">
        <f t="shared" si="1"/>
        <v>59</v>
      </c>
      <c r="G29" s="162">
        <f>IF(E29="","",IF(E29=$B$10,0,VLOOKUP(F29,Life!$A$3:$R$113,14,FALSE)))</f>
        <v>29120.366514417758</v>
      </c>
      <c r="H29" s="163">
        <f>IF(E29="","",IF($F29=111,0,VLOOKUP(F29,Life!$A$3:$R$113,15,FALSE)))</f>
        <v>2274879.8291235147</v>
      </c>
      <c r="I29" s="163">
        <f ca="1">IF(E29&gt;=$B$10,"",IF(F29&lt;16,Pricing!K29,IFERROR(MAX(Pricing!I29,Pricing!J29,Pricing!V29),0)+Pricing!L29))</f>
        <v>11178.5</v>
      </c>
      <c r="J29" s="163">
        <f>IF(E29="","",Pricing!N29)</f>
        <v>0</v>
      </c>
      <c r="K29" s="163">
        <f>IF(E29="","",Pricing!$O29)</f>
        <v>0</v>
      </c>
      <c r="L29" s="163">
        <f ca="1">IF(E29="","",IF($F29=111,$J29,(SUMPRODUCT(G29:G$116,I29:I$116)+SUMPRODUCT(H29:H$116,J29:J$116))/H29))</f>
        <v>11054.533330064702</v>
      </c>
      <c r="M29" s="163">
        <f>IF(E29="","",IF($F29=111,$K29,SUMPRODUCT(H29:H$116,K29:K$116)/H29))</f>
        <v>0</v>
      </c>
      <c r="N29" s="163">
        <f t="shared" si="2"/>
        <v>0</v>
      </c>
      <c r="O29" s="163">
        <f>IF(E29="","",IF($F29=111,0,SUMPRODUCT(H29:H$116,N29:N$116)/H29))</f>
        <v>0</v>
      </c>
      <c r="P29" s="163">
        <f t="shared" ca="1" si="3"/>
        <v>11054.533330064702</v>
      </c>
      <c r="Q29" s="163">
        <f ca="1">IF(E29="","",MAX(ROUND(P29,0),Pricing!$U29))</f>
        <v>11055</v>
      </c>
      <c r="R29" s="163">
        <f t="shared" si="4"/>
        <v>0</v>
      </c>
      <c r="S29" s="164">
        <f>IF(E29="","",IF($F29=111,0,ROUND(SUMPRODUCT(H29:H$116,R29:R$116)/H29,0)))</f>
        <v>0</v>
      </c>
    </row>
    <row r="30" spans="1:19" x14ac:dyDescent="0.3">
      <c r="A30" s="176" t="s">
        <v>109</v>
      </c>
      <c r="B30" s="150">
        <f ca="1">IF($B$9=1,$B$24,B27+MAX(B24-B25*B26,0))</f>
        <v>5.3543528305965324</v>
      </c>
      <c r="D30" s="178">
        <v>25</v>
      </c>
      <c r="E30" s="184">
        <f t="shared" si="0"/>
        <v>25</v>
      </c>
      <c r="F30" s="185">
        <f t="shared" si="1"/>
        <v>60</v>
      </c>
      <c r="G30" s="165">
        <f>IF(E30="","",IF(E30=$B$10,0,VLOOKUP(F30,Life!$A$3:$R$113,14,FALSE)))</f>
        <v>30747.282822665391</v>
      </c>
      <c r="H30" s="166">
        <f>IF(E30="","",IF($F30=111,0,VLOOKUP(F30,Life!$A$3:$R$113,15,FALSE)))</f>
        <v>2196023.1597210965</v>
      </c>
      <c r="I30" s="166">
        <f ca="1">IF(E30&gt;=$B$10,"",IF(F30&lt;16,Pricing!K30,IFERROR(MAX(Pricing!I30,Pricing!J30,Pricing!V30),0)+Pricing!L30))</f>
        <v>11430</v>
      </c>
      <c r="J30" s="166">
        <f>IF(E30="","",Pricing!N30)</f>
        <v>0</v>
      </c>
      <c r="K30" s="166">
        <f>IF(E30="","",Pricing!$O30)</f>
        <v>0</v>
      </c>
      <c r="L30" s="166">
        <f ca="1">IF(E30="","",IF($F30=111,$J30,(SUMPRODUCT(G30:G$116,I30:I$116)+SUMPRODUCT(H30:H$116,J30:J$116))/H30))</f>
        <v>11303.216385266182</v>
      </c>
      <c r="M30" s="166">
        <f>IF(E30="","",IF($F30=111,$K30,SUMPRODUCT(H30:H$116,K30:K$116)/H30))</f>
        <v>0</v>
      </c>
      <c r="N30" s="166">
        <f t="shared" si="2"/>
        <v>0</v>
      </c>
      <c r="O30" s="166">
        <f>IF(E30="","",IF($F30=111,0,SUMPRODUCT(H30:H$116,N30:N$116)/H30))</f>
        <v>0</v>
      </c>
      <c r="P30" s="166">
        <f t="shared" ca="1" si="3"/>
        <v>11303.216385266182</v>
      </c>
      <c r="Q30" s="166">
        <f ca="1">IF(E30="","",MAX(ROUND(P30,0),Pricing!$U30))</f>
        <v>11303</v>
      </c>
      <c r="R30" s="166">
        <f t="shared" si="4"/>
        <v>0</v>
      </c>
      <c r="S30" s="167">
        <f>IF(E30="","",IF($F30=111,0,ROUND(SUMPRODUCT(H30:H$116,R30:R$116)/H30,0)))</f>
        <v>0</v>
      </c>
    </row>
    <row r="31" spans="1:19" x14ac:dyDescent="0.3">
      <c r="A31" s="176" t="s">
        <v>110</v>
      </c>
      <c r="B31" s="150">
        <f ca="1">IF($B$9=1,0,B24+(B24-B30)/(SUMIF(E6:E116,"&lt;" &amp; B9,H6:H116)/H5))</f>
        <v>434.69252384829758</v>
      </c>
      <c r="D31" s="178">
        <v>26</v>
      </c>
      <c r="E31" s="95">
        <f t="shared" si="0"/>
        <v>26</v>
      </c>
      <c r="F31" s="183">
        <f t="shared" si="1"/>
        <v>61</v>
      </c>
      <c r="G31" s="162">
        <f>IF(E31="","",IF(E31=$B$10,0,VLOOKUP(F31,Life!$A$3:$R$113,14,FALSE)))</f>
        <v>32429.751810193611</v>
      </c>
      <c r="H31" s="163">
        <f>IF(E31="","",IF($F31=111,0,VLOOKUP(F31,Life!$A$3:$R$113,15,FALSE)))</f>
        <v>2117292.8059724169</v>
      </c>
      <c r="I31" s="163">
        <f ca="1">IF(E31&gt;=$B$10,"",IF(F31&lt;16,Pricing!K31,IFERROR(MAX(Pricing!I31,Pricing!J31,Pricing!V31),0)+Pricing!L31))</f>
        <v>11687</v>
      </c>
      <c r="J31" s="163">
        <f>IF(E31="","",Pricing!N31)</f>
        <v>0</v>
      </c>
      <c r="K31" s="163">
        <f>IF(E31="","",Pricing!$O31)</f>
        <v>0</v>
      </c>
      <c r="L31" s="163">
        <f ca="1">IF(E31="","",IF($F31=111,$J31,(SUMPRODUCT(G31:G$116,I31:I$116)+SUMPRODUCT(H31:H$116,J31:J$116))/H31))</f>
        <v>11557.483854159485</v>
      </c>
      <c r="M31" s="163">
        <f>IF(E31="","",IF($F31=111,$K31,SUMPRODUCT(H31:H$116,K31:K$116)/H31))</f>
        <v>0</v>
      </c>
      <c r="N31" s="163">
        <f t="shared" si="2"/>
        <v>0</v>
      </c>
      <c r="O31" s="163">
        <f>IF(E31="","",IF($F31=111,0,SUMPRODUCT(H31:H$116,N31:N$116)/H31))</f>
        <v>0</v>
      </c>
      <c r="P31" s="163">
        <f t="shared" ca="1" si="3"/>
        <v>11557.483854159485</v>
      </c>
      <c r="Q31" s="163">
        <f ca="1">IF(E31="","",MAX(ROUND(P31,0),Pricing!$U31))</f>
        <v>11557</v>
      </c>
      <c r="R31" s="163">
        <f t="shared" si="4"/>
        <v>0</v>
      </c>
      <c r="S31" s="164">
        <f>IF(E31="","",IF($F31=111,0,ROUND(SUMPRODUCT(H31:H$116,R31:R$116)/H31,0)))</f>
        <v>0</v>
      </c>
    </row>
    <row r="32" spans="1:19" ht="15" thickBot="1" x14ac:dyDescent="0.35">
      <c r="A32" s="197" t="s">
        <v>111</v>
      </c>
      <c r="B32" s="196">
        <f ca="1">IF($B$9=1,0,IF(B9&gt;B29,B24,0))</f>
        <v>0</v>
      </c>
      <c r="D32" s="178">
        <v>27</v>
      </c>
      <c r="E32" s="95">
        <f t="shared" si="0"/>
        <v>27</v>
      </c>
      <c r="F32" s="183">
        <f t="shared" si="1"/>
        <v>62</v>
      </c>
      <c r="G32" s="162">
        <f>IF(E32="","",IF(E32=$B$10,0,VLOOKUP(F32,Life!$A$3:$R$113,14,FALSE)))</f>
        <v>34156.454367855018</v>
      </c>
      <c r="H32" s="163">
        <f>IF(E32="","",IF($F32=111,0,VLOOKUP(F32,Life!$A$3:$R$113,15,FALSE)))</f>
        <v>2038631.0502513733</v>
      </c>
      <c r="I32" s="163">
        <f ca="1">IF(E32&gt;=$B$10,"",IF(F32&lt;16,Pricing!K32,IFERROR(MAX(Pricing!I32,Pricing!J32,Pricing!V32),0)+Pricing!L32))</f>
        <v>11950</v>
      </c>
      <c r="J32" s="163">
        <f>IF(E32="","",Pricing!N32)</f>
        <v>0</v>
      </c>
      <c r="K32" s="163">
        <f>IF(E32="","",Pricing!$O32)</f>
        <v>0</v>
      </c>
      <c r="L32" s="163">
        <f ca="1">IF(E32="","",IF($F32=111,$J32,(SUMPRODUCT(G32:G$116,I32:I$116)+SUMPRODUCT(H32:H$116,J32:J$116))/H32))</f>
        <v>11817.486705781936</v>
      </c>
      <c r="M32" s="163">
        <f>IF(E32="","",IF($F32=111,$K32,SUMPRODUCT(H32:H$116,K32:K$116)/H32))</f>
        <v>0</v>
      </c>
      <c r="N32" s="163">
        <f t="shared" si="2"/>
        <v>0</v>
      </c>
      <c r="O32" s="163">
        <f>IF(E32="","",IF($F32=111,0,SUMPRODUCT(H32:H$116,N32:N$116)/H32))</f>
        <v>0</v>
      </c>
      <c r="P32" s="163">
        <f t="shared" ca="1" si="3"/>
        <v>11817.486705781936</v>
      </c>
      <c r="Q32" s="163">
        <f ca="1">IF(E32="","",MAX(ROUND(P32,0),Pricing!$U32))</f>
        <v>11817</v>
      </c>
      <c r="R32" s="163">
        <f t="shared" si="4"/>
        <v>0</v>
      </c>
      <c r="S32" s="164">
        <f>IF(E32="","",IF($F32=111,0,ROUND(SUMPRODUCT(H32:H$116,R32:R$116)/H32,0)))</f>
        <v>0</v>
      </c>
    </row>
    <row r="33" spans="1:19" ht="16.2" x14ac:dyDescent="0.3">
      <c r="A33" s="438" t="s">
        <v>144</v>
      </c>
      <c r="B33" s="437"/>
      <c r="D33" s="178">
        <v>28</v>
      </c>
      <c r="E33" s="95">
        <f t="shared" si="0"/>
        <v>28</v>
      </c>
      <c r="F33" s="183">
        <f t="shared" si="1"/>
        <v>63</v>
      </c>
      <c r="G33" s="162">
        <f>IF(E33="","",IF(E33=$B$10,0,VLOOKUP(F33,Life!$A$3:$R$113,14,FALSE)))</f>
        <v>35912.935197821556</v>
      </c>
      <c r="H33" s="163">
        <f>IF(E33="","",IF($F33=111,0,VLOOKUP(F33,Life!$A$3:$R$113,15,FALSE)))</f>
        <v>1959992.6388803928</v>
      </c>
      <c r="I33" s="163">
        <f ca="1">IF(E33&gt;=$B$10,"",IF(F33&lt;16,Pricing!K33,IFERROR(MAX(Pricing!I33,Pricing!J33,Pricing!V33),0)+Pricing!L33))</f>
        <v>12219</v>
      </c>
      <c r="J33" s="163">
        <f>IF(E33="","",Pricing!N33)</f>
        <v>0</v>
      </c>
      <c r="K33" s="163">
        <f>IF(E33="","",Pricing!$O33)</f>
        <v>0</v>
      </c>
      <c r="L33" s="163">
        <f ca="1">IF(E33="","",IF($F33=111,$J33,(SUMPRODUCT(G33:G$116,I33:I$116)+SUMPRODUCT(H33:H$116,J33:J$116))/H33))</f>
        <v>12083.316351621837</v>
      </c>
      <c r="M33" s="163">
        <f>IF(E33="","",IF($F33=111,$K33,SUMPRODUCT(H33:H$116,K33:K$116)/H33))</f>
        <v>0</v>
      </c>
      <c r="N33" s="163">
        <f t="shared" si="2"/>
        <v>0</v>
      </c>
      <c r="O33" s="163">
        <f>IF(E33="","",IF($F33=111,0,SUMPRODUCT(H33:H$116,N33:N$116)/H33))</f>
        <v>0</v>
      </c>
      <c r="P33" s="163">
        <f t="shared" ca="1" si="3"/>
        <v>12083.316351621837</v>
      </c>
      <c r="Q33" s="163">
        <f ca="1">IF(E33="","",MAX(ROUND(P33,0),Pricing!$U33))</f>
        <v>12083</v>
      </c>
      <c r="R33" s="163">
        <f t="shared" si="4"/>
        <v>0</v>
      </c>
      <c r="S33" s="164">
        <f>IF(E33="","",IF($F33=111,0,ROUND(SUMPRODUCT(H33:H$116,R33:R$116)/H33,0)))</f>
        <v>0</v>
      </c>
    </row>
    <row r="34" spans="1:19" ht="15" thickBot="1" x14ac:dyDescent="0.35">
      <c r="A34" s="177" t="s">
        <v>108</v>
      </c>
      <c r="B34" s="151">
        <f>$M$5/(SUMIF($E$5:$E$116,"&lt;" &amp; $B$9,$H$5:$H$116)/$H$5)</f>
        <v>0</v>
      </c>
      <c r="D34" s="178">
        <v>29</v>
      </c>
      <c r="E34" s="95">
        <f t="shared" si="0"/>
        <v>29</v>
      </c>
      <c r="F34" s="183">
        <f t="shared" si="1"/>
        <v>64</v>
      </c>
      <c r="G34" s="162">
        <f>IF(E34="","",IF(E34=$B$10,0,VLOOKUP(F34,Life!$A$3:$R$113,14,FALSE)))</f>
        <v>37696.279278188544</v>
      </c>
      <c r="H34" s="163">
        <f>IF(E34="","",IF($F34=111,0,VLOOKUP(F34,Life!$A$3:$R$113,15,FALSE)))</f>
        <v>1881347.6093536126</v>
      </c>
      <c r="I34" s="163">
        <f ca="1">IF(E34&gt;=$B$10,"",IF(F34&lt;16,Pricing!K34,IFERROR(MAX(Pricing!I34,Pricing!J34,Pricing!V34),0)+Pricing!L34))</f>
        <v>12494</v>
      </c>
      <c r="J34" s="163">
        <f>IF(E34="","",Pricing!N34)</f>
        <v>0</v>
      </c>
      <c r="K34" s="163">
        <f>IF(E34="","",Pricing!$O34)</f>
        <v>0</v>
      </c>
      <c r="L34" s="163">
        <f ca="1">IF(E34="","",IF($F34=111,$J34,(SUMPRODUCT(G34:G$116,I34:I$116)+SUMPRODUCT(H34:H$116,J34:J$116))/H34))</f>
        <v>12355.073570486529</v>
      </c>
      <c r="M34" s="163">
        <f>IF(E34="","",IF($F34=111,$K34,SUMPRODUCT(H34:H$116,K34:K$116)/H34))</f>
        <v>0</v>
      </c>
      <c r="N34" s="163">
        <f t="shared" si="2"/>
        <v>0</v>
      </c>
      <c r="O34" s="163">
        <f>IF(E34="","",IF($F34=111,0,SUMPRODUCT(H34:H$116,N34:N$116)/H34))</f>
        <v>0</v>
      </c>
      <c r="P34" s="163">
        <f t="shared" ca="1" si="3"/>
        <v>12355.073570486529</v>
      </c>
      <c r="Q34" s="163">
        <f ca="1">IF(E34="","",MAX(ROUND(P34,0),Pricing!$U34))</f>
        <v>12355</v>
      </c>
      <c r="R34" s="163">
        <f t="shared" si="4"/>
        <v>0</v>
      </c>
      <c r="S34" s="164">
        <f>IF(E34="","",IF($F34=111,0,ROUND(SUMPRODUCT(H34:H$116,R34:R$116)/H34,0)))</f>
        <v>0</v>
      </c>
    </row>
    <row r="35" spans="1:19" x14ac:dyDescent="0.3">
      <c r="D35" s="178">
        <v>30</v>
      </c>
      <c r="E35" s="184">
        <f t="shared" si="0"/>
        <v>30</v>
      </c>
      <c r="F35" s="185">
        <f t="shared" si="1"/>
        <v>65</v>
      </c>
      <c r="G35" s="165">
        <f>IF(E35="","",IF(E35=$B$10,0,VLOOKUP(F35,Life!$A$3:$R$113,14,FALSE)))</f>
        <v>39499.935056519222</v>
      </c>
      <c r="H35" s="166">
        <f>IF(E35="","",IF($F35=111,0,VLOOKUP(F35,Life!$A$3:$R$113,15,FALSE)))</f>
        <v>1802669.5412579456</v>
      </c>
      <c r="I35" s="166">
        <f ca="1">IF(E35&gt;=$B$10,"",IF(F35&lt;16,Pricing!K35,IFERROR(MAX(Pricing!I35,Pricing!J35,Pricing!V35),0)+Pricing!L35))</f>
        <v>12775</v>
      </c>
      <c r="J35" s="166">
        <f>IF(E35="","",Pricing!N35)</f>
        <v>0</v>
      </c>
      <c r="K35" s="166">
        <f>IF(E35="","",Pricing!$O35)</f>
        <v>0</v>
      </c>
      <c r="L35" s="166">
        <f ca="1">IF(E35="","",IF($F35=111,$J35,(SUMPRODUCT(G35:G$116,I35:I$116)+SUMPRODUCT(H35:H$116,J35:J$116))/H35))</f>
        <v>12632.877894653577</v>
      </c>
      <c r="M35" s="166">
        <f>IF(E35="","",IF($F35=111,$K35,SUMPRODUCT(H35:H$116,K35:K$116)/H35))</f>
        <v>0</v>
      </c>
      <c r="N35" s="166">
        <f t="shared" si="2"/>
        <v>0</v>
      </c>
      <c r="O35" s="166">
        <f>IF(E35="","",IF($F35=111,0,SUMPRODUCT(H35:H$116,N35:N$116)/H35))</f>
        <v>0</v>
      </c>
      <c r="P35" s="166">
        <f t="shared" ca="1" si="3"/>
        <v>12632.877894653577</v>
      </c>
      <c r="Q35" s="166">
        <f ca="1">IF(E35="","",MAX(ROUND(P35,0),Pricing!$U35))</f>
        <v>12633</v>
      </c>
      <c r="R35" s="166">
        <f t="shared" si="4"/>
        <v>0</v>
      </c>
      <c r="S35" s="167">
        <f>IF(E35="","",IF($F35=111,0,ROUND(SUMPRODUCT(H35:H$116,R35:R$116)/H35,0)))</f>
        <v>0</v>
      </c>
    </row>
    <row r="36" spans="1:19" x14ac:dyDescent="0.3">
      <c r="D36" s="178">
        <v>31</v>
      </c>
      <c r="E36" s="95">
        <f t="shared" si="0"/>
        <v>31</v>
      </c>
      <c r="F36" s="183">
        <f t="shared" si="1"/>
        <v>66</v>
      </c>
      <c r="G36" s="162">
        <f>IF(E36="","",IF(E36=$B$10,0,VLOOKUP(F36,Life!$A$3:$R$113,14,FALSE)))</f>
        <v>41314.123307621601</v>
      </c>
      <c r="H36" s="163">
        <f>IF(E36="","",IF($F36=111,0,VLOOKUP(F36,Life!$A$3:$R$113,15,FALSE)))</f>
        <v>1723939.0746269603</v>
      </c>
      <c r="I36" s="163">
        <f ca="1">IF(E36&gt;=$B$10,"",IF(F36&lt;16,Pricing!K36,IFERROR(MAX(Pricing!I36,Pricing!J36,Pricing!V36),0)+Pricing!L36))</f>
        <v>13062</v>
      </c>
      <c r="J36" s="163">
        <f>IF(E36="","",Pricing!N36)</f>
        <v>0</v>
      </c>
      <c r="K36" s="163">
        <f>IF(E36="","",Pricing!$O36)</f>
        <v>0</v>
      </c>
      <c r="L36" s="163">
        <f ca="1">IF(E36="","",IF($F36=111,$J36,(SUMPRODUCT(G36:G$116,I36:I$116)+SUMPRODUCT(H36:H$116,J36:J$116))/H36))</f>
        <v>12916.884112393931</v>
      </c>
      <c r="M36" s="163">
        <f>IF(E36="","",IF($F36=111,$K36,SUMPRODUCT(H36:H$116,K36:K$116)/H36))</f>
        <v>0</v>
      </c>
      <c r="N36" s="163">
        <f t="shared" si="2"/>
        <v>0</v>
      </c>
      <c r="O36" s="163">
        <f>IF(E36="","",IF($F36=111,0,SUMPRODUCT(H36:H$116,N36:N$116)/H36))</f>
        <v>0</v>
      </c>
      <c r="P36" s="163">
        <f t="shared" ca="1" si="3"/>
        <v>12916.884112393931</v>
      </c>
      <c r="Q36" s="163">
        <f ca="1">IF(E36="","",MAX(ROUND(P36,0),Pricing!$U36))</f>
        <v>12917</v>
      </c>
      <c r="R36" s="163">
        <f t="shared" si="4"/>
        <v>0</v>
      </c>
      <c r="S36" s="164">
        <f>IF(E36="","",IF($F36=111,0,ROUND(SUMPRODUCT(H36:H$116,R36:R$116)/H36,0)))</f>
        <v>0</v>
      </c>
    </row>
    <row r="37" spans="1:19" x14ac:dyDescent="0.3">
      <c r="D37" s="178">
        <v>32</v>
      </c>
      <c r="E37" s="95">
        <f t="shared" ref="E37:E68" si="5">IF(D37&lt;=$B$10,D37,"")</f>
        <v>32</v>
      </c>
      <c r="F37" s="183">
        <f t="shared" ref="F37:F68" si="6">IF(E37="","",E37+$B$7)</f>
        <v>67</v>
      </c>
      <c r="G37" s="162">
        <f>IF(E37="","",IF(E37=$B$10,0,VLOOKUP(F37,Life!$A$3:$R$113,14,FALSE)))</f>
        <v>43122.210227862823</v>
      </c>
      <c r="H37" s="163">
        <f>IF(E37="","",IF($F37=111,0,VLOOKUP(F37,Life!$A$3:$R$113,15,FALSE)))</f>
        <v>1645146.9465394523</v>
      </c>
      <c r="I37" s="163">
        <f ca="1">IF(E37&gt;=$B$10,"",IF(F37&lt;16,Pricing!K37,IFERROR(MAX(Pricing!I37,Pricing!J37,Pricing!V37),0)+Pricing!L37))</f>
        <v>13355.5</v>
      </c>
      <c r="J37" s="163">
        <f>IF(E37="","",Pricing!N37)</f>
        <v>0</v>
      </c>
      <c r="K37" s="163">
        <f>IF(E37="","",Pricing!$O37)</f>
        <v>0</v>
      </c>
      <c r="L37" s="163">
        <f ca="1">IF(E37="","",IF($F37=111,$J37,(SUMPRODUCT(G37:G$116,I37:I$116)+SUMPRODUCT(H37:H$116,J37:J$116))/H37))</f>
        <v>13207.312037775217</v>
      </c>
      <c r="M37" s="163">
        <f>IF(E37="","",IF($F37=111,$K37,SUMPRODUCT(H37:H$116,K37:K$116)/H37))</f>
        <v>0</v>
      </c>
      <c r="N37" s="163">
        <f t="shared" ref="N37:N68" si="7">IF(E37="","",IF(E37&gt;=$B$9,0,IF(E37=0,$B$20,IF(E37&lt;$B$29,$B$21,$B$22))))</f>
        <v>0</v>
      </c>
      <c r="O37" s="163">
        <f>IF(E37="","",IF($F37=111,0,SUMPRODUCT(H37:H$116,N37:N$116)/H37))</f>
        <v>0</v>
      </c>
      <c r="P37" s="163">
        <f t="shared" ref="P37:P68" ca="1" si="8">IF(E37="","",L37+M37-O37)</f>
        <v>13207.312037775217</v>
      </c>
      <c r="Q37" s="163">
        <f ca="1">IF(E37="","",MAX(ROUND(P37,0),Pricing!$U37))</f>
        <v>13207</v>
      </c>
      <c r="R37" s="163">
        <f t="shared" ref="R37:R68" si="9">IF(E37="","",MAX(N37-$B$12*(1-$B$13),0))</f>
        <v>0</v>
      </c>
      <c r="S37" s="164">
        <f>IF(E37="","",IF($F37=111,0,ROUND(SUMPRODUCT(H37:H$116,R37:R$116)/H37,0)))</f>
        <v>0</v>
      </c>
    </row>
    <row r="38" spans="1:19" x14ac:dyDescent="0.3">
      <c r="D38" s="178">
        <v>33</v>
      </c>
      <c r="E38" s="95">
        <f t="shared" si="5"/>
        <v>33</v>
      </c>
      <c r="F38" s="183">
        <f t="shared" si="6"/>
        <v>68</v>
      </c>
      <c r="G38" s="162">
        <f>IF(E38="","",IF(E38=$B$10,0,VLOOKUP(F38,Life!$A$3:$R$113,14,FALSE)))</f>
        <v>44907.820790441408</v>
      </c>
      <c r="H38" s="163">
        <f>IF(E38="","",IF($F38=111,0,VLOOKUP(F38,Life!$A$3:$R$113,15,FALSE)))</f>
        <v>1566300.5476768764</v>
      </c>
      <c r="I38" s="163">
        <f ca="1">IF(E38&gt;=$B$10,"",IF(F38&lt;16,Pricing!K38,IFERROR(MAX(Pricing!I38,Pricing!J38,Pricing!V38),0)+Pricing!L38))</f>
        <v>13656</v>
      </c>
      <c r="J38" s="163">
        <f>IF(E38="","",Pricing!N38)</f>
        <v>0</v>
      </c>
      <c r="K38" s="163">
        <f>IF(E38="","",Pricing!$O38)</f>
        <v>0</v>
      </c>
      <c r="L38" s="163">
        <f ca="1">IF(E38="","",IF($F38=111,$J38,(SUMPRODUCT(G38:G$116,I38:I$116)+SUMPRODUCT(H38:H$116,J38:J$116))/H38))</f>
        <v>13504.315053197783</v>
      </c>
      <c r="M38" s="163">
        <f>IF(E38="","",IF($F38=111,$K38,SUMPRODUCT(H38:H$116,K38:K$116)/H38))</f>
        <v>0</v>
      </c>
      <c r="N38" s="163">
        <f t="shared" si="7"/>
        <v>0</v>
      </c>
      <c r="O38" s="163">
        <f>IF(E38="","",IF($F38=111,0,SUMPRODUCT(H38:H$116,N38:N$116)/H38))</f>
        <v>0</v>
      </c>
      <c r="P38" s="163">
        <f t="shared" ca="1" si="8"/>
        <v>13504.315053197783</v>
      </c>
      <c r="Q38" s="163">
        <f ca="1">IF(E38="","",MAX(ROUND(P38,0),Pricing!$U38))</f>
        <v>13504</v>
      </c>
      <c r="R38" s="163">
        <f t="shared" si="9"/>
        <v>0</v>
      </c>
      <c r="S38" s="164">
        <f>IF(E38="","",IF($F38=111,0,ROUND(SUMPRODUCT(H38:H$116,R38:R$116)/H38,0)))</f>
        <v>0</v>
      </c>
    </row>
    <row r="39" spans="1:19" x14ac:dyDescent="0.3">
      <c r="D39" s="178">
        <v>34</v>
      </c>
      <c r="E39" s="95">
        <f t="shared" si="5"/>
        <v>34</v>
      </c>
      <c r="F39" s="183">
        <f t="shared" si="6"/>
        <v>69</v>
      </c>
      <c r="G39" s="162">
        <f>IF(E39="","",IF(E39=$B$10,0,VLOOKUP(F39,Life!$A$3:$R$113,14,FALSE)))</f>
        <v>46651.692239502387</v>
      </c>
      <c r="H39" s="163">
        <f>IF(E39="","",IF($F39=111,0,VLOOKUP(F39,Life!$A$3:$R$113,15,FALSE)))</f>
        <v>1487423.2999488406</v>
      </c>
      <c r="I39" s="163">
        <f ca="1">IF(E39&gt;=$B$10,"",IF(F39&lt;16,Pricing!K39,IFERROR(MAX(Pricing!I39,Pricing!J39,Pricing!V39),0)+Pricing!L39))</f>
        <v>13963</v>
      </c>
      <c r="J39" s="163">
        <f>IF(E39="","",Pricing!N39)</f>
        <v>0</v>
      </c>
      <c r="K39" s="163">
        <f>IF(E39="","",Pricing!$O39)</f>
        <v>0</v>
      </c>
      <c r="L39" s="163">
        <f ca="1">IF(E39="","",IF($F39=111,$J39,(SUMPRODUCT(G39:G$116,I39:I$116)+SUMPRODUCT(H39:H$116,J39:J$116))/H39))</f>
        <v>13807.906162361685</v>
      </c>
      <c r="M39" s="163">
        <f>IF(E39="","",IF($F39=111,$K39,SUMPRODUCT(H39:H$116,K39:K$116)/H39))</f>
        <v>0</v>
      </c>
      <c r="N39" s="163">
        <f t="shared" si="7"/>
        <v>0</v>
      </c>
      <c r="O39" s="163">
        <f>IF(E39="","",IF($F39=111,0,SUMPRODUCT(H39:H$116,N39:N$116)/H39))</f>
        <v>0</v>
      </c>
      <c r="P39" s="163">
        <f t="shared" ca="1" si="8"/>
        <v>13807.906162361685</v>
      </c>
      <c r="Q39" s="163">
        <f ca="1">IF(E39="","",MAX(ROUND(P39,0),Pricing!$U39))</f>
        <v>13808</v>
      </c>
      <c r="R39" s="163">
        <f t="shared" si="9"/>
        <v>0</v>
      </c>
      <c r="S39" s="164">
        <f>IF(E39="","",IF($F39=111,0,ROUND(SUMPRODUCT(H39:H$116,R39:R$116)/H39,0)))</f>
        <v>0</v>
      </c>
    </row>
    <row r="40" spans="1:19" x14ac:dyDescent="0.3">
      <c r="D40" s="178">
        <v>35</v>
      </c>
      <c r="E40" s="184">
        <f t="shared" si="5"/>
        <v>35</v>
      </c>
      <c r="F40" s="185">
        <f t="shared" si="6"/>
        <v>70</v>
      </c>
      <c r="G40" s="165">
        <f>IF(E40="","",IF(E40=$B$10,0,VLOOKUP(F40,Life!$A$3:$R$113,14,FALSE)))</f>
        <v>48333.31935578672</v>
      </c>
      <c r="H40" s="166">
        <f>IF(E40="","",IF($F40=111,0,VLOOKUP(F40,Life!$A$3:$R$113,15,FALSE)))</f>
        <v>1408557.1595079289</v>
      </c>
      <c r="I40" s="166">
        <f ca="1">IF(E40&gt;=$B$10,"",IF(F40&lt;16,Pricing!K40,IFERROR(MAX(Pricing!I40,Pricing!J40,Pricing!V40),0)+Pricing!L40))</f>
        <v>14276.5</v>
      </c>
      <c r="J40" s="166">
        <f>IF(E40="","",Pricing!N40)</f>
        <v>0</v>
      </c>
      <c r="K40" s="166">
        <f>IF(E40="","",Pricing!$O40)</f>
        <v>0</v>
      </c>
      <c r="L40" s="166">
        <f ca="1">IF(E40="","",IF($F40=111,$J40,(SUMPRODUCT(G40:G$116,I40:I$116)+SUMPRODUCT(H40:H$116,J40:J$116))/H40))</f>
        <v>14118.288410367728</v>
      </c>
      <c r="M40" s="166">
        <f>IF(E40="","",IF($F40=111,$K40,SUMPRODUCT(H40:H$116,K40:K$116)/H40))</f>
        <v>0</v>
      </c>
      <c r="N40" s="166">
        <f t="shared" si="7"/>
        <v>0</v>
      </c>
      <c r="O40" s="166">
        <f>IF(E40="","",IF($F40=111,0,SUMPRODUCT(H40:H$116,N40:N$116)/H40))</f>
        <v>0</v>
      </c>
      <c r="P40" s="166">
        <f t="shared" ca="1" si="8"/>
        <v>14118.288410367728</v>
      </c>
      <c r="Q40" s="166">
        <f ca="1">IF(E40="","",MAX(ROUND(P40,0),Pricing!$U40))</f>
        <v>14118</v>
      </c>
      <c r="R40" s="166">
        <f t="shared" si="9"/>
        <v>0</v>
      </c>
      <c r="S40" s="167">
        <f>IF(E40="","",IF($F40=111,0,ROUND(SUMPRODUCT(H40:H$116,R40:R$116)/H40,0)))</f>
        <v>0</v>
      </c>
    </row>
    <row r="41" spans="1:19" x14ac:dyDescent="0.3">
      <c r="D41" s="178">
        <v>36</v>
      </c>
      <c r="E41" s="95">
        <f t="shared" si="5"/>
        <v>36</v>
      </c>
      <c r="F41" s="183">
        <f t="shared" si="6"/>
        <v>71</v>
      </c>
      <c r="G41" s="162">
        <f>IF(E41="","",IF(E41=$B$10,0,VLOOKUP(F41,Life!$A$3:$R$113,14,FALSE)))</f>
        <v>49923.23869625559</v>
      </c>
      <c r="H41" s="163">
        <f>IF(E41="","",IF($F41=111,0,VLOOKUP(F41,Life!$A$3:$R$113,15,FALSE)))</f>
        <v>1329763.4376229532</v>
      </c>
      <c r="I41" s="163">
        <f ca="1">IF(E41&gt;=$B$10,"",IF(F41&lt;16,Pricing!K41,IFERROR(MAX(Pricing!I41,Pricing!J41,Pricing!V41),0)+Pricing!L41))</f>
        <v>14597.5</v>
      </c>
      <c r="J41" s="163">
        <f>IF(E41="","",Pricing!N41)</f>
        <v>0</v>
      </c>
      <c r="K41" s="163">
        <f>IF(E41="","",Pricing!$O41)</f>
        <v>0</v>
      </c>
      <c r="L41" s="163">
        <f ca="1">IF(E41="","",IF($F41=111,$J41,(SUMPRODUCT(G41:G$116,I41:I$116)+SUMPRODUCT(H41:H$116,J41:J$116))/H41))</f>
        <v>14435.806737820087</v>
      </c>
      <c r="M41" s="163">
        <f>IF(E41="","",IF($F41=111,$K41,SUMPRODUCT(H41:H$116,K41:K$116)/H41))</f>
        <v>0</v>
      </c>
      <c r="N41" s="163">
        <f t="shared" si="7"/>
        <v>0</v>
      </c>
      <c r="O41" s="163">
        <f>IF(E41="","",IF($F41=111,0,SUMPRODUCT(H41:H$116,N41:N$116)/H41))</f>
        <v>0</v>
      </c>
      <c r="P41" s="163">
        <f t="shared" ca="1" si="8"/>
        <v>14435.806737820087</v>
      </c>
      <c r="Q41" s="163">
        <f ca="1">IF(E41="","",MAX(ROUND(P41,0),Pricing!$U41))</f>
        <v>14436</v>
      </c>
      <c r="R41" s="163">
        <f t="shared" si="9"/>
        <v>0</v>
      </c>
      <c r="S41" s="164">
        <f>IF(E41="","",IF($F41=111,0,ROUND(SUMPRODUCT(H41:H$116,R41:R$116)/H41,0)))</f>
        <v>0</v>
      </c>
    </row>
    <row r="42" spans="1:19" x14ac:dyDescent="0.3">
      <c r="D42" s="178">
        <v>37</v>
      </c>
      <c r="E42" s="95">
        <f t="shared" si="5"/>
        <v>37</v>
      </c>
      <c r="F42" s="183">
        <f t="shared" si="6"/>
        <v>72</v>
      </c>
      <c r="G42" s="162">
        <f>IF(E42="","",IF(E42=$B$10,0,VLOOKUP(F42,Life!$A$3:$R$113,14,FALSE)))</f>
        <v>51390.890313546523</v>
      </c>
      <c r="H42" s="163">
        <f>IF(E42="","",IF($F42=111,0,VLOOKUP(F42,Life!$A$3:$R$113,15,FALSE)))</f>
        <v>1251131.2338849024</v>
      </c>
      <c r="I42" s="163">
        <f ca="1">IF(E42&gt;=$B$10,"",IF(F42&lt;16,Pricing!K42,IFERROR(MAX(Pricing!I42,Pricing!J42,Pricing!V42),0)+Pricing!L42))</f>
        <v>14926</v>
      </c>
      <c r="J42" s="163">
        <f>IF(E42="","",Pricing!N42)</f>
        <v>0</v>
      </c>
      <c r="K42" s="163">
        <f>IF(E42="","",Pricing!$O42)</f>
        <v>0</v>
      </c>
      <c r="L42" s="163">
        <f ca="1">IF(E42="","",IF($F42=111,$J42,(SUMPRODUCT(G42:G$116,I42:I$116)+SUMPRODUCT(H42:H$116,J42:J$116))/H42))</f>
        <v>14760.493125298179</v>
      </c>
      <c r="M42" s="163">
        <f>IF(E42="","",IF($F42=111,$K42,SUMPRODUCT(H42:H$116,K42:K$116)/H42))</f>
        <v>0</v>
      </c>
      <c r="N42" s="163">
        <f t="shared" si="7"/>
        <v>0</v>
      </c>
      <c r="O42" s="163">
        <f>IF(E42="","",IF($F42=111,0,SUMPRODUCT(H42:H$116,N42:N$116)/H42))</f>
        <v>0</v>
      </c>
      <c r="P42" s="163">
        <f t="shared" ca="1" si="8"/>
        <v>14760.493125298179</v>
      </c>
      <c r="Q42" s="163">
        <f ca="1">IF(E42="","",MAX(ROUND(P42,0),Pricing!$U42))</f>
        <v>14760</v>
      </c>
      <c r="R42" s="163">
        <f t="shared" si="9"/>
        <v>0</v>
      </c>
      <c r="S42" s="164">
        <f>IF(E42="","",IF($F42=111,0,ROUND(SUMPRODUCT(H42:H$116,R42:R$116)/H42,0)))</f>
        <v>0</v>
      </c>
    </row>
    <row r="43" spans="1:19" x14ac:dyDescent="0.3">
      <c r="D43" s="178">
        <v>38</v>
      </c>
      <c r="E43" s="95">
        <f t="shared" si="5"/>
        <v>38</v>
      </c>
      <c r="F43" s="183">
        <f t="shared" si="6"/>
        <v>73</v>
      </c>
      <c r="G43" s="162">
        <f>IF(E43="","",IF(E43=$B$10,0,VLOOKUP(F43,Life!$A$3:$R$113,14,FALSE)))</f>
        <v>52696.700857497824</v>
      </c>
      <c r="H43" s="163">
        <f>IF(E43="","",IF($F43=111,0,VLOOKUP(F43,Life!$A$3:$R$113,15,FALSE)))</f>
        <v>1172777.9091009574</v>
      </c>
      <c r="I43" s="163">
        <f ca="1">IF(E43&gt;=$B$10,"",IF(F43&lt;16,Pricing!K43,IFERROR(MAX(Pricing!I43,Pricing!J43,Pricing!V43),0)+Pricing!L43))</f>
        <v>15262</v>
      </c>
      <c r="J43" s="163">
        <f>IF(E43="","",Pricing!N43)</f>
        <v>0</v>
      </c>
      <c r="K43" s="163">
        <f>IF(E43="","",Pricing!$O43)</f>
        <v>0</v>
      </c>
      <c r="L43" s="163">
        <f ca="1">IF(E43="","",IF($F43=111,$J43,(SUMPRODUCT(G43:G$116,I43:I$116)+SUMPRODUCT(H43:H$116,J43:J$116))/H43))</f>
        <v>15092.341344262739</v>
      </c>
      <c r="M43" s="163">
        <f>IF(E43="","",IF($F43=111,$K43,SUMPRODUCT(H43:H$116,K43:K$116)/H43))</f>
        <v>0</v>
      </c>
      <c r="N43" s="163">
        <f t="shared" si="7"/>
        <v>0</v>
      </c>
      <c r="O43" s="163">
        <f>IF(E43="","",IF($F43=111,0,SUMPRODUCT(H43:H$116,N43:N$116)/H43))</f>
        <v>0</v>
      </c>
      <c r="P43" s="163">
        <f t="shared" ca="1" si="8"/>
        <v>15092.341344262739</v>
      </c>
      <c r="Q43" s="163">
        <f ca="1">IF(E43="","",MAX(ROUND(P43,0),Pricing!$U43))</f>
        <v>15092</v>
      </c>
      <c r="R43" s="163">
        <f t="shared" si="9"/>
        <v>0</v>
      </c>
      <c r="S43" s="164">
        <f>IF(E43="","",IF($F43=111,0,ROUND(SUMPRODUCT(H43:H$116,R43:R$116)/H43,0)))</f>
        <v>0</v>
      </c>
    </row>
    <row r="44" spans="1:19" x14ac:dyDescent="0.3">
      <c r="D44" s="178">
        <v>39</v>
      </c>
      <c r="E44" s="95">
        <f t="shared" si="5"/>
        <v>39</v>
      </c>
      <c r="F44" s="183">
        <f t="shared" si="6"/>
        <v>74</v>
      </c>
      <c r="G44" s="162">
        <f>IF(E44="","",IF(E44=$B$10,0,VLOOKUP(F44,Life!$A$3:$R$113,14,FALSE)))</f>
        <v>53813.432544975076</v>
      </c>
      <c r="H44" s="163">
        <f>IF(E44="","",IF($F44=111,0,VLOOKUP(F44,Life!$A$3:$R$113,15,FALSE)))</f>
        <v>1094857.3770912297</v>
      </c>
      <c r="I44" s="163">
        <f ca="1">IF(E44&gt;=$B$10,"",IF(F44&lt;16,Pricing!K44,IFERROR(MAX(Pricing!I44,Pricing!J44,Pricing!V44),0)+Pricing!L44))</f>
        <v>15605</v>
      </c>
      <c r="J44" s="163">
        <f>IF(E44="","",Pricing!N44)</f>
        <v>0</v>
      </c>
      <c r="K44" s="163">
        <f>IF(E44="","",Pricing!$O44)</f>
        <v>0</v>
      </c>
      <c r="L44" s="163">
        <f ca="1">IF(E44="","",IF($F44=111,$J44,(SUMPRODUCT(G44:G$116,I44:I$116)+SUMPRODUCT(H44:H$116,J44:J$116))/H44))</f>
        <v>15431.266831639594</v>
      </c>
      <c r="M44" s="163">
        <f>IF(E44="","",IF($F44=111,$K44,SUMPRODUCT(H44:H$116,K44:K$116)/H44))</f>
        <v>0</v>
      </c>
      <c r="N44" s="163">
        <f t="shared" si="7"/>
        <v>0</v>
      </c>
      <c r="O44" s="163">
        <f>IF(E44="","",IF($F44=111,0,SUMPRODUCT(H44:H$116,N44:N$116)/H44))</f>
        <v>0</v>
      </c>
      <c r="P44" s="163">
        <f t="shared" ca="1" si="8"/>
        <v>15431.266831639594</v>
      </c>
      <c r="Q44" s="163">
        <f ca="1">IF(E44="","",MAX(ROUND(P44,0),Pricing!$U44))</f>
        <v>15431</v>
      </c>
      <c r="R44" s="163">
        <f t="shared" si="9"/>
        <v>0</v>
      </c>
      <c r="S44" s="164">
        <f>IF(E44="","",IF($F44=111,0,ROUND(SUMPRODUCT(H44:H$116,R44:R$116)/H44,0)))</f>
        <v>0</v>
      </c>
    </row>
    <row r="45" spans="1:19" x14ac:dyDescent="0.3">
      <c r="D45" s="178">
        <v>40</v>
      </c>
      <c r="E45" s="184">
        <f t="shared" si="5"/>
        <v>40</v>
      </c>
      <c r="F45" s="185">
        <f t="shared" si="6"/>
        <v>75</v>
      </c>
      <c r="G45" s="165">
        <f>IF(E45="","",IF(E45=$B$10,0,VLOOKUP(F45,Life!$A$3:$R$113,14,FALSE)))</f>
        <v>54704.898500419593</v>
      </c>
      <c r="H45" s="166">
        <f>IF(E45="","",IF($F45=111,0,VLOOKUP(F45,Life!$A$3:$R$113,15,FALSE)))</f>
        <v>1017547.1012530659</v>
      </c>
      <c r="I45" s="166">
        <f ca="1">IF(E45&gt;=$B$10,"",IF(F45&lt;16,Pricing!K45,IFERROR(MAX(Pricing!I45,Pricing!J45,Pricing!V45),0)+Pricing!L45))</f>
        <v>15956</v>
      </c>
      <c r="J45" s="166">
        <f>IF(E45="","",Pricing!N45)</f>
        <v>0</v>
      </c>
      <c r="K45" s="166">
        <f>IF(E45="","",Pricing!$O45)</f>
        <v>0</v>
      </c>
      <c r="L45" s="166">
        <f ca="1">IF(E45="","",IF($F45=111,$J45,(SUMPRODUCT(G45:G$116,I45:I$116)+SUMPRODUCT(H45:H$116,J45:J$116))/H45))</f>
        <v>15777.462478543323</v>
      </c>
      <c r="M45" s="166">
        <f>IF(E45="","",IF($F45=111,$K45,SUMPRODUCT(H45:H$116,K45:K$116)/H45))</f>
        <v>0</v>
      </c>
      <c r="N45" s="166">
        <f t="shared" si="7"/>
        <v>0</v>
      </c>
      <c r="O45" s="166">
        <f>IF(E45="","",IF($F45=111,0,SUMPRODUCT(H45:H$116,N45:N$116)/H45))</f>
        <v>0</v>
      </c>
      <c r="P45" s="166">
        <f t="shared" ca="1" si="8"/>
        <v>15777.462478543323</v>
      </c>
      <c r="Q45" s="166">
        <f ca="1">IF(E45="","",MAX(ROUND(P45,0),Pricing!$U45))</f>
        <v>15777</v>
      </c>
      <c r="R45" s="166">
        <f t="shared" si="9"/>
        <v>0</v>
      </c>
      <c r="S45" s="167">
        <f>IF(E45="","",IF($F45=111,0,ROUND(SUMPRODUCT(H45:H$116,R45:R$116)/H45,0)))</f>
        <v>0</v>
      </c>
    </row>
    <row r="46" spans="1:19" x14ac:dyDescent="0.3">
      <c r="D46" s="178">
        <v>41</v>
      </c>
      <c r="E46" s="95">
        <f t="shared" si="5"/>
        <v>41</v>
      </c>
      <c r="F46" s="183">
        <f t="shared" si="6"/>
        <v>76</v>
      </c>
      <c r="G46" s="162">
        <f>IF(E46="","",IF(E46=$B$10,0,VLOOKUP(F46,Life!$A$3:$R$113,14,FALSE)))</f>
        <v>55333.292296726519</v>
      </c>
      <c r="H46" s="163">
        <f>IF(E46="","",IF($F46=111,0,VLOOKUP(F46,Life!$A$3:$R$113,15,FALSE)))</f>
        <v>941056.42643801682</v>
      </c>
      <c r="I46" s="163">
        <f ca="1">IF(E46&gt;=$B$10,"",IF(F46&lt;16,Pricing!K46,IFERROR(MAX(Pricing!I46,Pricing!J46,Pricing!V46),0)+Pricing!L46))</f>
        <v>16315</v>
      </c>
      <c r="J46" s="163">
        <f>IF(E46="","",Pricing!N46)</f>
        <v>0</v>
      </c>
      <c r="K46" s="163">
        <f>IF(E46="","",Pricing!$O46)</f>
        <v>0</v>
      </c>
      <c r="L46" s="163">
        <f ca="1">IF(E46="","",IF($F46=111,$J46,(SUMPRODUCT(G46:G$116,I46:I$116)+SUMPRODUCT(H46:H$116,J46:J$116))/H46))</f>
        <v>16130.307429922095</v>
      </c>
      <c r="M46" s="163">
        <f>IF(E46="","",IF($F46=111,$K46,SUMPRODUCT(H46:H$116,K46:K$116)/H46))</f>
        <v>0</v>
      </c>
      <c r="N46" s="163">
        <f t="shared" si="7"/>
        <v>0</v>
      </c>
      <c r="O46" s="163">
        <f>IF(E46="","",IF($F46=111,0,SUMPRODUCT(H46:H$116,N46:N$116)/H46))</f>
        <v>0</v>
      </c>
      <c r="P46" s="163">
        <f t="shared" ca="1" si="8"/>
        <v>16130.307429922095</v>
      </c>
      <c r="Q46" s="163">
        <f ca="1">IF(E46="","",MAX(ROUND(P46,0),Pricing!$U46))</f>
        <v>16130</v>
      </c>
      <c r="R46" s="163">
        <f t="shared" si="9"/>
        <v>0</v>
      </c>
      <c r="S46" s="164">
        <f>IF(E46="","",IF($F46=111,0,ROUND(SUMPRODUCT(H46:H$116,R46:R$116)/H46,0)))</f>
        <v>0</v>
      </c>
    </row>
    <row r="47" spans="1:19" x14ac:dyDescent="0.3">
      <c r="D47" s="178">
        <v>42</v>
      </c>
      <c r="E47" s="95">
        <f t="shared" si="5"/>
        <v>42</v>
      </c>
      <c r="F47" s="183">
        <f t="shared" si="6"/>
        <v>77</v>
      </c>
      <c r="G47" s="162">
        <f>IF(E47="","",IF(E47=$B$10,0,VLOOKUP(F47,Life!$A$3:$R$113,14,FALSE)))</f>
        <v>55657.063853991276</v>
      </c>
      <c r="H47" s="163">
        <f>IF(E47="","",IF($F47=111,0,VLOOKUP(F47,Life!$A$3:$R$113,15,FALSE)))</f>
        <v>865627.47903734352</v>
      </c>
      <c r="I47" s="163">
        <f ca="1">IF(E47&gt;=$B$10,"",IF(F47&lt;16,Pricing!K47,IFERROR(MAX(Pricing!I47,Pricing!J47,Pricing!V47),0)+Pricing!L47))</f>
        <v>16682</v>
      </c>
      <c r="J47" s="163">
        <f>IF(E47="","",Pricing!N47)</f>
        <v>0</v>
      </c>
      <c r="K47" s="163">
        <f>IF(E47="","",Pricing!$O47)</f>
        <v>0</v>
      </c>
      <c r="L47" s="163">
        <f ca="1">IF(E47="","",IF($F47=111,$J47,(SUMPRODUCT(G47:G$116,I47:I$116)+SUMPRODUCT(H47:H$116,J47:J$116))/H47))</f>
        <v>16488.039730676155</v>
      </c>
      <c r="M47" s="163">
        <f>IF(E47="","",IF($F47=111,$K47,SUMPRODUCT(H47:H$116,K47:K$116)/H47))</f>
        <v>0</v>
      </c>
      <c r="N47" s="163">
        <f t="shared" si="7"/>
        <v>0</v>
      </c>
      <c r="O47" s="163">
        <f>IF(E47="","",IF($F47=111,0,SUMPRODUCT(H47:H$116,N47:N$116)/H47))</f>
        <v>0</v>
      </c>
      <c r="P47" s="163">
        <f t="shared" ca="1" si="8"/>
        <v>16488.039730676155</v>
      </c>
      <c r="Q47" s="163">
        <f ca="1">IF(E47="","",MAX(ROUND(P47,0),Pricing!$U47))</f>
        <v>16488</v>
      </c>
      <c r="R47" s="163">
        <f t="shared" si="9"/>
        <v>0</v>
      </c>
      <c r="S47" s="164">
        <f>IF(E47="","",IF($F47=111,0,ROUND(SUMPRODUCT(H47:H$116,R47:R$116)/H47,0)))</f>
        <v>0</v>
      </c>
    </row>
    <row r="48" spans="1:19" x14ac:dyDescent="0.3">
      <c r="D48" s="178">
        <v>43</v>
      </c>
      <c r="E48" s="95">
        <f t="shared" si="5"/>
        <v>43</v>
      </c>
      <c r="F48" s="183">
        <f t="shared" si="6"/>
        <v>78</v>
      </c>
      <c r="G48" s="162">
        <f>IF(E48="","",IF(E48=$B$10,0,VLOOKUP(F48,Life!$A$3:$R$113,14,FALSE)))</f>
        <v>55637.639176590572</v>
      </c>
      <c r="H48" s="163">
        <f>IF(E48="","",IF($F48=111,0,VLOOKUP(F48,Life!$A$3:$R$113,15,FALSE)))</f>
        <v>791538.14786218968</v>
      </c>
      <c r="I48" s="163">
        <f ca="1">IF(E48&gt;=$B$10,"",IF(F48&lt;16,Pricing!K48,IFERROR(MAX(Pricing!I48,Pricing!J48,Pricing!V48),0)+Pricing!L48))</f>
        <v>17058</v>
      </c>
      <c r="J48" s="163">
        <f>IF(E48="","",Pricing!N48)</f>
        <v>0</v>
      </c>
      <c r="K48" s="163">
        <f>IF(E48="","",Pricing!$O48)</f>
        <v>0</v>
      </c>
      <c r="L48" s="163">
        <f ca="1">IF(E48="","",IF($F48=111,$J48,(SUMPRODUCT(G48:G$116,I48:I$116)+SUMPRODUCT(H48:H$116,J48:J$116))/H48))</f>
        <v>16845.384079370466</v>
      </c>
      <c r="M48" s="163">
        <f>IF(E48="","",IF($F48=111,$K48,SUMPRODUCT(H48:H$116,K48:K$116)/H48))</f>
        <v>0</v>
      </c>
      <c r="N48" s="163">
        <f t="shared" si="7"/>
        <v>0</v>
      </c>
      <c r="O48" s="163">
        <f>IF(E48="","",IF($F48=111,0,SUMPRODUCT(H48:H$116,N48:N$116)/H48))</f>
        <v>0</v>
      </c>
      <c r="P48" s="163">
        <f t="shared" ca="1" si="8"/>
        <v>16845.384079370466</v>
      </c>
      <c r="Q48" s="163">
        <f ca="1">IF(E48="","",MAX(ROUND(P48,0),Pricing!$U48))</f>
        <v>16845</v>
      </c>
      <c r="R48" s="163">
        <f t="shared" si="9"/>
        <v>0</v>
      </c>
      <c r="S48" s="164">
        <f>IF(E48="","",IF($F48=111,0,ROUND(SUMPRODUCT(H48:H$116,R48:R$116)/H48,0)))</f>
        <v>0</v>
      </c>
    </row>
    <row r="49" spans="4:19" x14ac:dyDescent="0.3">
      <c r="D49" s="178">
        <v>44</v>
      </c>
      <c r="E49" s="95">
        <f t="shared" si="5"/>
        <v>44</v>
      </c>
      <c r="F49" s="183">
        <f t="shared" si="6"/>
        <v>79</v>
      </c>
      <c r="G49" s="162">
        <f>IF(E49="","",IF(E49=$B$10,0,VLOOKUP(F49,Life!$A$3:$R$113,14,FALSE)))</f>
        <v>55245.800436540245</v>
      </c>
      <c r="H49" s="163">
        <f>IF(E49="","",IF($F49=111,0,VLOOKUP(F49,Life!$A$3:$R$113,15,FALSE)))</f>
        <v>719098.35403753165</v>
      </c>
      <c r="I49" s="163">
        <f ca="1">IF(E49&gt;=$B$10,"",IF(F49&lt;16,Pricing!K49,IFERROR(MAX(Pricing!I49,Pricing!J49,Pricing!V49),0)+Pricing!L49))</f>
        <v>17441</v>
      </c>
      <c r="J49" s="163">
        <f>IF(E49="","",Pricing!N49)</f>
        <v>0</v>
      </c>
      <c r="K49" s="163">
        <f>IF(E49="","",Pricing!$O49)</f>
        <v>0</v>
      </c>
      <c r="L49" s="163">
        <f ca="1">IF(E49="","",IF($F49=111,$J49,(SUMPRODUCT(G49:G$116,I49:I$116)+SUMPRODUCT(H49:H$116,J49:J$116))/H49))</f>
        <v>17183.724994901862</v>
      </c>
      <c r="M49" s="163">
        <f>IF(E49="","",IF($F49=111,$K49,SUMPRODUCT(H49:H$116,K49:K$116)/H49))</f>
        <v>0</v>
      </c>
      <c r="N49" s="163">
        <f t="shared" si="7"/>
        <v>0</v>
      </c>
      <c r="O49" s="163">
        <f>IF(E49="","",IF($F49=111,0,SUMPRODUCT(H49:H$116,N49:N$116)/H49))</f>
        <v>0</v>
      </c>
      <c r="P49" s="163">
        <f t="shared" ca="1" si="8"/>
        <v>17183.724994901862</v>
      </c>
      <c r="Q49" s="163">
        <f ca="1">IF(E49="","",MAX(ROUND(P49,0),Pricing!$U49))</f>
        <v>17184</v>
      </c>
      <c r="R49" s="163">
        <f t="shared" si="9"/>
        <v>0</v>
      </c>
      <c r="S49" s="164">
        <f>IF(E49="","",IF($F49=111,0,ROUND(SUMPRODUCT(H49:H$116,R49:R$116)/H49,0)))</f>
        <v>0</v>
      </c>
    </row>
    <row r="50" spans="4:19" x14ac:dyDescent="0.3">
      <c r="D50" s="178">
        <v>45</v>
      </c>
      <c r="E50" s="184">
        <f t="shared" si="5"/>
        <v>45</v>
      </c>
      <c r="F50" s="185">
        <f t="shared" si="6"/>
        <v>80</v>
      </c>
      <c r="G50" s="165">
        <f>IF(E50="","",IF(E50=$B$10,0,VLOOKUP(F50,Life!$A$3:$R$113,14,FALSE)))</f>
        <v>54453.203629898322</v>
      </c>
      <c r="H50" s="166">
        <f>IF(E50="","",IF($F50=111,0,VLOOKUP(F50,Life!$A$3:$R$113,15,FALSE)))</f>
        <v>648640.09348033473</v>
      </c>
      <c r="I50" s="163">
        <f ca="1">IF(E50&gt;=$B$10,"",IF(F50&lt;16,Pricing!K50,IFERROR(MAX(Pricing!I50,Pricing!J50,Pricing!V50),0)+Pricing!L50))</f>
        <v>17441</v>
      </c>
      <c r="J50" s="166">
        <f>IF(E50="","",Pricing!N50)</f>
        <v>0</v>
      </c>
      <c r="K50" s="166">
        <f>IF(E50="","",Pricing!$O50)</f>
        <v>0</v>
      </c>
      <c r="L50" s="166">
        <f ca="1">IF(E50="","",IF($F50=111,$J50,(SUMPRODUCT(G50:G$116,I50:I$116)+SUMPRODUCT(H50:H$116,J50:J$116))/H50))</f>
        <v>17441</v>
      </c>
      <c r="M50" s="166">
        <f>IF(E50="","",IF($F50=111,$K50,SUMPRODUCT(H50:H$116,K50:K$116)/H50))</f>
        <v>0</v>
      </c>
      <c r="N50" s="166">
        <f t="shared" si="7"/>
        <v>0</v>
      </c>
      <c r="O50" s="166">
        <f>IF(E50="","",IF($F50=111,0,SUMPRODUCT(H50:H$116,N50:N$116)/H50))</f>
        <v>0</v>
      </c>
      <c r="P50" s="166">
        <f t="shared" ca="1" si="8"/>
        <v>17441</v>
      </c>
      <c r="Q50" s="166">
        <f ca="1">IF(E50="","",MAX(ROUND(P50,0),Pricing!$U50))</f>
        <v>17441</v>
      </c>
      <c r="R50" s="166">
        <f t="shared" si="9"/>
        <v>0</v>
      </c>
      <c r="S50" s="167">
        <f>IF(E50="","",IF($F50=111,0,ROUND(SUMPRODUCT(H50:H$116,R50:R$116)/H50,0)))</f>
        <v>0</v>
      </c>
    </row>
    <row r="51" spans="4:19" x14ac:dyDescent="0.3">
      <c r="D51" s="178">
        <v>46</v>
      </c>
      <c r="E51" s="95">
        <f t="shared" si="5"/>
        <v>46</v>
      </c>
      <c r="F51" s="183">
        <f t="shared" si="6"/>
        <v>81</v>
      </c>
      <c r="G51" s="162">
        <f>IF(E51="","",IF(E51=$B$10,0,VLOOKUP(F51,Life!$A$3:$R$113,14,FALSE)))</f>
        <v>53238.005032561698</v>
      </c>
      <c r="H51" s="163">
        <f>IF(E51="","",IF($F51=111,0,VLOOKUP(F51,Life!$A$3:$R$113,15,FALSE)))</f>
        <v>580516.08698982291</v>
      </c>
      <c r="I51" s="163">
        <f ca="1">IF(E51&gt;=$B$10,"",IF(F51&lt;16,Pricing!K51,IFERROR(MAX(Pricing!I51,Pricing!J51,Pricing!V51),0)+Pricing!L51))</f>
        <v>17441</v>
      </c>
      <c r="J51" s="163">
        <f>IF(E51="","",Pricing!N51)</f>
        <v>0</v>
      </c>
      <c r="K51" s="163">
        <f>IF(E51="","",Pricing!$O51)</f>
        <v>0</v>
      </c>
      <c r="L51" s="163" t="str">
        <f ca="1">IF(E51="","",IF($F51=111,$J51,(SUMPRODUCT(G51:G$116,I51:I$116)+SUMPRODUCT(H51:H$116,J51:J$116))/H51))</f>
        <v/>
      </c>
      <c r="M51" s="163">
        <f>IF(E51="","",IF($F51=111,$K51,SUMPRODUCT(H51:H$116,K51:K$116)/H51))</f>
        <v>0</v>
      </c>
      <c r="N51" s="163">
        <f t="shared" si="7"/>
        <v>0</v>
      </c>
      <c r="O51" s="163">
        <f>IF(E51="","",IF($F51=111,0,SUMPRODUCT(H51:H$116,N51:N$116)/H51))</f>
        <v>0</v>
      </c>
      <c r="P51" s="163" t="str">
        <f t="shared" ca="1" si="8"/>
        <v/>
      </c>
      <c r="Q51" s="163" t="str">
        <f ca="1">IF(E51="","",MAX(ROUND(P51,0),Pricing!$U51))</f>
        <v/>
      </c>
      <c r="R51" s="163">
        <f t="shared" si="9"/>
        <v>0</v>
      </c>
      <c r="S51" s="164">
        <f>IF(E51="","",IF($F51=111,0,ROUND(SUMPRODUCT(H51:H$116,R51:R$116)/H51,0)))</f>
        <v>0</v>
      </c>
    </row>
    <row r="52" spans="4:19" x14ac:dyDescent="0.3">
      <c r="D52" s="178">
        <v>47</v>
      </c>
      <c r="E52" s="95">
        <f t="shared" si="5"/>
        <v>47</v>
      </c>
      <c r="F52" s="183">
        <f t="shared" si="6"/>
        <v>82</v>
      </c>
      <c r="G52" s="162">
        <f>IF(E52="","",IF(E52=$B$10,0,VLOOKUP(F52,Life!$A$3:$R$113,14,FALSE)))</f>
        <v>51585.279707804926</v>
      </c>
      <c r="H52" s="163">
        <f>IF(E52="","",IF($F52=111,0,VLOOKUP(F52,Life!$A$3:$R$113,15,FALSE)))</f>
        <v>515092.89583568939</v>
      </c>
      <c r="I52" s="163">
        <f ca="1">IF(E52&gt;=$B$10,"",IF(F52&lt;16,Pricing!K52,IFERROR(MAX(Pricing!I52,Pricing!J52,Pricing!V52),0)+Pricing!L52))</f>
        <v>17441</v>
      </c>
      <c r="J52" s="163">
        <f>IF(E52="","",Pricing!N52)</f>
        <v>0</v>
      </c>
      <c r="K52" s="163">
        <f>IF(E52="","",Pricing!$O52)</f>
        <v>0</v>
      </c>
      <c r="L52" s="163" t="str">
        <f ca="1">IF(E52="","",IF($F52=111,$J52,(SUMPRODUCT(G52:G$116,I52:I$116)+SUMPRODUCT(H52:H$116,J52:J$116))/H52))</f>
        <v/>
      </c>
      <c r="M52" s="163">
        <f>IF(E52="","",IF($F52=111,$K52,SUMPRODUCT(H52:H$116,K52:K$116)/H52))</f>
        <v>0</v>
      </c>
      <c r="N52" s="163">
        <f t="shared" si="7"/>
        <v>0</v>
      </c>
      <c r="O52" s="163">
        <f>IF(E52="","",IF($F52=111,0,SUMPRODUCT(H52:H$116,N52:N$116)/H52))</f>
        <v>0</v>
      </c>
      <c r="P52" s="163" t="str">
        <f t="shared" ca="1" si="8"/>
        <v/>
      </c>
      <c r="Q52" s="163" t="str">
        <f ca="1">IF(E52="","",MAX(ROUND(P52,0),Pricing!$U52))</f>
        <v/>
      </c>
      <c r="R52" s="163">
        <f t="shared" si="9"/>
        <v>0</v>
      </c>
      <c r="S52" s="164">
        <f>IF(E52="","",IF($F52=111,0,ROUND(SUMPRODUCT(H52:H$116,R52:R$116)/H52,0)))</f>
        <v>0</v>
      </c>
    </row>
    <row r="53" spans="4:19" x14ac:dyDescent="0.3">
      <c r="D53" s="178">
        <v>48</v>
      </c>
      <c r="E53" s="95">
        <f t="shared" si="5"/>
        <v>48</v>
      </c>
      <c r="F53" s="183">
        <f t="shared" si="6"/>
        <v>83</v>
      </c>
      <c r="G53" s="162">
        <f>IF(E53="","",IF(E53=$B$10,0,VLOOKUP(F53,Life!$A$3:$R$113,14,FALSE)))</f>
        <v>49493.428728071041</v>
      </c>
      <c r="H53" s="163">
        <f>IF(E53="","",IF($F53=111,0,VLOOKUP(F53,Life!$A$3:$R$113,15,FALSE)))</f>
        <v>452743.77495970979</v>
      </c>
      <c r="I53" s="163">
        <f ca="1">IF(E53&gt;=$B$10,"",IF(F53&lt;16,Pricing!K53,IFERROR(MAX(Pricing!I53,Pricing!J53,Pricing!V53),0)+Pricing!L53))</f>
        <v>17441</v>
      </c>
      <c r="J53" s="163">
        <f>IF(E53="","",Pricing!N53)</f>
        <v>0</v>
      </c>
      <c r="K53" s="163">
        <f>IF(E53="","",Pricing!$O53)</f>
        <v>0</v>
      </c>
      <c r="L53" s="163" t="str">
        <f ca="1">IF(E53="","",IF($F53=111,$J53,(SUMPRODUCT(G53:G$116,I53:I$116)+SUMPRODUCT(H53:H$116,J53:J$116))/H53))</f>
        <v/>
      </c>
      <c r="M53" s="163">
        <f>IF(E53="","",IF($F53=111,$K53,SUMPRODUCT(H53:H$116,K53:K$116)/H53))</f>
        <v>0</v>
      </c>
      <c r="N53" s="163">
        <f t="shared" si="7"/>
        <v>0</v>
      </c>
      <c r="O53" s="163">
        <f>IF(E53="","",IF($F53=111,0,SUMPRODUCT(H53:H$116,N53:N$116)/H53))</f>
        <v>0</v>
      </c>
      <c r="P53" s="163" t="str">
        <f t="shared" ca="1" si="8"/>
        <v/>
      </c>
      <c r="Q53" s="163" t="str">
        <f ca="1">IF(E53="","",MAX(ROUND(P53,0),Pricing!$U53))</f>
        <v/>
      </c>
      <c r="R53" s="163">
        <f t="shared" si="9"/>
        <v>0</v>
      </c>
      <c r="S53" s="164">
        <f>IF(E53="","",IF($F53=111,0,ROUND(SUMPRODUCT(H53:H$116,R53:R$116)/H53,0)))</f>
        <v>0</v>
      </c>
    </row>
    <row r="54" spans="4:19" x14ac:dyDescent="0.3">
      <c r="D54" s="178">
        <v>49</v>
      </c>
      <c r="E54" s="95">
        <f t="shared" si="5"/>
        <v>49</v>
      </c>
      <c r="F54" s="183">
        <f t="shared" si="6"/>
        <v>84</v>
      </c>
      <c r="G54" s="162">
        <f>IF(E54="","",IF(E54=$B$10,0,VLOOKUP(F54,Life!$A$3:$R$113,14,FALSE)))</f>
        <v>46975.271940675222</v>
      </c>
      <c r="H54" s="163">
        <f>IF(E54="","",IF($F54=111,0,VLOOKUP(F54,Life!$A$3:$R$113,15,FALSE)))</f>
        <v>393835.34710732038</v>
      </c>
      <c r="I54" s="163">
        <f ca="1">IF(E54&gt;=$B$10,"",IF(F54&lt;16,Pricing!K54,IFERROR(MAX(Pricing!I54,Pricing!J54,Pricing!V54),0)+Pricing!L54))</f>
        <v>17441</v>
      </c>
      <c r="J54" s="163">
        <f>IF(E54="","",Pricing!N54)</f>
        <v>0</v>
      </c>
      <c r="K54" s="163">
        <f>IF(E54="","",Pricing!$O54)</f>
        <v>0</v>
      </c>
      <c r="L54" s="163" t="str">
        <f ca="1">IF(E54="","",IF($F54=111,$J54,(SUMPRODUCT(G54:G$116,I54:I$116)+SUMPRODUCT(H54:H$116,J54:J$116))/H54))</f>
        <v/>
      </c>
      <c r="M54" s="163">
        <f>IF(E54="","",IF($F54=111,$K54,SUMPRODUCT(H54:H$116,K54:K$116)/H54))</f>
        <v>0</v>
      </c>
      <c r="N54" s="163">
        <f t="shared" si="7"/>
        <v>0</v>
      </c>
      <c r="O54" s="163">
        <f>IF(E54="","",IF($F54=111,0,SUMPRODUCT(H54:H$116,N54:N$116)/H54))</f>
        <v>0</v>
      </c>
      <c r="P54" s="163" t="str">
        <f t="shared" ca="1" si="8"/>
        <v/>
      </c>
      <c r="Q54" s="163" t="str">
        <f ca="1">IF(E54="","",MAX(ROUND(P54,0),Pricing!$U54))</f>
        <v/>
      </c>
      <c r="R54" s="163">
        <f t="shared" si="9"/>
        <v>0</v>
      </c>
      <c r="S54" s="164">
        <f>IF(E54="","",IF($F54=111,0,ROUND(SUMPRODUCT(H54:H$116,R54:R$116)/H54,0)))</f>
        <v>0</v>
      </c>
    </row>
    <row r="55" spans="4:19" x14ac:dyDescent="0.3">
      <c r="D55" s="178">
        <v>50</v>
      </c>
      <c r="E55" s="184">
        <f t="shared" si="5"/>
        <v>50</v>
      </c>
      <c r="F55" s="185">
        <f t="shared" si="6"/>
        <v>85</v>
      </c>
      <c r="G55" s="165">
        <f>IF(E55="","",IF(E55=$B$10,0,VLOOKUP(F55,Life!$A$3:$R$113,14,FALSE)))</f>
        <v>44060.097999982965</v>
      </c>
      <c r="H55" s="166">
        <f>IF(E55="","",IF($F55=111,0,VLOOKUP(F55,Life!$A$3:$R$113,15,FALSE)))</f>
        <v>338713.48951773334</v>
      </c>
      <c r="I55" s="163">
        <f ca="1">IF(E55&gt;=$B$10,"",IF(F55&lt;16,Pricing!K55,IFERROR(MAX(Pricing!I55,Pricing!J55,Pricing!V55),0)+Pricing!L55))</f>
        <v>17441</v>
      </c>
      <c r="J55" s="166">
        <f>IF(E55="","",Pricing!N55)</f>
        <v>0</v>
      </c>
      <c r="K55" s="166">
        <f>IF(E55="","",Pricing!$O55)</f>
        <v>0</v>
      </c>
      <c r="L55" s="166" t="str">
        <f ca="1">IF(E55="","",IF($F55=111,$J55,(SUMPRODUCT(G55:G$116,I55:I$116)+SUMPRODUCT(H55:H$116,J55:J$116))/H55))</f>
        <v/>
      </c>
      <c r="M55" s="166">
        <f>IF(E55="","",IF($F55=111,$K55,SUMPRODUCT(H55:H$116,K55:K$116)/H55))</f>
        <v>0</v>
      </c>
      <c r="N55" s="166">
        <f t="shared" si="7"/>
        <v>0</v>
      </c>
      <c r="O55" s="166">
        <f>IF(E55="","",IF($F55=111,0,SUMPRODUCT(H55:H$116,N55:N$116)/H55))</f>
        <v>0</v>
      </c>
      <c r="P55" s="166" t="str">
        <f t="shared" ca="1" si="8"/>
        <v/>
      </c>
      <c r="Q55" s="166" t="str">
        <f ca="1">IF(E55="","",MAX(ROUND(P55,0),Pricing!$U55))</f>
        <v/>
      </c>
      <c r="R55" s="166">
        <f t="shared" si="9"/>
        <v>0</v>
      </c>
      <c r="S55" s="167">
        <f>IF(E55="","",IF($F55=111,0,ROUND(SUMPRODUCT(H55:H$116,R55:R$116)/H55,0)))</f>
        <v>0</v>
      </c>
    </row>
    <row r="56" spans="4:19" x14ac:dyDescent="0.3">
      <c r="D56" s="178">
        <v>51</v>
      </c>
      <c r="E56" s="95">
        <f t="shared" si="5"/>
        <v>51</v>
      </c>
      <c r="F56" s="183">
        <f t="shared" si="6"/>
        <v>86</v>
      </c>
      <c r="G56" s="162">
        <f>IF(E56="","",IF(E56=$B$10,0,VLOOKUP(F56,Life!$A$3:$R$113,14,FALSE)))</f>
        <v>40790.817312975305</v>
      </c>
      <c r="H56" s="163">
        <f>IF(E56="","",IF($F56=111,0,VLOOKUP(F56,Life!$A$3:$R$113,15,FALSE)))</f>
        <v>287687.50382453797</v>
      </c>
      <c r="I56" s="163">
        <f ca="1">IF(E56&gt;=$B$10,"",IF(F56&lt;16,Pricing!K56,IFERROR(MAX(Pricing!I56,Pricing!J56,Pricing!V56),0)+Pricing!L56))</f>
        <v>17441</v>
      </c>
      <c r="J56" s="163">
        <f>IF(E56="","",Pricing!N56)</f>
        <v>0</v>
      </c>
      <c r="K56" s="163">
        <f>IF(E56="","",Pricing!$O56)</f>
        <v>0</v>
      </c>
      <c r="L56" s="163" t="str">
        <f ca="1">IF(E56="","",IF($F56=111,$J56,(SUMPRODUCT(G56:G$116,I56:I$116)+SUMPRODUCT(H56:H$116,J56:J$116))/H56))</f>
        <v/>
      </c>
      <c r="M56" s="163">
        <f>IF(E56="","",IF($F56=111,$K56,SUMPRODUCT(H56:H$116,K56:K$116)/H56))</f>
        <v>0</v>
      </c>
      <c r="N56" s="163">
        <f t="shared" si="7"/>
        <v>0</v>
      </c>
      <c r="O56" s="163">
        <f>IF(E56="","",IF($F56=111,0,SUMPRODUCT(H56:H$116,N56:N$116)/H56))</f>
        <v>0</v>
      </c>
      <c r="P56" s="163" t="str">
        <f t="shared" ca="1" si="8"/>
        <v/>
      </c>
      <c r="Q56" s="163" t="str">
        <f ca="1">IF(E56="","",MAX(ROUND(P56,0),Pricing!$U56))</f>
        <v/>
      </c>
      <c r="R56" s="163">
        <f t="shared" si="9"/>
        <v>0</v>
      </c>
      <c r="S56" s="164">
        <f>IF(E56="","",IF($F56=111,0,ROUND(SUMPRODUCT(H56:H$116,R56:R$116)/H56,0)))</f>
        <v>0</v>
      </c>
    </row>
    <row r="57" spans="4:19" x14ac:dyDescent="0.3">
      <c r="D57" s="178">
        <v>52</v>
      </c>
      <c r="E57" s="95">
        <f t="shared" si="5"/>
        <v>52</v>
      </c>
      <c r="F57" s="183">
        <f t="shared" si="6"/>
        <v>87</v>
      </c>
      <c r="G57" s="162">
        <f>IF(E57="","",IF(E57=$B$10,0,VLOOKUP(F57,Life!$A$3:$R$113,14,FALSE)))</f>
        <v>37227.506726489002</v>
      </c>
      <c r="H57" s="163">
        <f>IF(E57="","",IF($F57=111,0,VLOOKUP(F57,Life!$A$3:$R$113,15,FALSE)))</f>
        <v>241017.44985152746</v>
      </c>
      <c r="I57" s="163">
        <f ca="1">IF(E57&gt;=$B$10,"",IF(F57&lt;16,Pricing!K57,IFERROR(MAX(Pricing!I57,Pricing!J57,Pricing!V57),0)+Pricing!L57))</f>
        <v>17441</v>
      </c>
      <c r="J57" s="163">
        <f>IF(E57="","",Pricing!N57)</f>
        <v>0</v>
      </c>
      <c r="K57" s="163">
        <f>IF(E57="","",Pricing!$O57)</f>
        <v>0</v>
      </c>
      <c r="L57" s="163" t="str">
        <f ca="1">IF(E57="","",IF($F57=111,$J57,(SUMPRODUCT(G57:G$116,I57:I$116)+SUMPRODUCT(H57:H$116,J57:J$116))/H57))</f>
        <v/>
      </c>
      <c r="M57" s="163">
        <f>IF(E57="","",IF($F57=111,$K57,SUMPRODUCT(H57:H$116,K57:K$116)/H57))</f>
        <v>0</v>
      </c>
      <c r="N57" s="163">
        <f t="shared" si="7"/>
        <v>0</v>
      </c>
      <c r="O57" s="163">
        <f>IF(E57="","",IF($F57=111,0,SUMPRODUCT(H57:H$116,N57:N$116)/H57))</f>
        <v>0</v>
      </c>
      <c r="P57" s="163" t="str">
        <f t="shared" ca="1" si="8"/>
        <v/>
      </c>
      <c r="Q57" s="163" t="str">
        <f ca="1">IF(E57="","",MAX(ROUND(P57,0),Pricing!$U57))</f>
        <v/>
      </c>
      <c r="R57" s="163">
        <f t="shared" si="9"/>
        <v>0</v>
      </c>
      <c r="S57" s="164">
        <f>IF(E57="","",IF($F57=111,0,ROUND(SUMPRODUCT(H57:H$116,R57:R$116)/H57,0)))</f>
        <v>0</v>
      </c>
    </row>
    <row r="58" spans="4:19" x14ac:dyDescent="0.3">
      <c r="D58" s="178">
        <v>53</v>
      </c>
      <c r="E58" s="95">
        <f t="shared" si="5"/>
        <v>53</v>
      </c>
      <c r="F58" s="183">
        <f t="shared" si="6"/>
        <v>88</v>
      </c>
      <c r="G58" s="162">
        <f>IF(E58="","",IF(E58=$B$10,0,VLOOKUP(F58,Life!$A$3:$R$113,14,FALSE)))</f>
        <v>33445.078876901563</v>
      </c>
      <c r="H58" s="163">
        <f>IF(E58="","",IF($F58=111,0,VLOOKUP(F58,Life!$A$3:$R$113,15,FALSE)))</f>
        <v>198898.25265688283</v>
      </c>
      <c r="I58" s="163">
        <f ca="1">IF(E58&gt;=$B$10,"",IF(F58&lt;16,Pricing!K58,IFERROR(MAX(Pricing!I58,Pricing!J58,Pricing!V58),0)+Pricing!L58))</f>
        <v>17441</v>
      </c>
      <c r="J58" s="163">
        <f>IF(E58="","",Pricing!N58)</f>
        <v>0</v>
      </c>
      <c r="K58" s="163">
        <f>IF(E58="","",Pricing!$O58)</f>
        <v>0</v>
      </c>
      <c r="L58" s="163" t="str">
        <f ca="1">IF(E58="","",IF($F58=111,$J58,(SUMPRODUCT(G58:G$116,I58:I$116)+SUMPRODUCT(H58:H$116,J58:J$116))/H58))</f>
        <v/>
      </c>
      <c r="M58" s="163">
        <f>IF(E58="","",IF($F58=111,$K58,SUMPRODUCT(H58:H$116,K58:K$116)/H58))</f>
        <v>0</v>
      </c>
      <c r="N58" s="163">
        <f t="shared" si="7"/>
        <v>0</v>
      </c>
      <c r="O58" s="163">
        <f>IF(E58="","",IF($F58=111,0,SUMPRODUCT(H58:H$116,N58:N$116)/H58))</f>
        <v>0</v>
      </c>
      <c r="P58" s="163" t="str">
        <f t="shared" ca="1" si="8"/>
        <v/>
      </c>
      <c r="Q58" s="163" t="str">
        <f ca="1">IF(E58="","",MAX(ROUND(P58,0),Pricing!$U58))</f>
        <v/>
      </c>
      <c r="R58" s="163">
        <f t="shared" si="9"/>
        <v>0</v>
      </c>
      <c r="S58" s="164">
        <f>IF(E58="","",IF($F58=111,0,ROUND(SUMPRODUCT(H58:H$116,R58:R$116)/H58,0)))</f>
        <v>0</v>
      </c>
    </row>
    <row r="59" spans="4:19" x14ac:dyDescent="0.3">
      <c r="D59" s="178">
        <v>54</v>
      </c>
      <c r="E59" s="95">
        <f t="shared" si="5"/>
        <v>54</v>
      </c>
      <c r="F59" s="183">
        <f t="shared" si="6"/>
        <v>89</v>
      </c>
      <c r="G59" s="162">
        <f>IF(E59="","",IF(E59=$B$10,0,VLOOKUP(F59,Life!$A$3:$R$113,14,FALSE)))</f>
        <v>29532.355396041341</v>
      </c>
      <c r="H59" s="163">
        <f>IF(E59="","",IF($F59=111,0,VLOOKUP(F59,Life!$A$3:$R$113,15,FALSE)))</f>
        <v>161446.46416492332</v>
      </c>
      <c r="I59" s="163">
        <f ca="1">IF(E59&gt;=$B$10,"",IF(F59&lt;16,Pricing!K59,IFERROR(MAX(Pricing!I59,Pricing!J59,Pricing!V59),0)+Pricing!L59))</f>
        <v>17441</v>
      </c>
      <c r="J59" s="163">
        <f>IF(E59="","",Pricing!N59)</f>
        <v>0</v>
      </c>
      <c r="K59" s="163">
        <f>IF(E59="","",Pricing!$O59)</f>
        <v>0</v>
      </c>
      <c r="L59" s="163" t="str">
        <f ca="1">IF(E59="","",IF($F59=111,$J59,(SUMPRODUCT(G59:G$116,I59:I$116)+SUMPRODUCT(H59:H$116,J59:J$116))/H59))</f>
        <v/>
      </c>
      <c r="M59" s="163">
        <f>IF(E59="","",IF($F59=111,$K59,SUMPRODUCT(H59:H$116,K59:K$116)/H59))</f>
        <v>0</v>
      </c>
      <c r="N59" s="163">
        <f t="shared" si="7"/>
        <v>0</v>
      </c>
      <c r="O59" s="163">
        <f>IF(E59="","",IF($F59=111,0,SUMPRODUCT(H59:H$116,N59:N$116)/H59))</f>
        <v>0</v>
      </c>
      <c r="P59" s="163" t="str">
        <f t="shared" ca="1" si="8"/>
        <v/>
      </c>
      <c r="Q59" s="163" t="str">
        <f ca="1">IF(E59="","",MAX(ROUND(P59,0),Pricing!$U59))</f>
        <v/>
      </c>
      <c r="R59" s="163">
        <f t="shared" si="9"/>
        <v>0</v>
      </c>
      <c r="S59" s="164">
        <f>IF(E59="","",IF($F59=111,0,ROUND(SUMPRODUCT(H59:H$116,R59:R$116)/H59,0)))</f>
        <v>0</v>
      </c>
    </row>
    <row r="60" spans="4:19" x14ac:dyDescent="0.3">
      <c r="D60" s="178">
        <v>55</v>
      </c>
      <c r="E60" s="184">
        <f t="shared" si="5"/>
        <v>55</v>
      </c>
      <c r="F60" s="185">
        <f t="shared" si="6"/>
        <v>90</v>
      </c>
      <c r="G60" s="165">
        <f>IF(E60="","",IF(E60=$B$10,0,VLOOKUP(F60,Life!$A$3:$R$113,14,FALSE)))</f>
        <v>25587.13835854342</v>
      </c>
      <c r="H60" s="166">
        <f>IF(E60="","",IF($F60=111,0,VLOOKUP(F60,Life!$A$3:$R$113,15,FALSE)))</f>
        <v>128688.23264706101</v>
      </c>
      <c r="I60" s="163">
        <f ca="1">IF(E60&gt;=$B$10,"",IF(F60&lt;16,Pricing!K60,IFERROR(MAX(Pricing!I60,Pricing!J60,Pricing!V60),0)+Pricing!L60))</f>
        <v>17441</v>
      </c>
      <c r="J60" s="166">
        <f>IF(E60="","",Pricing!N60)</f>
        <v>0</v>
      </c>
      <c r="K60" s="166">
        <f>IF(E60="","",Pricing!$O60)</f>
        <v>0</v>
      </c>
      <c r="L60" s="166" t="str">
        <f ca="1">IF(E60="","",IF($F60=111,$J60,(SUMPRODUCT(G60:G$116,I60:I$116)+SUMPRODUCT(H60:H$116,J60:J$116))/H60))</f>
        <v/>
      </c>
      <c r="M60" s="166">
        <f>IF(E60="","",IF($F60=111,$K60,SUMPRODUCT(H60:H$116,K60:K$116)/H60))</f>
        <v>0</v>
      </c>
      <c r="N60" s="166">
        <f t="shared" si="7"/>
        <v>0</v>
      </c>
      <c r="O60" s="166">
        <f>IF(E60="","",IF($F60=111,0,SUMPRODUCT(H60:H$116,N60:N$116)/H60))</f>
        <v>0</v>
      </c>
      <c r="P60" s="166" t="str">
        <f t="shared" ca="1" si="8"/>
        <v/>
      </c>
      <c r="Q60" s="166" t="str">
        <f ca="1">IF(E60="","",MAX(ROUND(P60,0),Pricing!$U60))</f>
        <v/>
      </c>
      <c r="R60" s="166">
        <f t="shared" si="9"/>
        <v>0</v>
      </c>
      <c r="S60" s="167">
        <f>IF(E60="","",IF($F60=111,0,ROUND(SUMPRODUCT(H60:H$116,R60:R$116)/H60,0)))</f>
        <v>0</v>
      </c>
    </row>
    <row r="61" spans="4:19" x14ac:dyDescent="0.3">
      <c r="D61" s="178">
        <v>56</v>
      </c>
      <c r="E61" s="95">
        <f t="shared" si="5"/>
        <v>56</v>
      </c>
      <c r="F61" s="183">
        <f t="shared" si="6"/>
        <v>91</v>
      </c>
      <c r="G61" s="162">
        <f>IF(E61="","",IF(E61=$B$10,0,VLOOKUP(F61,Life!$A$3:$R$113,14,FALSE)))</f>
        <v>21712.469379377955</v>
      </c>
      <c r="H61" s="163">
        <f>IF(E61="","",IF($F61=111,0,VLOOKUP(F61,Life!$A$3:$R$113,15,FALSE)))</f>
        <v>100552.41095787995</v>
      </c>
      <c r="I61" s="163">
        <f ca="1">IF(E61&gt;=$B$10,"",IF(F61&lt;16,Pricing!K61,IFERROR(MAX(Pricing!I61,Pricing!J61,Pricing!V61),0)+Pricing!L61))</f>
        <v>17441</v>
      </c>
      <c r="J61" s="163">
        <f>IF(E61="","",Pricing!N61)</f>
        <v>0</v>
      </c>
      <c r="K61" s="163">
        <f>IF(E61="","",Pricing!$O61)</f>
        <v>0</v>
      </c>
      <c r="L61" s="163" t="str">
        <f ca="1">IF(E61="","",IF($F61=111,$J61,(SUMPRODUCT(G61:G$116,I61:I$116)+SUMPRODUCT(H61:H$116,J61:J$116))/H61))</f>
        <v/>
      </c>
      <c r="M61" s="163">
        <f>IF(E61="","",IF($F61=111,$K61,SUMPRODUCT(H61:H$116,K61:K$116)/H61))</f>
        <v>0</v>
      </c>
      <c r="N61" s="163">
        <f t="shared" si="7"/>
        <v>0</v>
      </c>
      <c r="O61" s="163">
        <f>IF(E61="","",IF($F61=111,0,SUMPRODUCT(H61:H$116,N61:N$116)/H61))</f>
        <v>0</v>
      </c>
      <c r="P61" s="163" t="str">
        <f t="shared" ca="1" si="8"/>
        <v/>
      </c>
      <c r="Q61" s="163" t="str">
        <f ca="1">IF(E61="","",MAX(ROUND(P61,0),Pricing!$U61))</f>
        <v/>
      </c>
      <c r="R61" s="163">
        <f t="shared" si="9"/>
        <v>0</v>
      </c>
      <c r="S61" s="164">
        <f>IF(E61="","",IF($F61=111,0,ROUND(SUMPRODUCT(H61:H$116,R61:R$116)/H61,0)))</f>
        <v>0</v>
      </c>
    </row>
    <row r="62" spans="4:19" x14ac:dyDescent="0.3">
      <c r="D62" s="178">
        <v>57</v>
      </c>
      <c r="E62" s="95">
        <f t="shared" si="5"/>
        <v>57</v>
      </c>
      <c r="F62" s="183">
        <f t="shared" si="6"/>
        <v>92</v>
      </c>
      <c r="G62" s="162">
        <f>IF(E62="","",IF(E62=$B$10,0,VLOOKUP(F62,Life!$A$3:$R$113,14,FALSE)))</f>
        <v>18008.958018242884</v>
      </c>
      <c r="H62" s="163">
        <f>IF(E62="","",IF($F62=111,0,VLOOKUP(F62,Life!$A$3:$R$113,15,FALSE)))</f>
        <v>76867.515938168814</v>
      </c>
      <c r="I62" s="163">
        <f ca="1">IF(E62&gt;=$B$10,"",IF(F62&lt;16,Pricing!K62,IFERROR(MAX(Pricing!I62,Pricing!J62,Pricing!V62),0)+Pricing!L62))</f>
        <v>17441</v>
      </c>
      <c r="J62" s="163">
        <f>IF(E62="","",Pricing!N62)</f>
        <v>0</v>
      </c>
      <c r="K62" s="163">
        <f>IF(E62="","",Pricing!$O62)</f>
        <v>0</v>
      </c>
      <c r="L62" s="163" t="str">
        <f ca="1">IF(E62="","",IF($F62=111,$J62,(SUMPRODUCT(G62:G$116,I62:I$116)+SUMPRODUCT(H62:H$116,J62:J$116))/H62))</f>
        <v/>
      </c>
      <c r="M62" s="163">
        <f>IF(E62="","",IF($F62=111,$K62,SUMPRODUCT(H62:H$116,K62:K$116)/H62))</f>
        <v>0</v>
      </c>
      <c r="N62" s="163">
        <f t="shared" si="7"/>
        <v>0</v>
      </c>
      <c r="O62" s="163">
        <f>IF(E62="","",IF($F62=111,0,SUMPRODUCT(H62:H$116,N62:N$116)/H62))</f>
        <v>0</v>
      </c>
      <c r="P62" s="163" t="str">
        <f t="shared" ca="1" si="8"/>
        <v/>
      </c>
      <c r="Q62" s="163" t="str">
        <f ca="1">IF(E62="","",MAX(ROUND(P62,0),Pricing!$U62))</f>
        <v/>
      </c>
      <c r="R62" s="163">
        <f t="shared" si="9"/>
        <v>0</v>
      </c>
      <c r="S62" s="164">
        <f>IF(E62="","",IF($F62=111,0,ROUND(SUMPRODUCT(H62:H$116,R62:R$116)/H62,0)))</f>
        <v>0</v>
      </c>
    </row>
    <row r="63" spans="4:19" x14ac:dyDescent="0.3">
      <c r="D63" s="178">
        <v>58</v>
      </c>
      <c r="E63" s="95">
        <f t="shared" si="5"/>
        <v>58</v>
      </c>
      <c r="F63" s="183">
        <f t="shared" si="6"/>
        <v>93</v>
      </c>
      <c r="G63" s="162">
        <f>IF(E63="","",IF(E63=$B$10,0,VLOOKUP(F63,Life!$A$3:$R$113,14,FALSE)))</f>
        <v>14567.690104186084</v>
      </c>
      <c r="H63" s="163">
        <f>IF(E63="","",IF($F63=111,0,VLOOKUP(F63,Life!$A$3:$R$113,15,FALSE)))</f>
        <v>57366.341445736121</v>
      </c>
      <c r="I63" s="163">
        <f ca="1">IF(E63&gt;=$B$10,"",IF(F63&lt;16,Pricing!K63,IFERROR(MAX(Pricing!I63,Pricing!J63,Pricing!V63),0)+Pricing!L63))</f>
        <v>17441</v>
      </c>
      <c r="J63" s="163">
        <f>IF(E63="","",Pricing!N63)</f>
        <v>0</v>
      </c>
      <c r="K63" s="163">
        <f>IF(E63="","",Pricing!$O63)</f>
        <v>0</v>
      </c>
      <c r="L63" s="163" t="str">
        <f ca="1">IF(E63="","",IF($F63=111,$J63,(SUMPRODUCT(G63:G$116,I63:I$116)+SUMPRODUCT(H63:H$116,J63:J$116))/H63))</f>
        <v/>
      </c>
      <c r="M63" s="163">
        <f>IF(E63="","",IF($F63=111,$K63,SUMPRODUCT(H63:H$116,K63:K$116)/H63))</f>
        <v>0</v>
      </c>
      <c r="N63" s="163">
        <f t="shared" si="7"/>
        <v>0</v>
      </c>
      <c r="O63" s="163">
        <f>IF(E63="","",IF($F63=111,0,SUMPRODUCT(H63:H$116,N63:N$116)/H63))</f>
        <v>0</v>
      </c>
      <c r="P63" s="163" t="str">
        <f t="shared" ca="1" si="8"/>
        <v/>
      </c>
      <c r="Q63" s="163" t="str">
        <f ca="1">IF(E63="","",MAX(ROUND(P63,0),Pricing!$U63))</f>
        <v/>
      </c>
      <c r="R63" s="163">
        <f t="shared" si="9"/>
        <v>0</v>
      </c>
      <c r="S63" s="164">
        <f>IF(E63="","",IF($F63=111,0,ROUND(SUMPRODUCT(H63:H$116,R63:R$116)/H63,0)))</f>
        <v>0</v>
      </c>
    </row>
    <row r="64" spans="4:19" x14ac:dyDescent="0.3">
      <c r="D64" s="178">
        <v>59</v>
      </c>
      <c r="E64" s="95">
        <f t="shared" si="5"/>
        <v>59</v>
      </c>
      <c r="F64" s="183">
        <f t="shared" si="6"/>
        <v>94</v>
      </c>
      <c r="G64" s="162">
        <f>IF(E64="","",IF(E64=$B$10,0,VLOOKUP(F64,Life!$A$3:$R$113,14,FALSE)))</f>
        <v>11463.824050496854</v>
      </c>
      <c r="H64" s="163">
        <f>IF(E64="","",IF($F64=111,0,VLOOKUP(F64,Life!$A$3:$R$113,15,FALSE)))</f>
        <v>41697.483092573457</v>
      </c>
      <c r="I64" s="163">
        <f ca="1">IF(E64&gt;=$B$10,"",IF(F64&lt;16,Pricing!K64,IFERROR(MAX(Pricing!I64,Pricing!J64,Pricing!V64),0)+Pricing!L64))</f>
        <v>17441</v>
      </c>
      <c r="J64" s="163">
        <f>IF(E64="","",Pricing!N64)</f>
        <v>0</v>
      </c>
      <c r="K64" s="163">
        <f>IF(E64="","",Pricing!$O64)</f>
        <v>0</v>
      </c>
      <c r="L64" s="163" t="str">
        <f ca="1">IF(E64="","",IF($F64=111,$J64,(SUMPRODUCT(G64:G$116,I64:I$116)+SUMPRODUCT(H64:H$116,J64:J$116))/H64))</f>
        <v/>
      </c>
      <c r="M64" s="163">
        <f>IF(E64="","",IF($F64=111,$K64,SUMPRODUCT(H64:H$116,K64:K$116)/H64))</f>
        <v>0</v>
      </c>
      <c r="N64" s="163">
        <f t="shared" si="7"/>
        <v>0</v>
      </c>
      <c r="O64" s="163">
        <f>IF(E64="","",IF($F64=111,0,SUMPRODUCT(H64:H$116,N64:N$116)/H64))</f>
        <v>0</v>
      </c>
      <c r="P64" s="163" t="str">
        <f t="shared" ca="1" si="8"/>
        <v/>
      </c>
      <c r="Q64" s="163" t="str">
        <f ca="1">IF(E64="","",MAX(ROUND(P64,0),Pricing!$U64))</f>
        <v/>
      </c>
      <c r="R64" s="163">
        <f t="shared" si="9"/>
        <v>0</v>
      </c>
      <c r="S64" s="164">
        <f>IF(E64="","",IF($F64=111,0,ROUND(SUMPRODUCT(H64:H$116,R64:R$116)/H64,0)))</f>
        <v>0</v>
      </c>
    </row>
    <row r="65" spans="4:19" x14ac:dyDescent="0.3">
      <c r="D65" s="178">
        <v>60</v>
      </c>
      <c r="E65" s="184">
        <f t="shared" si="5"/>
        <v>60</v>
      </c>
      <c r="F65" s="185">
        <f t="shared" si="6"/>
        <v>95</v>
      </c>
      <c r="G65" s="165">
        <f>IF(E65="","",IF(E65=$B$10,0,VLOOKUP(F65,Life!$A$3:$R$113,14,FALSE)))</f>
        <v>8752.2746570207892</v>
      </c>
      <c r="H65" s="166">
        <f>IF(E65="","",IF($F65=111,0,VLOOKUP(F65,Life!$A$3:$R$113,15,FALSE)))</f>
        <v>29442.942218441756</v>
      </c>
      <c r="I65" s="163">
        <f ca="1">IF(E65&gt;=$B$10,"",IF(F65&lt;16,Pricing!K65,IFERROR(MAX(Pricing!I65,Pricing!J65,Pricing!V65),0)+Pricing!L65))</f>
        <v>17441</v>
      </c>
      <c r="J65" s="166">
        <f>IF(E65="","",Pricing!N65)</f>
        <v>0</v>
      </c>
      <c r="K65" s="166">
        <f>IF(E65="","",Pricing!$O65)</f>
        <v>0</v>
      </c>
      <c r="L65" s="166" t="str">
        <f ca="1">IF(E65="","",IF($F65=111,$J65,(SUMPRODUCT(G65:G$116,I65:I$116)+SUMPRODUCT(H65:H$116,J65:J$116))/H65))</f>
        <v/>
      </c>
      <c r="M65" s="166">
        <f>IF(E65="","",IF($F65=111,$K65,SUMPRODUCT(H65:H$116,K65:K$116)/H65))</f>
        <v>0</v>
      </c>
      <c r="N65" s="166">
        <f t="shared" si="7"/>
        <v>0</v>
      </c>
      <c r="O65" s="166">
        <f>IF(E65="","",IF($F65=111,0,SUMPRODUCT(H65:H$116,N65:N$116)/H65))</f>
        <v>0</v>
      </c>
      <c r="P65" s="166" t="str">
        <f t="shared" ca="1" si="8"/>
        <v/>
      </c>
      <c r="Q65" s="166" t="str">
        <f ca="1">IF(E65="","",MAX(ROUND(P65,0),Pricing!$U65))</f>
        <v/>
      </c>
      <c r="R65" s="166">
        <f t="shared" si="9"/>
        <v>0</v>
      </c>
      <c r="S65" s="167">
        <f>IF(E65="","",IF($F65=111,0,ROUND(SUMPRODUCT(H65:H$116,R65:R$116)/H65,0)))</f>
        <v>0</v>
      </c>
    </row>
    <row r="66" spans="4:19" x14ac:dyDescent="0.3">
      <c r="D66" s="178">
        <v>61</v>
      </c>
      <c r="E66" s="95">
        <f t="shared" si="5"/>
        <v>61</v>
      </c>
      <c r="F66" s="183">
        <f t="shared" si="6"/>
        <v>96</v>
      </c>
      <c r="G66" s="162">
        <f>IF(E66="","",IF(E66=$B$10,0,VLOOKUP(F66,Life!$A$3:$R$113,14,FALSE)))</f>
        <v>6464.1793788297819</v>
      </c>
      <c r="H66" s="163">
        <f>IF(E66="","",IF($F66=111,0,VLOOKUP(F66,Life!$A$3:$R$113,15,FALSE)))</f>
        <v>20139.61093575268</v>
      </c>
      <c r="I66" s="163">
        <f ca="1">IF(E66&gt;=$B$10,"",IF(F66&lt;16,Pricing!K66,IFERROR(MAX(Pricing!I66,Pricing!J66,Pricing!V66),0)+Pricing!L66))</f>
        <v>17441</v>
      </c>
      <c r="J66" s="163">
        <f>IF(E66="","",Pricing!N66)</f>
        <v>0</v>
      </c>
      <c r="K66" s="163">
        <f>IF(E66="","",Pricing!$O66)</f>
        <v>0</v>
      </c>
      <c r="L66" s="163" t="str">
        <f ca="1">IF(E66="","",IF($F66=111,$J66,(SUMPRODUCT(G66:G$116,I66:I$116)+SUMPRODUCT(H66:H$116,J66:J$116))/H66))</f>
        <v/>
      </c>
      <c r="M66" s="163">
        <f>IF(E66="","",IF($F66=111,$K66,SUMPRODUCT(H66:H$116,K66:K$116)/H66))</f>
        <v>0</v>
      </c>
      <c r="N66" s="163">
        <f t="shared" si="7"/>
        <v>0</v>
      </c>
      <c r="O66" s="163">
        <f>IF(E66="","",IF($F66=111,0,SUMPRODUCT(H66:H$116,N66:N$116)/H66))</f>
        <v>0</v>
      </c>
      <c r="P66" s="163" t="str">
        <f t="shared" ca="1" si="8"/>
        <v/>
      </c>
      <c r="Q66" s="163" t="str">
        <f ca="1">IF(E66="","",MAX(ROUND(P66,0),Pricing!$U66))</f>
        <v/>
      </c>
      <c r="R66" s="163">
        <f t="shared" si="9"/>
        <v>0</v>
      </c>
      <c r="S66" s="164">
        <f>IF(E66="","",IF($F66=111,0,ROUND(SUMPRODUCT(H66:H$116,R66:R$116)/H66,0)))</f>
        <v>0</v>
      </c>
    </row>
    <row r="67" spans="4:19" x14ac:dyDescent="0.3">
      <c r="D67" s="178">
        <v>62</v>
      </c>
      <c r="E67" s="95">
        <f t="shared" si="5"/>
        <v>62</v>
      </c>
      <c r="F67" s="183">
        <f t="shared" si="6"/>
        <v>97</v>
      </c>
      <c r="G67" s="162">
        <f>IF(E67="","",IF(E67=$B$10,0,VLOOKUP(F67,Life!$A$3:$R$113,14,FALSE)))</f>
        <v>4603.9613585511106</v>
      </c>
      <c r="H67" s="163">
        <f>IF(E67="","",IF($F67=111,0,VLOOKUP(F67,Life!$A$3:$R$113,15,FALSE)))</f>
        <v>13303.779033774663</v>
      </c>
      <c r="I67" s="163">
        <f ca="1">IF(E67&gt;=$B$10,"",IF(F67&lt;16,Pricing!K67,IFERROR(MAX(Pricing!I67,Pricing!J67,Pricing!V67),0)+Pricing!L67))</f>
        <v>17441</v>
      </c>
      <c r="J67" s="163">
        <f>IF(E67="","",Pricing!N67)</f>
        <v>0</v>
      </c>
      <c r="K67" s="163">
        <f>IF(E67="","",Pricing!$O67)</f>
        <v>0</v>
      </c>
      <c r="L67" s="163" t="str">
        <f ca="1">IF(E67="","",IF($F67=111,$J67,(SUMPRODUCT(G67:G$116,I67:I$116)+SUMPRODUCT(H67:H$116,J67:J$116))/H67))</f>
        <v/>
      </c>
      <c r="M67" s="163">
        <f>IF(E67="","",IF($F67=111,$K67,SUMPRODUCT(H67:H$116,K67:K$116)/H67))</f>
        <v>0</v>
      </c>
      <c r="N67" s="163">
        <f t="shared" si="7"/>
        <v>0</v>
      </c>
      <c r="O67" s="163">
        <f>IF(E67="","",IF($F67=111,0,SUMPRODUCT(H67:H$116,N67:N$116)/H67))</f>
        <v>0</v>
      </c>
      <c r="P67" s="163" t="str">
        <f t="shared" ca="1" si="8"/>
        <v/>
      </c>
      <c r="Q67" s="163" t="str">
        <f ca="1">IF(E67="","",MAX(ROUND(P67,0),Pricing!$U67))</f>
        <v/>
      </c>
      <c r="R67" s="163">
        <f t="shared" si="9"/>
        <v>0</v>
      </c>
      <c r="S67" s="164">
        <f>IF(E67="","",IF($F67=111,0,ROUND(SUMPRODUCT(H67:H$116,R67:R$116)/H67,0)))</f>
        <v>0</v>
      </c>
    </row>
    <row r="68" spans="4:19" x14ac:dyDescent="0.3">
      <c r="D68" s="178">
        <v>63</v>
      </c>
      <c r="E68" s="95">
        <f t="shared" si="5"/>
        <v>63</v>
      </c>
      <c r="F68" s="183">
        <f t="shared" si="6"/>
        <v>98</v>
      </c>
      <c r="G68" s="162">
        <f>IF(E68="","",IF(E68=$B$10,0,VLOOKUP(F68,Life!$A$3:$R$113,14,FALSE)))</f>
        <v>3151.074088473782</v>
      </c>
      <c r="H68" s="163">
        <f>IF(E68="","",IF($F68=111,0,VLOOKUP(F68,Life!$A$3:$R$113,15,FALSE)))</f>
        <v>8458.0060852053011</v>
      </c>
      <c r="I68" s="163">
        <f ca="1">IF(E68&gt;=$B$10,"",IF(F68&lt;16,Pricing!K68,IFERROR(MAX(Pricing!I68,Pricing!J68,Pricing!V68),0)+Pricing!L68))</f>
        <v>17441</v>
      </c>
      <c r="J68" s="163">
        <f>IF(E68="","",Pricing!N68)</f>
        <v>0</v>
      </c>
      <c r="K68" s="163">
        <f>IF(E68="","",Pricing!$O68)</f>
        <v>0</v>
      </c>
      <c r="L68" s="163" t="str">
        <f ca="1">IF(E68="","",IF($F68=111,$J68,(SUMPRODUCT(G68:G$116,I68:I$116)+SUMPRODUCT(H68:H$116,J68:J$116))/H68))</f>
        <v/>
      </c>
      <c r="M68" s="163">
        <f>IF(E68="","",IF($F68=111,$K68,SUMPRODUCT(H68:H$116,K68:K$116)/H68))</f>
        <v>0</v>
      </c>
      <c r="N68" s="163">
        <f t="shared" si="7"/>
        <v>0</v>
      </c>
      <c r="O68" s="163">
        <f>IF(E68="","",IF($F68=111,0,SUMPRODUCT(H68:H$116,N68:N$116)/H68))</f>
        <v>0</v>
      </c>
      <c r="P68" s="163" t="str">
        <f t="shared" ca="1" si="8"/>
        <v/>
      </c>
      <c r="Q68" s="163" t="str">
        <f ca="1">IF(E68="","",MAX(ROUND(P68,0),Pricing!$U68))</f>
        <v/>
      </c>
      <c r="R68" s="163">
        <f t="shared" si="9"/>
        <v>0</v>
      </c>
      <c r="S68" s="164">
        <f>IF(E68="","",IF($F68=111,0,ROUND(SUMPRODUCT(H68:H$116,R68:R$116)/H68,0)))</f>
        <v>0</v>
      </c>
    </row>
    <row r="69" spans="4:19" x14ac:dyDescent="0.3">
      <c r="D69" s="178">
        <v>64</v>
      </c>
      <c r="E69" s="95">
        <f t="shared" ref="E69:E100" si="10">IF(D69&lt;=$B$10,D69,"")</f>
        <v>64</v>
      </c>
      <c r="F69" s="183">
        <f t="shared" ref="F69:F100" si="11">IF(E69="","",E69+$B$7)</f>
        <v>99</v>
      </c>
      <c r="G69" s="162">
        <f>IF(E69="","",IF(E69=$B$10,0,VLOOKUP(F69,Life!$A$3:$R$113,14,FALSE)))</f>
        <v>2063.9965023811824</v>
      </c>
      <c r="H69" s="163">
        <f>IF(E69="","",IF($F69=111,0,VLOOKUP(F69,Life!$A$3:$R$113,15,FALSE)))</f>
        <v>5155.6768752147609</v>
      </c>
      <c r="I69" s="163">
        <f ca="1">IF(E69&gt;=$B$10,"",IF(F69&lt;16,Pricing!K69,IFERROR(MAX(Pricing!I69,Pricing!J69,Pricing!V69),0)+Pricing!L69))</f>
        <v>17441</v>
      </c>
      <c r="J69" s="163">
        <f>IF(E69="","",Pricing!N69)</f>
        <v>0</v>
      </c>
      <c r="K69" s="163">
        <f>IF(E69="","",Pricing!$O69)</f>
        <v>0</v>
      </c>
      <c r="L69" s="163" t="str">
        <f ca="1">IF(E69="","",IF($F69=111,$J69,(SUMPRODUCT(G69:G$116,I69:I$116)+SUMPRODUCT(H69:H$116,J69:J$116))/H69))</f>
        <v/>
      </c>
      <c r="M69" s="163">
        <f>IF(E69="","",IF($F69=111,$K69,SUMPRODUCT(H69:H$116,K69:K$116)/H69))</f>
        <v>0</v>
      </c>
      <c r="N69" s="163">
        <f t="shared" ref="N69:N100" si="12">IF(E69="","",IF(E69&gt;=$B$9,0,IF(E69=0,$B$20,IF(E69&lt;$B$29,$B$21,$B$22))))</f>
        <v>0</v>
      </c>
      <c r="O69" s="163">
        <f>IF(E69="","",IF($F69=111,0,SUMPRODUCT(H69:H$116,N69:N$116)/H69))</f>
        <v>0</v>
      </c>
      <c r="P69" s="163" t="str">
        <f t="shared" ref="P69:P100" ca="1" si="13">IF(E69="","",L69+M69-O69)</f>
        <v/>
      </c>
      <c r="Q69" s="163" t="str">
        <f ca="1">IF(E69="","",MAX(ROUND(P69,0),Pricing!$U69))</f>
        <v/>
      </c>
      <c r="R69" s="163">
        <f t="shared" ref="R69:R100" si="14">IF(E69="","",MAX(N69-$B$12*(1-$B$13),0))</f>
        <v>0</v>
      </c>
      <c r="S69" s="164">
        <f>IF(E69="","",IF($F69=111,0,ROUND(SUMPRODUCT(H69:H$116,R69:R$116)/H69,0)))</f>
        <v>0</v>
      </c>
    </row>
    <row r="70" spans="4:19" x14ac:dyDescent="0.3">
      <c r="D70" s="178">
        <v>65</v>
      </c>
      <c r="E70" s="184">
        <f t="shared" si="10"/>
        <v>65</v>
      </c>
      <c r="F70" s="185">
        <f t="shared" si="11"/>
        <v>100</v>
      </c>
      <c r="G70" s="165">
        <f>IF(E70="","",IF(E70=$B$10,0,VLOOKUP(F70,Life!$A$3:$R$113,14,FALSE)))</f>
        <v>1288.3679513196466</v>
      </c>
      <c r="H70" s="166">
        <f>IF(E70="","",IF($F70=111,0,VLOOKUP(F70,Life!$A$3:$R$113,15,FALSE)))</f>
        <v>3001.0655994283975</v>
      </c>
      <c r="I70" s="163">
        <f ca="1">IF(E70&gt;=$B$10,"",IF(F70&lt;16,Pricing!K70,IFERROR(MAX(Pricing!I70,Pricing!J70,Pricing!V70),0)+Pricing!L70))</f>
        <v>17441</v>
      </c>
      <c r="J70" s="166">
        <f>IF(E70="","",Pricing!N70)</f>
        <v>0</v>
      </c>
      <c r="K70" s="166">
        <f>IF(E70="","",Pricing!$O70)</f>
        <v>0</v>
      </c>
      <c r="L70" s="166" t="str">
        <f ca="1">IF(E70="","",IF($F70=111,$J70,(SUMPRODUCT(G70:G$116,I70:I$116)+SUMPRODUCT(H70:H$116,J70:J$116))/H70))</f>
        <v/>
      </c>
      <c r="M70" s="166">
        <f>IF(E70="","",IF($F70=111,$K70,SUMPRODUCT(H70:H$116,K70:K$116)/H70))</f>
        <v>0</v>
      </c>
      <c r="N70" s="166">
        <f t="shared" si="12"/>
        <v>0</v>
      </c>
      <c r="O70" s="166">
        <f>IF(E70="","",IF($F70=111,0,SUMPRODUCT(H70:H$116,N70:N$116)/H70))</f>
        <v>0</v>
      </c>
      <c r="P70" s="166" t="str">
        <f t="shared" ca="1" si="13"/>
        <v/>
      </c>
      <c r="Q70" s="166" t="str">
        <f ca="1">IF(E70="","",MAX(ROUND(P70,0),Pricing!$U70))</f>
        <v/>
      </c>
      <c r="R70" s="166">
        <f t="shared" si="14"/>
        <v>0</v>
      </c>
      <c r="S70" s="167">
        <f>IF(E70="","",IF($F70=111,0,ROUND(SUMPRODUCT(H70:H$116,R70:R$116)/H70,0)))</f>
        <v>0</v>
      </c>
    </row>
    <row r="71" spans="4:19" x14ac:dyDescent="0.3">
      <c r="D71" s="178">
        <v>66</v>
      </c>
      <c r="E71" s="95">
        <f t="shared" si="10"/>
        <v>66</v>
      </c>
      <c r="F71" s="183">
        <f t="shared" si="11"/>
        <v>101</v>
      </c>
      <c r="G71" s="162">
        <f>IF(E71="","",IF(E71=$B$10,0,VLOOKUP(F71,Life!$A$3:$R$113,14,FALSE)))</f>
        <v>762.95024560473485</v>
      </c>
      <c r="H71" s="163">
        <f>IF(E71="","",IF($F71=111,0,VLOOKUP(F71,Life!$A$3:$R$113,15,FALSE)))</f>
        <v>1660.9135781731115</v>
      </c>
      <c r="I71" s="163">
        <f ca="1">IF(E71&gt;=$B$10,"",IF(F71&lt;16,Pricing!K71,IFERROR(MAX(Pricing!I71,Pricing!J71,Pricing!V71),0)+Pricing!L71))</f>
        <v>17441</v>
      </c>
      <c r="J71" s="163">
        <f>IF(E71="","",Pricing!N71)</f>
        <v>0</v>
      </c>
      <c r="K71" s="163">
        <f>IF(E71="","",Pricing!$O71)</f>
        <v>0</v>
      </c>
      <c r="L71" s="163" t="str">
        <f ca="1">IF(E71="","",IF($F71=111,$J71,(SUMPRODUCT(G71:G$116,I71:I$116)+SUMPRODUCT(H71:H$116,J71:J$116))/H71))</f>
        <v/>
      </c>
      <c r="M71" s="163">
        <f>IF(E71="","",IF($F71=111,$K71,SUMPRODUCT(H71:H$116,K71:K$116)/H71))</f>
        <v>0</v>
      </c>
      <c r="N71" s="163">
        <f t="shared" si="12"/>
        <v>0</v>
      </c>
      <c r="O71" s="163">
        <f>IF(E71="","",IF($F71=111,0,SUMPRODUCT(H71:H$116,N71:N$116)/H71))</f>
        <v>0</v>
      </c>
      <c r="P71" s="163" t="str">
        <f t="shared" ca="1" si="13"/>
        <v/>
      </c>
      <c r="Q71" s="163" t="str">
        <f ca="1">IF(E71="","",MAX(ROUND(P71,0),Pricing!$U71))</f>
        <v/>
      </c>
      <c r="R71" s="163">
        <f t="shared" si="14"/>
        <v>0</v>
      </c>
      <c r="S71" s="164">
        <f>IF(E71="","",IF($F71=111,0,ROUND(SUMPRODUCT(H71:H$116,R71:R$116)/H71,0)))</f>
        <v>0</v>
      </c>
    </row>
    <row r="72" spans="4:19" x14ac:dyDescent="0.3">
      <c r="D72" s="178">
        <v>67</v>
      </c>
      <c r="E72" s="95">
        <f t="shared" si="10"/>
        <v>67</v>
      </c>
      <c r="F72" s="183">
        <f t="shared" si="11"/>
        <v>102</v>
      </c>
      <c r="G72" s="162">
        <f>IF(E72="","",IF(E72=$B$10,0,VLOOKUP(F72,Life!$A$3:$R$113,14,FALSE)))</f>
        <v>426.64089830246343</v>
      </c>
      <c r="H72" s="163">
        <f>IF(E72="","",IF($F72=111,0,VLOOKUP(F72,Life!$A$3:$R$113,15,FALSE)))</f>
        <v>869.85612431819504</v>
      </c>
      <c r="I72" s="163">
        <f ca="1">IF(E72&gt;=$B$10,"",IF(F72&lt;16,Pricing!K72,IFERROR(MAX(Pricing!I72,Pricing!J72,Pricing!V72),0)+Pricing!L72))</f>
        <v>17441</v>
      </c>
      <c r="J72" s="163">
        <f>IF(E72="","",Pricing!N72)</f>
        <v>0</v>
      </c>
      <c r="K72" s="163">
        <f>IF(E72="","",Pricing!$O72)</f>
        <v>0</v>
      </c>
      <c r="L72" s="163" t="str">
        <f ca="1">IF(E72="","",IF($F72=111,$J72,(SUMPRODUCT(G72:G$116,I72:I$116)+SUMPRODUCT(H72:H$116,J72:J$116))/H72))</f>
        <v/>
      </c>
      <c r="M72" s="163">
        <f>IF(E72="","",IF($F72=111,$K72,SUMPRODUCT(H72:H$116,K72:K$116)/H72))</f>
        <v>0</v>
      </c>
      <c r="N72" s="163">
        <f t="shared" si="12"/>
        <v>0</v>
      </c>
      <c r="O72" s="163">
        <f>IF(E72="","",IF($F72=111,0,SUMPRODUCT(H72:H$116,N72:N$116)/H72))</f>
        <v>0</v>
      </c>
      <c r="P72" s="163" t="str">
        <f t="shared" ca="1" si="13"/>
        <v/>
      </c>
      <c r="Q72" s="163" t="str">
        <f ca="1">IF(E72="","",MAX(ROUND(P72,0),Pricing!$U72))</f>
        <v/>
      </c>
      <c r="R72" s="163">
        <f t="shared" si="14"/>
        <v>0</v>
      </c>
      <c r="S72" s="164">
        <f>IF(E72="","",IF($F72=111,0,ROUND(SUMPRODUCT(H72:H$116,R72:R$116)/H72,0)))</f>
        <v>0</v>
      </c>
    </row>
    <row r="73" spans="4:19" x14ac:dyDescent="0.3">
      <c r="D73" s="178">
        <v>68</v>
      </c>
      <c r="E73" s="95">
        <f t="shared" si="10"/>
        <v>68</v>
      </c>
      <c r="F73" s="183">
        <f t="shared" si="11"/>
        <v>103</v>
      </c>
      <c r="G73" s="162">
        <f>IF(E73="","",IF(E73=$B$10,0,VLOOKUP(F73,Life!$A$3:$R$113,14,FALSE)))</f>
        <v>224.02092194802864</v>
      </c>
      <c r="H73" s="163">
        <f>IF(E73="","",IF($F73=111,0,VLOOKUP(F73,Life!$A$3:$R$113,15,FALSE)))</f>
        <v>428.79434205632111</v>
      </c>
      <c r="I73" s="163">
        <f ca="1">IF(E73&gt;=$B$10,"",IF(F73&lt;16,Pricing!K73,IFERROR(MAX(Pricing!I73,Pricing!J73,Pricing!V73),0)+Pricing!L73))</f>
        <v>17441</v>
      </c>
      <c r="J73" s="163">
        <f>IF(E73="","",Pricing!N73)</f>
        <v>0</v>
      </c>
      <c r="K73" s="163">
        <f>IF(E73="","",Pricing!$O73)</f>
        <v>0</v>
      </c>
      <c r="L73" s="163" t="str">
        <f ca="1">IF(E73="","",IF($F73=111,$J73,(SUMPRODUCT(G73:G$116,I73:I$116)+SUMPRODUCT(H73:H$116,J73:J$116))/H73))</f>
        <v/>
      </c>
      <c r="M73" s="163">
        <f>IF(E73="","",IF($F73=111,$K73,SUMPRODUCT(H73:H$116,K73:K$116)/H73))</f>
        <v>0</v>
      </c>
      <c r="N73" s="163">
        <f t="shared" si="12"/>
        <v>0</v>
      </c>
      <c r="O73" s="163">
        <f>IF(E73="","",IF($F73=111,0,SUMPRODUCT(H73:H$116,N73:N$116)/H73))</f>
        <v>0</v>
      </c>
      <c r="P73" s="163" t="str">
        <f t="shared" ca="1" si="13"/>
        <v/>
      </c>
      <c r="Q73" s="163" t="str">
        <f ca="1">IF(E73="","",MAX(ROUND(P73,0),Pricing!$U73))</f>
        <v/>
      </c>
      <c r="R73" s="163">
        <f t="shared" si="14"/>
        <v>0</v>
      </c>
      <c r="S73" s="164">
        <f>IF(E73="","",IF($F73=111,0,ROUND(SUMPRODUCT(H73:H$116,R73:R$116)/H73,0)))</f>
        <v>0</v>
      </c>
    </row>
    <row r="74" spans="4:19" x14ac:dyDescent="0.3">
      <c r="D74" s="178">
        <v>69</v>
      </c>
      <c r="E74" s="95">
        <f t="shared" si="10"/>
        <v>69</v>
      </c>
      <c r="F74" s="183">
        <f t="shared" si="11"/>
        <v>104</v>
      </c>
      <c r="G74" s="162">
        <f>IF(E74="","",IF(E74=$B$10,0,VLOOKUP(F74,Life!$A$3:$R$113,14,FALSE)))</f>
        <v>109.7900956055185</v>
      </c>
      <c r="H74" s="163">
        <f>IF(E74="","",IF($F74=111,0,VLOOKUP(F74,Life!$A$3:$R$113,15,FALSE)))</f>
        <v>197.81633621975575</v>
      </c>
      <c r="I74" s="163">
        <f ca="1">IF(E74&gt;=$B$10,"",IF(F74&lt;16,Pricing!K74,IFERROR(MAX(Pricing!I74,Pricing!J74,Pricing!V74),0)+Pricing!L74))</f>
        <v>17441</v>
      </c>
      <c r="J74" s="163">
        <f>IF(E74="","",Pricing!N74)</f>
        <v>0</v>
      </c>
      <c r="K74" s="163">
        <f>IF(E74="","",Pricing!$O74)</f>
        <v>0</v>
      </c>
      <c r="L74" s="163" t="str">
        <f ca="1">IF(E74="","",IF($F74=111,$J74,(SUMPRODUCT(G74:G$116,I74:I$116)+SUMPRODUCT(H74:H$116,J74:J$116))/H74))</f>
        <v/>
      </c>
      <c r="M74" s="163">
        <f>IF(E74="","",IF($F74=111,$K74,SUMPRODUCT(H74:H$116,K74:K$116)/H74))</f>
        <v>0</v>
      </c>
      <c r="N74" s="163">
        <f t="shared" si="12"/>
        <v>0</v>
      </c>
      <c r="O74" s="163">
        <f>IF(E74="","",IF($F74=111,0,SUMPRODUCT(H74:H$116,N74:N$116)/H74))</f>
        <v>0</v>
      </c>
      <c r="P74" s="163" t="str">
        <f t="shared" ca="1" si="13"/>
        <v/>
      </c>
      <c r="Q74" s="163" t="str">
        <f ca="1">IF(E74="","",MAX(ROUND(P74,0),Pricing!$U74))</f>
        <v/>
      </c>
      <c r="R74" s="163">
        <f t="shared" si="14"/>
        <v>0</v>
      </c>
      <c r="S74" s="164">
        <f>IF(E74="","",IF($F74=111,0,ROUND(SUMPRODUCT(H74:H$116,R74:R$116)/H74,0)))</f>
        <v>0</v>
      </c>
    </row>
    <row r="75" spans="4:19" x14ac:dyDescent="0.3">
      <c r="D75" s="178">
        <v>70</v>
      </c>
      <c r="E75" s="184">
        <f t="shared" si="10"/>
        <v>70</v>
      </c>
      <c r="F75" s="185">
        <f t="shared" si="11"/>
        <v>105</v>
      </c>
      <c r="G75" s="165">
        <f>IF(E75="","",IF(E75=$B$10,0,VLOOKUP(F75,Life!$A$3:$R$113,14,FALSE)))</f>
        <v>49.910347463531487</v>
      </c>
      <c r="H75" s="166">
        <f>IF(E75="","",IF($F75=111,0,VLOOKUP(F75,Life!$A$3:$R$113,15,FALSE)))</f>
        <v>84.887992776690197</v>
      </c>
      <c r="I75" s="163">
        <f ca="1">IF(E75&gt;=$B$10,"",IF(F75&lt;16,Pricing!K75,IFERROR(MAX(Pricing!I75,Pricing!J75,Pricing!V75),0)+Pricing!L75))</f>
        <v>17441</v>
      </c>
      <c r="J75" s="166">
        <f>IF(E75="","",Pricing!N75)</f>
        <v>0</v>
      </c>
      <c r="K75" s="166">
        <f>IF(E75="","",Pricing!$O75)</f>
        <v>0</v>
      </c>
      <c r="L75" s="166" t="str">
        <f ca="1">IF(E75="","",IF($F75=111,$J75,(SUMPRODUCT(G75:G$116,I75:I$116)+SUMPRODUCT(H75:H$116,J75:J$116))/H75))</f>
        <v/>
      </c>
      <c r="M75" s="166">
        <f>IF(E75="","",IF($F75=111,$K75,SUMPRODUCT(H75:H$116,K75:K$116)/H75))</f>
        <v>0</v>
      </c>
      <c r="N75" s="166">
        <f t="shared" si="12"/>
        <v>0</v>
      </c>
      <c r="O75" s="166">
        <f>IF(E75="","",IF($F75=111,0,SUMPRODUCT(H75:H$116,N75:N$116)/H75))</f>
        <v>0</v>
      </c>
      <c r="P75" s="166" t="str">
        <f t="shared" ca="1" si="13"/>
        <v/>
      </c>
      <c r="Q75" s="166" t="str">
        <f ca="1">IF(E75="","",MAX(ROUND(P75,0),Pricing!$U75))</f>
        <v/>
      </c>
      <c r="R75" s="166">
        <f t="shared" si="14"/>
        <v>0</v>
      </c>
      <c r="S75" s="167">
        <f>IF(E75="","",IF($F75=111,0,ROUND(SUMPRODUCT(H75:H$116,R75:R$116)/H75,0)))</f>
        <v>0</v>
      </c>
    </row>
    <row r="76" spans="4:19" x14ac:dyDescent="0.3">
      <c r="D76" s="178">
        <v>71</v>
      </c>
      <c r="E76" s="95">
        <f t="shared" si="10"/>
        <v>71</v>
      </c>
      <c r="F76" s="183">
        <f t="shared" si="11"/>
        <v>106</v>
      </c>
      <c r="G76" s="162">
        <f>IF(E76="","",IF(E76=$B$10,0,VLOOKUP(F76,Life!$A$3:$R$113,14,FALSE)))</f>
        <v>20.946178103459619</v>
      </c>
      <c r="H76" s="163">
        <f>IF(E76="","",IF($F76=111,0,VLOOKUP(F76,Life!$A$3:$R$113,15,FALSE)))</f>
        <v>33.661884844419369</v>
      </c>
      <c r="I76" s="163">
        <f ca="1">IF(E76&gt;=$B$10,"",IF(F76&lt;16,Pricing!K76,IFERROR(MAX(Pricing!I76,Pricing!J76,Pricing!V76),0)+Pricing!L76))</f>
        <v>17441</v>
      </c>
      <c r="J76" s="163">
        <f>IF(E76="","",Pricing!N76)</f>
        <v>0</v>
      </c>
      <c r="K76" s="163">
        <f>IF(E76="","",Pricing!$O76)</f>
        <v>0</v>
      </c>
      <c r="L76" s="163" t="str">
        <f ca="1">IF(E76="","",IF($F76=111,$J76,(SUMPRODUCT(G76:G$116,I76:I$116)+SUMPRODUCT(H76:H$116,J76:J$116))/H76))</f>
        <v/>
      </c>
      <c r="M76" s="163">
        <f>IF(E76="","",IF($F76=111,$K76,SUMPRODUCT(H76:H$116,K76:K$116)/H76))</f>
        <v>0</v>
      </c>
      <c r="N76" s="163">
        <f t="shared" si="12"/>
        <v>0</v>
      </c>
      <c r="O76" s="163">
        <f>IF(E76="","",IF($F76=111,0,SUMPRODUCT(H76:H$116,N76:N$116)/H76))</f>
        <v>0</v>
      </c>
      <c r="P76" s="163" t="str">
        <f t="shared" ca="1" si="13"/>
        <v/>
      </c>
      <c r="Q76" s="163" t="str">
        <f ca="1">IF(E76="","",MAX(ROUND(P76,0),Pricing!$U76))</f>
        <v/>
      </c>
      <c r="R76" s="163">
        <f t="shared" si="14"/>
        <v>0</v>
      </c>
      <c r="S76" s="164">
        <f>IF(E76="","",IF($F76=111,0,ROUND(SUMPRODUCT(H76:H$116,R76:R$116)/H76,0)))</f>
        <v>0</v>
      </c>
    </row>
    <row r="77" spans="4:19" x14ac:dyDescent="0.3">
      <c r="D77" s="178">
        <v>72</v>
      </c>
      <c r="E77" s="95">
        <f t="shared" si="10"/>
        <v>72</v>
      </c>
      <c r="F77" s="183">
        <f t="shared" si="11"/>
        <v>107</v>
      </c>
      <c r="G77" s="162">
        <f>IF(E77="","",IF(E77=$B$10,0,VLOOKUP(F77,Life!$A$3:$R$113,14,FALSE)))</f>
        <v>8.0477806195618538</v>
      </c>
      <c r="H77" s="163">
        <f>IF(E77="","",IF($F77=111,0,VLOOKUP(F77,Life!$A$3:$R$113,15,FALSE)))</f>
        <v>12.206721791883071</v>
      </c>
      <c r="I77" s="163">
        <f ca="1">IF(E77&gt;=$B$10,"",IF(F77&lt;16,Pricing!K77,IFERROR(MAX(Pricing!I77,Pricing!J77,Pricing!V77),0)+Pricing!L77))</f>
        <v>17441</v>
      </c>
      <c r="J77" s="163">
        <f>IF(E77="","",Pricing!N77)</f>
        <v>0</v>
      </c>
      <c r="K77" s="163">
        <f>IF(E77="","",Pricing!$O77)</f>
        <v>0</v>
      </c>
      <c r="L77" s="163" t="str">
        <f ca="1">IF(E77="","",IF($F77=111,$J77,(SUMPRODUCT(G77:G$116,I77:I$116)+SUMPRODUCT(H77:H$116,J77:J$116))/H77))</f>
        <v/>
      </c>
      <c r="M77" s="163">
        <f>IF(E77="","",IF($F77=111,$K77,SUMPRODUCT(H77:H$116,K77:K$116)/H77))</f>
        <v>0</v>
      </c>
      <c r="N77" s="163">
        <f t="shared" si="12"/>
        <v>0</v>
      </c>
      <c r="O77" s="163">
        <f>IF(E77="","",IF($F77=111,0,SUMPRODUCT(H77:H$116,N77:N$116)/H77))</f>
        <v>0</v>
      </c>
      <c r="P77" s="163" t="str">
        <f t="shared" ca="1" si="13"/>
        <v/>
      </c>
      <c r="Q77" s="163" t="str">
        <f ca="1">IF(E77="","",MAX(ROUND(P77,0),Pricing!$U77))</f>
        <v/>
      </c>
      <c r="R77" s="163">
        <f t="shared" si="14"/>
        <v>0</v>
      </c>
      <c r="S77" s="164">
        <f>IF(E77="","",IF($F77=111,0,ROUND(SUMPRODUCT(H77:H$116,R77:R$116)/H77,0)))</f>
        <v>0</v>
      </c>
    </row>
    <row r="78" spans="4:19" x14ac:dyDescent="0.3">
      <c r="D78" s="178">
        <v>73</v>
      </c>
      <c r="E78" s="95">
        <f t="shared" si="10"/>
        <v>73</v>
      </c>
      <c r="F78" s="183">
        <f t="shared" si="11"/>
        <v>108</v>
      </c>
      <c r="G78" s="162">
        <f>IF(E78="","",IF(E78=$B$10,0,VLOOKUP(F78,Life!$A$3:$R$113,14,FALSE)))</f>
        <v>2.7726294643967262</v>
      </c>
      <c r="H78" s="163">
        <f>IF(E78="","",IF($F78=111,0,VLOOKUP(F78,Life!$A$3:$R$113,15,FALSE)))</f>
        <v>3.9793714072968438</v>
      </c>
      <c r="I78" s="163">
        <f ca="1">IF(E78&gt;=$B$10,"",IF(F78&lt;16,Pricing!K78,IFERROR(MAX(Pricing!I78,Pricing!J78,Pricing!V78),0)+Pricing!L78))</f>
        <v>17441</v>
      </c>
      <c r="J78" s="163">
        <f>IF(E78="","",Pricing!N78)</f>
        <v>0</v>
      </c>
      <c r="K78" s="163">
        <f>IF(E78="","",Pricing!$O78)</f>
        <v>0</v>
      </c>
      <c r="L78" s="163" t="str">
        <f ca="1">IF(E78="","",IF($F78=111,$J78,(SUMPRODUCT(G78:G$116,I78:I$116)+SUMPRODUCT(H78:H$116,J78:J$116))/H78))</f>
        <v/>
      </c>
      <c r="M78" s="163">
        <f>IF(E78="","",IF($F78=111,$K78,SUMPRODUCT(H78:H$116,K78:K$116)/H78))</f>
        <v>0</v>
      </c>
      <c r="N78" s="163">
        <f t="shared" si="12"/>
        <v>0</v>
      </c>
      <c r="O78" s="163">
        <f>IF(E78="","",IF($F78=111,0,SUMPRODUCT(H78:H$116,N78:N$116)/H78))</f>
        <v>0</v>
      </c>
      <c r="P78" s="163" t="str">
        <f t="shared" ca="1" si="13"/>
        <v/>
      </c>
      <c r="Q78" s="163" t="str">
        <f ca="1">IF(E78="","",MAX(ROUND(P78,0),Pricing!$U78))</f>
        <v/>
      </c>
      <c r="R78" s="163">
        <f t="shared" si="14"/>
        <v>0</v>
      </c>
      <c r="S78" s="164">
        <f>IF(E78="","",IF($F78=111,0,ROUND(SUMPRODUCT(H78:H$116,R78:R$116)/H78,0)))</f>
        <v>0</v>
      </c>
    </row>
    <row r="79" spans="4:19" x14ac:dyDescent="0.3">
      <c r="D79" s="178">
        <v>74</v>
      </c>
      <c r="E79" s="95">
        <f t="shared" si="10"/>
        <v>74</v>
      </c>
      <c r="F79" s="183">
        <f t="shared" si="11"/>
        <v>109</v>
      </c>
      <c r="G79" s="162">
        <f>IF(E79="","",IF(E79=$B$10,0,VLOOKUP(F79,Life!$A$3:$R$113,14,FALSE)))</f>
        <v>0.87471550260958331</v>
      </c>
      <c r="H79" s="163">
        <f>IF(E79="","",IF($F79=111,0,VLOOKUP(F79,Life!$A$3:$R$113,15,FALSE)))</f>
        <v>1.14985170693174</v>
      </c>
      <c r="I79" s="163">
        <f ca="1">IF(E79&gt;=$B$10,"",IF(F79&lt;16,Pricing!K79,IFERROR(MAX(Pricing!I79,Pricing!J79,Pricing!V79),0)+Pricing!L79))</f>
        <v>17441</v>
      </c>
      <c r="J79" s="163">
        <f>IF(E79="","",Pricing!N79)</f>
        <v>0</v>
      </c>
      <c r="K79" s="163">
        <f>IF(E79="","",Pricing!$O79)</f>
        <v>0</v>
      </c>
      <c r="L79" s="163" t="str">
        <f ca="1">IF(E79="","",IF($F79=111,$J79,(SUMPRODUCT(G79:G$116,I79:I$116)+SUMPRODUCT(H79:H$116,J79:J$116))/H79))</f>
        <v/>
      </c>
      <c r="M79" s="163">
        <f>IF(E79="","",IF($F79=111,$K79,SUMPRODUCT(H79:H$116,K79:K$116)/H79))</f>
        <v>0</v>
      </c>
      <c r="N79" s="163">
        <f t="shared" si="12"/>
        <v>0</v>
      </c>
      <c r="O79" s="163">
        <f>IF(E79="","",IF($F79=111,0,SUMPRODUCT(H79:H$116,N79:N$116)/H79))</f>
        <v>0</v>
      </c>
      <c r="P79" s="163" t="str">
        <f t="shared" ca="1" si="13"/>
        <v/>
      </c>
      <c r="Q79" s="163" t="str">
        <f ca="1">IF(E79="","",MAX(ROUND(P79,0),Pricing!$U79))</f>
        <v/>
      </c>
      <c r="R79" s="163">
        <f t="shared" si="14"/>
        <v>0</v>
      </c>
      <c r="S79" s="164">
        <f>IF(E79="","",IF($F79=111,0,ROUND(SUMPRODUCT(H79:H$116,R79:R$116)/H79,0)))</f>
        <v>0</v>
      </c>
    </row>
    <row r="80" spans="4:19" x14ac:dyDescent="0.3">
      <c r="D80" s="178">
        <v>75</v>
      </c>
      <c r="E80" s="184">
        <f t="shared" si="10"/>
        <v>75</v>
      </c>
      <c r="F80" s="185">
        <f t="shared" si="11"/>
        <v>110</v>
      </c>
      <c r="G80" s="165">
        <f>IF(E80="","",IF(E80=$B$10,0,VLOOKUP(F80,Life!$A$3:$R$113,14,FALSE)))</f>
        <v>0</v>
      </c>
      <c r="H80" s="166">
        <f>IF(E80="","",IF($F80=111,0,VLOOKUP(F80,Life!$A$3:$R$113,15,FALSE)))</f>
        <v>0.25951138768442505</v>
      </c>
      <c r="I80" s="163" t="str">
        <f>IF(E80&gt;=$B$10,"",IF(F80&lt;16,Pricing!K80,IFERROR(MAX(Pricing!I80,Pricing!J80,Pricing!V80),0)+Pricing!L80))</f>
        <v/>
      </c>
      <c r="J80" s="166">
        <f>IF(E80="","",Pricing!N80)</f>
        <v>34000</v>
      </c>
      <c r="K80" s="166">
        <f>IF(E80="","",Pricing!$O80)</f>
        <v>0</v>
      </c>
      <c r="L80" s="166">
        <f>IF(E80="","",IF($F80=111,$J80,(SUMPRODUCT(G80:G$116,I80:I$116)+SUMPRODUCT(H80:H$116,J80:J$116))/H80))</f>
        <v>34000</v>
      </c>
      <c r="M80" s="166">
        <f>IF(E80="","",IF($F80=111,$K80,SUMPRODUCT(H80:H$116,K80:K$116)/H80))</f>
        <v>0</v>
      </c>
      <c r="N80" s="166">
        <f t="shared" si="12"/>
        <v>0</v>
      </c>
      <c r="O80" s="166">
        <f>IF(E80="","",IF($F80=111,0,SUMPRODUCT(H80:H$116,N80:N$116)/H80))</f>
        <v>0</v>
      </c>
      <c r="P80" s="166">
        <f t="shared" si="13"/>
        <v>34000</v>
      </c>
      <c r="Q80" s="166">
        <f>IF(E80="","",MAX(ROUND(P80,0),Pricing!$U80))</f>
        <v>34000</v>
      </c>
      <c r="R80" s="166">
        <f t="shared" si="14"/>
        <v>0</v>
      </c>
      <c r="S80" s="167">
        <f>IF(E80="","",IF($F80=111,0,ROUND(SUMPRODUCT(H80:H$116,R80:R$116)/H80,0)))</f>
        <v>0</v>
      </c>
    </row>
    <row r="81" spans="4:19" x14ac:dyDescent="0.3">
      <c r="D81" s="178">
        <v>76</v>
      </c>
      <c r="E81" s="95" t="str">
        <f t="shared" si="10"/>
        <v/>
      </c>
      <c r="F81" s="183" t="str">
        <f t="shared" si="11"/>
        <v/>
      </c>
      <c r="G81" s="162" t="str">
        <f>IF(E81="","",IF(E81=$B$10,0,VLOOKUP(F81,Life!$A$3:$R$113,14,FALSE)))</f>
        <v/>
      </c>
      <c r="H81" s="163" t="str">
        <f>IF(E81="","",IF($F81=111,0,VLOOKUP(F81,Life!$A$3:$R$113,15,FALSE)))</f>
        <v/>
      </c>
      <c r="I81" s="163" t="str">
        <f>IF(E81&gt;=$B$10,"",IF(F81&lt;16,Pricing!K81,IFERROR(MAX(Pricing!I81,Pricing!J81,Pricing!V81),0)+Pricing!L81))</f>
        <v/>
      </c>
      <c r="J81" s="163" t="str">
        <f>IF(E81="","",Pricing!N81)</f>
        <v/>
      </c>
      <c r="K81" s="163" t="str">
        <f>IF(E81="","",Pricing!$O81)</f>
        <v/>
      </c>
      <c r="L81" s="163" t="str">
        <f>IF(E81="","",IF($F81=111,$J81,(SUMPRODUCT(G81:G$116,I81:I$116)+SUMPRODUCT(H81:H$116,J81:J$116))/H81))</f>
        <v/>
      </c>
      <c r="M81" s="163" t="str">
        <f>IF(E81="","",IF($F81=111,$K81,SUMPRODUCT(H81:H$116,K81:K$116)/H81))</f>
        <v/>
      </c>
      <c r="N81" s="163" t="str">
        <f t="shared" si="12"/>
        <v/>
      </c>
      <c r="O81" s="163" t="str">
        <f>IF(E81="","",IF($F81=111,0,SUMPRODUCT(H81:H$116,N81:N$116)/H81))</f>
        <v/>
      </c>
      <c r="P81" s="163" t="str">
        <f t="shared" si="13"/>
        <v/>
      </c>
      <c r="Q81" s="163" t="str">
        <f>IF(E81="","",MAX(ROUND(P81,0),Pricing!$U81))</f>
        <v/>
      </c>
      <c r="R81" s="163" t="str">
        <f t="shared" si="14"/>
        <v/>
      </c>
      <c r="S81" s="164" t="str">
        <f>IF(E81="","",IF($F81=111,0,ROUND(SUMPRODUCT(H81:H$116,R81:R$116)/H81,0)))</f>
        <v/>
      </c>
    </row>
    <row r="82" spans="4:19" x14ac:dyDescent="0.3">
      <c r="D82" s="178">
        <v>77</v>
      </c>
      <c r="E82" s="95" t="str">
        <f t="shared" si="10"/>
        <v/>
      </c>
      <c r="F82" s="183" t="str">
        <f t="shared" si="11"/>
        <v/>
      </c>
      <c r="G82" s="162" t="str">
        <f>IF(E82="","",IF(E82=$B$10,0,VLOOKUP(F82,Life!$A$3:$R$113,14,FALSE)))</f>
        <v/>
      </c>
      <c r="H82" s="163" t="str">
        <f>IF(E82="","",IF($F82=111,0,VLOOKUP(F82,Life!$A$3:$R$113,15,FALSE)))</f>
        <v/>
      </c>
      <c r="I82" s="163" t="str">
        <f>IF(E82&gt;=$B$10,"",IF(F82&lt;16,Pricing!K82,IFERROR(MAX(Pricing!I82,Pricing!J82,Pricing!V82),0)+Pricing!L82))</f>
        <v/>
      </c>
      <c r="J82" s="163" t="str">
        <f>IF(E82="","",Pricing!N82)</f>
        <v/>
      </c>
      <c r="K82" s="163" t="str">
        <f>IF(E82="","",Pricing!$O82)</f>
        <v/>
      </c>
      <c r="L82" s="163" t="str">
        <f>IF(E82="","",IF($F82=111,$J82,(SUMPRODUCT(G82:G$116,I82:I$116)+SUMPRODUCT(H82:H$116,J82:J$116))/H82))</f>
        <v/>
      </c>
      <c r="M82" s="163" t="str">
        <f>IF(E82="","",IF($F82=111,$K82,SUMPRODUCT(H82:H$116,K82:K$116)/H82))</f>
        <v/>
      </c>
      <c r="N82" s="163" t="str">
        <f t="shared" si="12"/>
        <v/>
      </c>
      <c r="O82" s="163" t="str">
        <f>IF(E82="","",IF($F82=111,0,SUMPRODUCT(H82:H$116,N82:N$116)/H82))</f>
        <v/>
      </c>
      <c r="P82" s="163" t="str">
        <f t="shared" si="13"/>
        <v/>
      </c>
      <c r="Q82" s="163" t="str">
        <f>IF(E82="","",MAX(ROUND(P82,0),Pricing!$U82))</f>
        <v/>
      </c>
      <c r="R82" s="163" t="str">
        <f t="shared" si="14"/>
        <v/>
      </c>
      <c r="S82" s="164" t="str">
        <f>IF(E82="","",IF($F82=111,0,ROUND(SUMPRODUCT(H82:H$116,R82:R$116)/H82,0)))</f>
        <v/>
      </c>
    </row>
    <row r="83" spans="4:19" x14ac:dyDescent="0.3">
      <c r="D83" s="178">
        <v>78</v>
      </c>
      <c r="E83" s="95" t="str">
        <f t="shared" si="10"/>
        <v/>
      </c>
      <c r="F83" s="183" t="str">
        <f t="shared" si="11"/>
        <v/>
      </c>
      <c r="G83" s="162" t="str">
        <f>IF(E83="","",IF(E83=$B$10,0,VLOOKUP(F83,Life!$A$3:$R$113,14,FALSE)))</f>
        <v/>
      </c>
      <c r="H83" s="163" t="str">
        <f>IF(E83="","",IF($F83=111,0,VLOOKUP(F83,Life!$A$3:$R$113,15,FALSE)))</f>
        <v/>
      </c>
      <c r="I83" s="163" t="str">
        <f>IF(E83&gt;=$B$10,"",IF(F83&lt;16,Pricing!K83,IFERROR(MAX(Pricing!I83,Pricing!J83,Pricing!V83),0)+Pricing!L83))</f>
        <v/>
      </c>
      <c r="J83" s="163" t="str">
        <f>IF(E83="","",Pricing!N83)</f>
        <v/>
      </c>
      <c r="K83" s="163" t="str">
        <f>IF(E83="","",Pricing!$O83)</f>
        <v/>
      </c>
      <c r="L83" s="163" t="str">
        <f>IF(E83="","",IF($F83=111,$J83,(SUMPRODUCT(G83:G$116,I83:I$116)+SUMPRODUCT(H83:H$116,J83:J$116))/H83))</f>
        <v/>
      </c>
      <c r="M83" s="163" t="str">
        <f>IF(E83="","",IF($F83=111,$K83,SUMPRODUCT(H83:H$116,K83:K$116)/H83))</f>
        <v/>
      </c>
      <c r="N83" s="163" t="str">
        <f t="shared" si="12"/>
        <v/>
      </c>
      <c r="O83" s="163" t="str">
        <f>IF(E83="","",IF($F83=111,0,SUMPRODUCT(H83:H$116,N83:N$116)/H83))</f>
        <v/>
      </c>
      <c r="P83" s="163" t="str">
        <f t="shared" si="13"/>
        <v/>
      </c>
      <c r="Q83" s="163" t="str">
        <f>IF(E83="","",MAX(ROUND(P83,0),Pricing!$U83))</f>
        <v/>
      </c>
      <c r="R83" s="163" t="str">
        <f t="shared" si="14"/>
        <v/>
      </c>
      <c r="S83" s="164" t="str">
        <f>IF(E83="","",IF($F83=111,0,ROUND(SUMPRODUCT(H83:H$116,R83:R$116)/H83,0)))</f>
        <v/>
      </c>
    </row>
    <row r="84" spans="4:19" x14ac:dyDescent="0.3">
      <c r="D84" s="178">
        <v>79</v>
      </c>
      <c r="E84" s="95" t="str">
        <f t="shared" si="10"/>
        <v/>
      </c>
      <c r="F84" s="183" t="str">
        <f t="shared" si="11"/>
        <v/>
      </c>
      <c r="G84" s="162" t="str">
        <f>IF(E84="","",IF(E84=$B$10,0,VLOOKUP(F84,Life!$A$3:$R$113,14,FALSE)))</f>
        <v/>
      </c>
      <c r="H84" s="163" t="str">
        <f>IF(E84="","",IF($F84=111,0,VLOOKUP(F84,Life!$A$3:$R$113,15,FALSE)))</f>
        <v/>
      </c>
      <c r="I84" s="163" t="str">
        <f>IF(E84&gt;=$B$10,"",IF(F84&lt;16,Pricing!K84,IFERROR(MAX(Pricing!I84,Pricing!J84,Pricing!V84),0)+Pricing!L84))</f>
        <v/>
      </c>
      <c r="J84" s="163" t="str">
        <f>IF(E84="","",Pricing!N84)</f>
        <v/>
      </c>
      <c r="K84" s="163" t="str">
        <f>IF(E84="","",Pricing!$O84)</f>
        <v/>
      </c>
      <c r="L84" s="163" t="str">
        <f>IF(E84="","",IF($F84=111,$J84,(SUMPRODUCT(G84:G$116,I84:I$116)+SUMPRODUCT(H84:H$116,J84:J$116))/H84))</f>
        <v/>
      </c>
      <c r="M84" s="163" t="str">
        <f>IF(E84="","",IF($F84=111,$K84,SUMPRODUCT(H84:H$116,K84:K$116)/H84))</f>
        <v/>
      </c>
      <c r="N84" s="163" t="str">
        <f t="shared" si="12"/>
        <v/>
      </c>
      <c r="O84" s="163" t="str">
        <f>IF(E84="","",IF($F84=111,0,SUMPRODUCT(H84:H$116,N84:N$116)/H84))</f>
        <v/>
      </c>
      <c r="P84" s="163" t="str">
        <f t="shared" si="13"/>
        <v/>
      </c>
      <c r="Q84" s="163" t="str">
        <f>IF(E84="","",MAX(ROUND(P84,0),Pricing!$U84))</f>
        <v/>
      </c>
      <c r="R84" s="163" t="str">
        <f t="shared" si="14"/>
        <v/>
      </c>
      <c r="S84" s="164" t="str">
        <f>IF(E84="","",IF($F84=111,0,ROUND(SUMPRODUCT(H84:H$116,R84:R$116)/H84,0)))</f>
        <v/>
      </c>
    </row>
    <row r="85" spans="4:19" x14ac:dyDescent="0.3">
      <c r="D85" s="178">
        <v>80</v>
      </c>
      <c r="E85" s="184" t="str">
        <f t="shared" si="10"/>
        <v/>
      </c>
      <c r="F85" s="185" t="str">
        <f t="shared" si="11"/>
        <v/>
      </c>
      <c r="G85" s="165" t="str">
        <f>IF(E85="","",IF(E85=$B$10,0,VLOOKUP(F85,Life!$A$3:$R$113,14,FALSE)))</f>
        <v/>
      </c>
      <c r="H85" s="166" t="str">
        <f>IF(E85="","",IF($F85=111,0,VLOOKUP(F85,Life!$A$3:$R$113,15,FALSE)))</f>
        <v/>
      </c>
      <c r="I85" s="163" t="str">
        <f>IF(E85&gt;=$B$10,"",IF(F85&lt;16,Pricing!K85,IFERROR(MAX(Pricing!I85,Pricing!J85,Pricing!V85),0)+Pricing!L85))</f>
        <v/>
      </c>
      <c r="J85" s="166" t="str">
        <f>IF(E85="","",Pricing!N85)</f>
        <v/>
      </c>
      <c r="K85" s="166" t="str">
        <f>IF(E85="","",Pricing!$O85)</f>
        <v/>
      </c>
      <c r="L85" s="166" t="str">
        <f>IF(E85="","",IF($F85=111,$J85,(SUMPRODUCT(G85:G$116,I85:I$116)+SUMPRODUCT(H85:H$116,J85:J$116))/H85))</f>
        <v/>
      </c>
      <c r="M85" s="166" t="str">
        <f>IF(E85="","",IF($F85=111,$K85,SUMPRODUCT(H85:H$116,K85:K$116)/H85))</f>
        <v/>
      </c>
      <c r="N85" s="166" t="str">
        <f t="shared" si="12"/>
        <v/>
      </c>
      <c r="O85" s="166" t="str">
        <f>IF(E85="","",IF($F85=111,0,SUMPRODUCT(H85:H$116,N85:N$116)/H85))</f>
        <v/>
      </c>
      <c r="P85" s="166" t="str">
        <f t="shared" si="13"/>
        <v/>
      </c>
      <c r="Q85" s="166" t="str">
        <f>IF(E85="","",MAX(ROUND(P85,0),Pricing!$U85))</f>
        <v/>
      </c>
      <c r="R85" s="166" t="str">
        <f t="shared" si="14"/>
        <v/>
      </c>
      <c r="S85" s="167" t="str">
        <f>IF(E85="","",IF($F85=111,0,ROUND(SUMPRODUCT(H85:H$116,R85:R$116)/H85,0)))</f>
        <v/>
      </c>
    </row>
    <row r="86" spans="4:19" x14ac:dyDescent="0.3">
      <c r="D86" s="178">
        <v>81</v>
      </c>
      <c r="E86" s="95" t="str">
        <f t="shared" si="10"/>
        <v/>
      </c>
      <c r="F86" s="183" t="str">
        <f t="shared" si="11"/>
        <v/>
      </c>
      <c r="G86" s="162" t="str">
        <f>IF(E86="","",IF(E86=$B$10,0,VLOOKUP(F86,Life!$A$3:$R$113,14,FALSE)))</f>
        <v/>
      </c>
      <c r="H86" s="163" t="str">
        <f>IF(E86="","",IF($F86=111,0,VLOOKUP(F86,Life!$A$3:$R$113,15,FALSE)))</f>
        <v/>
      </c>
      <c r="I86" s="163" t="str">
        <f>IF(E86&gt;=$B$10,"",IF(F86&lt;16,Pricing!K86,IFERROR(MAX(Pricing!I86,Pricing!J86,Pricing!V86),0)+Pricing!L86))</f>
        <v/>
      </c>
      <c r="J86" s="163" t="str">
        <f>IF(E86="","",Pricing!N86)</f>
        <v/>
      </c>
      <c r="K86" s="163" t="str">
        <f>IF(E86="","",Pricing!$O86)</f>
        <v/>
      </c>
      <c r="L86" s="163" t="str">
        <f>IF(E86="","",IF($F86=111,$J86,(SUMPRODUCT(G86:G$116,I86:I$116)+SUMPRODUCT(H86:H$116,J86:J$116))/H86))</f>
        <v/>
      </c>
      <c r="M86" s="163" t="str">
        <f>IF(E86="","",IF($F86=111,$K86,SUMPRODUCT(H86:H$116,K86:K$116)/H86))</f>
        <v/>
      </c>
      <c r="N86" s="163" t="str">
        <f t="shared" si="12"/>
        <v/>
      </c>
      <c r="O86" s="163" t="str">
        <f>IF(E86="","",IF($F86=111,0,SUMPRODUCT(H86:H$116,N86:N$116)/H86))</f>
        <v/>
      </c>
      <c r="P86" s="163" t="str">
        <f t="shared" si="13"/>
        <v/>
      </c>
      <c r="Q86" s="163" t="str">
        <f>IF(E86="","",MAX(ROUND(P86,0),Pricing!$U86))</f>
        <v/>
      </c>
      <c r="R86" s="163" t="str">
        <f t="shared" si="14"/>
        <v/>
      </c>
      <c r="S86" s="164" t="str">
        <f>IF(E86="","",IF($F86=111,0,ROUND(SUMPRODUCT(H86:H$116,R86:R$116)/H86,0)))</f>
        <v/>
      </c>
    </row>
    <row r="87" spans="4:19" x14ac:dyDescent="0.3">
      <c r="D87" s="178">
        <v>82</v>
      </c>
      <c r="E87" s="95" t="str">
        <f t="shared" si="10"/>
        <v/>
      </c>
      <c r="F87" s="183" t="str">
        <f t="shared" si="11"/>
        <v/>
      </c>
      <c r="G87" s="162" t="str">
        <f>IF(E87="","",IF(E87=$B$10,0,VLOOKUP(F87,Life!$A$3:$R$113,14,FALSE)))</f>
        <v/>
      </c>
      <c r="H87" s="163" t="str">
        <f>IF(E87="","",IF($F87=111,0,VLOOKUP(F87,Life!$A$3:$R$113,15,FALSE)))</f>
        <v/>
      </c>
      <c r="I87" s="163" t="str">
        <f>IF(E87&gt;=$B$10,"",IF(F87&lt;16,Pricing!K87,IFERROR(MAX(Pricing!I87,Pricing!J87,Pricing!V87),0)+Pricing!L87))</f>
        <v/>
      </c>
      <c r="J87" s="163" t="str">
        <f>IF(E87="","",Pricing!N87)</f>
        <v/>
      </c>
      <c r="K87" s="163" t="str">
        <f>IF(E87="","",Pricing!$O87)</f>
        <v/>
      </c>
      <c r="L87" s="163" t="str">
        <f>IF(E87="","",IF($F87=111,$J87,(SUMPRODUCT(G87:G$116,I87:I$116)+SUMPRODUCT(H87:H$116,J87:J$116))/H87))</f>
        <v/>
      </c>
      <c r="M87" s="163" t="str">
        <f>IF(E87="","",IF($F87=111,$K87,SUMPRODUCT(H87:H$116,K87:K$116)/H87))</f>
        <v/>
      </c>
      <c r="N87" s="163" t="str">
        <f t="shared" si="12"/>
        <v/>
      </c>
      <c r="O87" s="163" t="str">
        <f>IF(E87="","",IF($F87=111,0,SUMPRODUCT(H87:H$116,N87:N$116)/H87))</f>
        <v/>
      </c>
      <c r="P87" s="163" t="str">
        <f t="shared" si="13"/>
        <v/>
      </c>
      <c r="Q87" s="163" t="str">
        <f>IF(E87="","",MAX(ROUND(P87,0),Pricing!$U87))</f>
        <v/>
      </c>
      <c r="R87" s="163" t="str">
        <f t="shared" si="14"/>
        <v/>
      </c>
      <c r="S87" s="164" t="str">
        <f>IF(E87="","",IF($F87=111,0,ROUND(SUMPRODUCT(H87:H$116,R87:R$116)/H87,0)))</f>
        <v/>
      </c>
    </row>
    <row r="88" spans="4:19" x14ac:dyDescent="0.3">
      <c r="D88" s="178">
        <v>83</v>
      </c>
      <c r="E88" s="95" t="str">
        <f t="shared" si="10"/>
        <v/>
      </c>
      <c r="F88" s="183" t="str">
        <f t="shared" si="11"/>
        <v/>
      </c>
      <c r="G88" s="162" t="str">
        <f>IF(E88="","",IF(E88=$B$10,0,VLOOKUP(F88,Life!$A$3:$R$113,14,FALSE)))</f>
        <v/>
      </c>
      <c r="H88" s="163" t="str">
        <f>IF(E88="","",IF($F88=111,0,VLOOKUP(F88,Life!$A$3:$R$113,15,FALSE)))</f>
        <v/>
      </c>
      <c r="I88" s="163" t="str">
        <f>IF(E88&gt;=$B$10,"",IF(F88&lt;16,Pricing!K88,IFERROR(MAX(Pricing!I88,Pricing!J88,Pricing!V88),0)+Pricing!L88))</f>
        <v/>
      </c>
      <c r="J88" s="163" t="str">
        <f>IF(E88="","",Pricing!N88)</f>
        <v/>
      </c>
      <c r="K88" s="163" t="str">
        <f>IF(E88="","",Pricing!$O88)</f>
        <v/>
      </c>
      <c r="L88" s="163" t="str">
        <f>IF(E88="","",IF($F88=111,$J88,(SUMPRODUCT(G88:G$116,I88:I$116)+SUMPRODUCT(H88:H$116,J88:J$116))/H88))</f>
        <v/>
      </c>
      <c r="M88" s="163" t="str">
        <f>IF(E88="","",IF($F88=111,$K88,SUMPRODUCT(H88:H$116,K88:K$116)/H88))</f>
        <v/>
      </c>
      <c r="N88" s="163" t="str">
        <f t="shared" si="12"/>
        <v/>
      </c>
      <c r="O88" s="163" t="str">
        <f>IF(E88="","",IF($F88=111,0,SUMPRODUCT(H88:H$116,N88:N$116)/H88))</f>
        <v/>
      </c>
      <c r="P88" s="163" t="str">
        <f t="shared" si="13"/>
        <v/>
      </c>
      <c r="Q88" s="163" t="str">
        <f>IF(E88="","",MAX(ROUND(P88,0),Pricing!$U88))</f>
        <v/>
      </c>
      <c r="R88" s="163" t="str">
        <f t="shared" si="14"/>
        <v/>
      </c>
      <c r="S88" s="164" t="str">
        <f>IF(E88="","",IF($F88=111,0,ROUND(SUMPRODUCT(H88:H$116,R88:R$116)/H88,0)))</f>
        <v/>
      </c>
    </row>
    <row r="89" spans="4:19" x14ac:dyDescent="0.3">
      <c r="D89" s="178">
        <v>84</v>
      </c>
      <c r="E89" s="95" t="str">
        <f t="shared" si="10"/>
        <v/>
      </c>
      <c r="F89" s="183" t="str">
        <f t="shared" si="11"/>
        <v/>
      </c>
      <c r="G89" s="162" t="str">
        <f>IF(E89="","",IF(E89=$B$10,0,VLOOKUP(F89,Life!$A$3:$R$113,14,FALSE)))</f>
        <v/>
      </c>
      <c r="H89" s="163" t="str">
        <f>IF(E89="","",IF($F89=111,0,VLOOKUP(F89,Life!$A$3:$R$113,15,FALSE)))</f>
        <v/>
      </c>
      <c r="I89" s="163" t="str">
        <f>IF(E89&gt;=$B$10,"",IF(F89&lt;16,Pricing!K89,IFERROR(MAX(Pricing!I89,Pricing!J89,Pricing!V89),0)+Pricing!L89))</f>
        <v/>
      </c>
      <c r="J89" s="163" t="str">
        <f>IF(E89="","",Pricing!N89)</f>
        <v/>
      </c>
      <c r="K89" s="163" t="str">
        <f>IF(E89="","",Pricing!$O89)</f>
        <v/>
      </c>
      <c r="L89" s="163" t="str">
        <f>IF(E89="","",IF($F89=111,$J89,(SUMPRODUCT(G89:G$116,I89:I$116)+SUMPRODUCT(H89:H$116,J89:J$116))/H89))</f>
        <v/>
      </c>
      <c r="M89" s="163" t="str">
        <f>IF(E89="","",IF($F89=111,$K89,SUMPRODUCT(H89:H$116,K89:K$116)/H89))</f>
        <v/>
      </c>
      <c r="N89" s="163" t="str">
        <f t="shared" si="12"/>
        <v/>
      </c>
      <c r="O89" s="163" t="str">
        <f>IF(E89="","",IF($F89=111,0,SUMPRODUCT(H89:H$116,N89:N$116)/H89))</f>
        <v/>
      </c>
      <c r="P89" s="163" t="str">
        <f t="shared" si="13"/>
        <v/>
      </c>
      <c r="Q89" s="163" t="str">
        <f>IF(E89="","",MAX(ROUND(P89,0),Pricing!$U89))</f>
        <v/>
      </c>
      <c r="R89" s="163" t="str">
        <f t="shared" si="14"/>
        <v/>
      </c>
      <c r="S89" s="164" t="str">
        <f>IF(E89="","",IF($F89=111,0,ROUND(SUMPRODUCT(H89:H$116,R89:R$116)/H89,0)))</f>
        <v/>
      </c>
    </row>
    <row r="90" spans="4:19" x14ac:dyDescent="0.3">
      <c r="D90" s="178">
        <v>85</v>
      </c>
      <c r="E90" s="184" t="str">
        <f t="shared" si="10"/>
        <v/>
      </c>
      <c r="F90" s="185" t="str">
        <f t="shared" si="11"/>
        <v/>
      </c>
      <c r="G90" s="165" t="str">
        <f>IF(E90="","",IF(E90=$B$10,0,VLOOKUP(F90,Life!$A$3:$R$113,14,FALSE)))</f>
        <v/>
      </c>
      <c r="H90" s="166" t="str">
        <f>IF(E90="","",IF($F90=111,0,VLOOKUP(F90,Life!$A$3:$R$113,15,FALSE)))</f>
        <v/>
      </c>
      <c r="I90" s="163" t="str">
        <f>IF(E90&gt;=$B$10,"",IF(F90&lt;16,Pricing!K90,IFERROR(MAX(Pricing!I90,Pricing!J90,Pricing!V90),0)+Pricing!L90))</f>
        <v/>
      </c>
      <c r="J90" s="166" t="str">
        <f>IF(E90="","",Pricing!N90)</f>
        <v/>
      </c>
      <c r="K90" s="166" t="str">
        <f>IF(E90="","",Pricing!$O90)</f>
        <v/>
      </c>
      <c r="L90" s="166" t="str">
        <f>IF(E90="","",IF($F90=111,$J90,(SUMPRODUCT(G90:G$116,I90:I$116)+SUMPRODUCT(H90:H$116,J90:J$116))/H90))</f>
        <v/>
      </c>
      <c r="M90" s="166" t="str">
        <f>IF(E90="","",IF($F90=111,$K90,SUMPRODUCT(H90:H$116,K90:K$116)/H90))</f>
        <v/>
      </c>
      <c r="N90" s="166" t="str">
        <f t="shared" si="12"/>
        <v/>
      </c>
      <c r="O90" s="166" t="str">
        <f>IF(E90="","",IF($F90=111,0,SUMPRODUCT(H90:H$116,N90:N$116)/H90))</f>
        <v/>
      </c>
      <c r="P90" s="166" t="str">
        <f t="shared" si="13"/>
        <v/>
      </c>
      <c r="Q90" s="166" t="str">
        <f>IF(E90="","",MAX(ROUND(P90,0),Pricing!$U90))</f>
        <v/>
      </c>
      <c r="R90" s="166" t="str">
        <f t="shared" si="14"/>
        <v/>
      </c>
      <c r="S90" s="167" t="str">
        <f>IF(E90="","",IF($F90=111,0,ROUND(SUMPRODUCT(H90:H$116,R90:R$116)/H90,0)))</f>
        <v/>
      </c>
    </row>
    <row r="91" spans="4:19" x14ac:dyDescent="0.3">
      <c r="D91" s="178">
        <v>86</v>
      </c>
      <c r="E91" s="95" t="str">
        <f t="shared" si="10"/>
        <v/>
      </c>
      <c r="F91" s="183" t="str">
        <f t="shared" si="11"/>
        <v/>
      </c>
      <c r="G91" s="162" t="str">
        <f>IF(E91="","",IF(E91=$B$10,0,VLOOKUP(F91,Life!$A$3:$R$113,14,FALSE)))</f>
        <v/>
      </c>
      <c r="H91" s="163" t="str">
        <f>IF(E91="","",IF($F91=111,0,VLOOKUP(F91,Life!$A$3:$R$113,15,FALSE)))</f>
        <v/>
      </c>
      <c r="I91" s="163" t="str">
        <f>IF(E91&gt;=$B$10,"",IF(F91&lt;16,Pricing!K91,IFERROR(MAX(Pricing!I91,Pricing!J91,Pricing!V91),0)+Pricing!L91))</f>
        <v/>
      </c>
      <c r="J91" s="163" t="str">
        <f>IF(E91="","",Pricing!N91)</f>
        <v/>
      </c>
      <c r="K91" s="163" t="str">
        <f>IF(E91="","",Pricing!$O91)</f>
        <v/>
      </c>
      <c r="L91" s="163" t="str">
        <f>IF(E91="","",IF($F91=111,$J91,(SUMPRODUCT(G91:G$116,I91:I$116)+SUMPRODUCT(H91:H$116,J91:J$116))/H91))</f>
        <v/>
      </c>
      <c r="M91" s="163" t="str">
        <f>IF(E91="","",IF($F91=111,$K91,SUMPRODUCT(H91:H$116,K91:K$116)/H91))</f>
        <v/>
      </c>
      <c r="N91" s="163" t="str">
        <f t="shared" si="12"/>
        <v/>
      </c>
      <c r="O91" s="163" t="str">
        <f>IF(E91="","",IF($F91=111,0,SUMPRODUCT(H91:H$116,N91:N$116)/H91))</f>
        <v/>
      </c>
      <c r="P91" s="163" t="str">
        <f t="shared" si="13"/>
        <v/>
      </c>
      <c r="Q91" s="163" t="str">
        <f>IF(E91="","",MAX(ROUND(P91,0),Pricing!$U91))</f>
        <v/>
      </c>
      <c r="R91" s="163" t="str">
        <f t="shared" si="14"/>
        <v/>
      </c>
      <c r="S91" s="164" t="str">
        <f>IF(E91="","",IF($F91=111,0,ROUND(SUMPRODUCT(H91:H$116,R91:R$116)/H91,0)))</f>
        <v/>
      </c>
    </row>
    <row r="92" spans="4:19" x14ac:dyDescent="0.3">
      <c r="D92" s="178">
        <v>87</v>
      </c>
      <c r="E92" s="95" t="str">
        <f t="shared" si="10"/>
        <v/>
      </c>
      <c r="F92" s="183" t="str">
        <f t="shared" si="11"/>
        <v/>
      </c>
      <c r="G92" s="162" t="str">
        <f>IF(E92="","",IF(E92=$B$10,0,VLOOKUP(F92,Life!$A$3:$R$113,14,FALSE)))</f>
        <v/>
      </c>
      <c r="H92" s="163" t="str">
        <f>IF(E92="","",IF($F92=111,0,VLOOKUP(F92,Life!$A$3:$R$113,15,FALSE)))</f>
        <v/>
      </c>
      <c r="I92" s="163" t="str">
        <f>IF(E92&gt;=$B$10,"",IF(F92&lt;16,Pricing!K92,IFERROR(MAX(Pricing!I92,Pricing!J92,Pricing!V92),0)+Pricing!L92))</f>
        <v/>
      </c>
      <c r="J92" s="163" t="str">
        <f>IF(E92="","",Pricing!N92)</f>
        <v/>
      </c>
      <c r="K92" s="163" t="str">
        <f>IF(E92="","",Pricing!$O92)</f>
        <v/>
      </c>
      <c r="L92" s="163" t="str">
        <f>IF(E92="","",IF($F92=111,$J92,(SUMPRODUCT(G92:G$116,I92:I$116)+SUMPRODUCT(H92:H$116,J92:J$116))/H92))</f>
        <v/>
      </c>
      <c r="M92" s="163" t="str">
        <f>IF(E92="","",IF($F92=111,$K92,SUMPRODUCT(H92:H$116,K92:K$116)/H92))</f>
        <v/>
      </c>
      <c r="N92" s="163" t="str">
        <f t="shared" si="12"/>
        <v/>
      </c>
      <c r="O92" s="163" t="str">
        <f>IF(E92="","",IF($F92=111,0,SUMPRODUCT(H92:H$116,N92:N$116)/H92))</f>
        <v/>
      </c>
      <c r="P92" s="163" t="str">
        <f t="shared" si="13"/>
        <v/>
      </c>
      <c r="Q92" s="163" t="str">
        <f>IF(E92="","",MAX(ROUND(P92,0),Pricing!$U92))</f>
        <v/>
      </c>
      <c r="R92" s="163" t="str">
        <f t="shared" si="14"/>
        <v/>
      </c>
      <c r="S92" s="164" t="str">
        <f>IF(E92="","",IF($F92=111,0,ROUND(SUMPRODUCT(H92:H$116,R92:R$116)/H92,0)))</f>
        <v/>
      </c>
    </row>
    <row r="93" spans="4:19" x14ac:dyDescent="0.3">
      <c r="D93" s="178">
        <v>88</v>
      </c>
      <c r="E93" s="95" t="str">
        <f t="shared" si="10"/>
        <v/>
      </c>
      <c r="F93" s="183" t="str">
        <f t="shared" si="11"/>
        <v/>
      </c>
      <c r="G93" s="162" t="str">
        <f>IF(E93="","",IF(E93=$B$10,0,VLOOKUP(F93,Life!$A$3:$R$113,14,FALSE)))</f>
        <v/>
      </c>
      <c r="H93" s="163" t="str">
        <f>IF(E93="","",IF($F93=111,0,VLOOKUP(F93,Life!$A$3:$R$113,15,FALSE)))</f>
        <v/>
      </c>
      <c r="I93" s="163" t="str">
        <f>IF(E93&gt;=$B$10,"",IF(F93&lt;16,Pricing!K93,IFERROR(MAX(Pricing!I93,Pricing!J93,Pricing!V93),0)+Pricing!L93))</f>
        <v/>
      </c>
      <c r="J93" s="163" t="str">
        <f>IF(E93="","",Pricing!N93)</f>
        <v/>
      </c>
      <c r="K93" s="163" t="str">
        <f>IF(E93="","",Pricing!$O93)</f>
        <v/>
      </c>
      <c r="L93" s="163" t="str">
        <f>IF(E93="","",IF($F93=111,$J93,(SUMPRODUCT(G93:G$116,I93:I$116)+SUMPRODUCT(H93:H$116,J93:J$116))/H93))</f>
        <v/>
      </c>
      <c r="M93" s="163" t="str">
        <f>IF(E93="","",IF($F93=111,$K93,SUMPRODUCT(H93:H$116,K93:K$116)/H93))</f>
        <v/>
      </c>
      <c r="N93" s="163" t="str">
        <f t="shared" si="12"/>
        <v/>
      </c>
      <c r="O93" s="163" t="str">
        <f>IF(E93="","",IF($F93=111,0,SUMPRODUCT(H93:H$116,N93:N$116)/H93))</f>
        <v/>
      </c>
      <c r="P93" s="163" t="str">
        <f t="shared" si="13"/>
        <v/>
      </c>
      <c r="Q93" s="163" t="str">
        <f>IF(E93="","",MAX(ROUND(P93,0),Pricing!$U93))</f>
        <v/>
      </c>
      <c r="R93" s="163" t="str">
        <f t="shared" si="14"/>
        <v/>
      </c>
      <c r="S93" s="164" t="str">
        <f>IF(E93="","",IF($F93=111,0,ROUND(SUMPRODUCT(H93:H$116,R93:R$116)/H93,0)))</f>
        <v/>
      </c>
    </row>
    <row r="94" spans="4:19" x14ac:dyDescent="0.3">
      <c r="D94" s="178">
        <v>89</v>
      </c>
      <c r="E94" s="95" t="str">
        <f t="shared" si="10"/>
        <v/>
      </c>
      <c r="F94" s="183" t="str">
        <f t="shared" si="11"/>
        <v/>
      </c>
      <c r="G94" s="162" t="str">
        <f>IF(E94="","",IF(E94=$B$10,0,VLOOKUP(F94,Life!$A$3:$R$113,14,FALSE)))</f>
        <v/>
      </c>
      <c r="H94" s="163" t="str">
        <f>IF(E94="","",IF($F94=111,0,VLOOKUP(F94,Life!$A$3:$R$113,15,FALSE)))</f>
        <v/>
      </c>
      <c r="I94" s="163" t="str">
        <f>IF(E94&gt;=$B$10,"",IF(F94&lt;16,Pricing!K94,IFERROR(MAX(Pricing!I94,Pricing!J94,Pricing!V94),0)+Pricing!L94))</f>
        <v/>
      </c>
      <c r="J94" s="163" t="str">
        <f>IF(E94="","",Pricing!N94)</f>
        <v/>
      </c>
      <c r="K94" s="163" t="str">
        <f>IF(E94="","",Pricing!$O94)</f>
        <v/>
      </c>
      <c r="L94" s="163" t="str">
        <f>IF(E94="","",IF($F94=111,$J94,(SUMPRODUCT(G94:G$116,I94:I$116)+SUMPRODUCT(H94:H$116,J94:J$116))/H94))</f>
        <v/>
      </c>
      <c r="M94" s="163" t="str">
        <f>IF(E94="","",IF($F94=111,$K94,SUMPRODUCT(H94:H$116,K94:K$116)/H94))</f>
        <v/>
      </c>
      <c r="N94" s="163" t="str">
        <f t="shared" si="12"/>
        <v/>
      </c>
      <c r="O94" s="163" t="str">
        <f>IF(E94="","",IF($F94=111,0,SUMPRODUCT(H94:H$116,N94:N$116)/H94))</f>
        <v/>
      </c>
      <c r="P94" s="163" t="str">
        <f t="shared" si="13"/>
        <v/>
      </c>
      <c r="Q94" s="163" t="str">
        <f>IF(E94="","",MAX(ROUND(P94,0),Pricing!$U94))</f>
        <v/>
      </c>
      <c r="R94" s="163" t="str">
        <f t="shared" si="14"/>
        <v/>
      </c>
      <c r="S94" s="164" t="str">
        <f>IF(E94="","",IF($F94=111,0,ROUND(SUMPRODUCT(H94:H$116,R94:R$116)/H94,0)))</f>
        <v/>
      </c>
    </row>
    <row r="95" spans="4:19" x14ac:dyDescent="0.3">
      <c r="D95" s="178">
        <v>90</v>
      </c>
      <c r="E95" s="184" t="str">
        <f t="shared" si="10"/>
        <v/>
      </c>
      <c r="F95" s="185" t="str">
        <f t="shared" si="11"/>
        <v/>
      </c>
      <c r="G95" s="165" t="str">
        <f>IF(E95="","",IF(E95=$B$10,0,VLOOKUP(F95,Life!$A$3:$R$113,14,FALSE)))</f>
        <v/>
      </c>
      <c r="H95" s="166" t="str">
        <f>IF(E95="","",IF($F95=111,0,VLOOKUP(F95,Life!$A$3:$R$113,15,FALSE)))</f>
        <v/>
      </c>
      <c r="I95" s="163" t="str">
        <f>IF(E95&gt;=$B$10,"",IF(F95&lt;16,Pricing!K95,IFERROR(MAX(Pricing!I95,Pricing!J95,Pricing!V95),0)+Pricing!L95))</f>
        <v/>
      </c>
      <c r="J95" s="166" t="str">
        <f>IF(E95="","",Pricing!N95)</f>
        <v/>
      </c>
      <c r="K95" s="166" t="str">
        <f>IF(E95="","",Pricing!$O95)</f>
        <v/>
      </c>
      <c r="L95" s="166" t="str">
        <f>IF(E95="","",IF($F95=111,$J95,(SUMPRODUCT(G95:G$116,I95:I$116)+SUMPRODUCT(H95:H$116,J95:J$116))/H95))</f>
        <v/>
      </c>
      <c r="M95" s="166" t="str">
        <f>IF(E95="","",IF($F95=111,$K95,SUMPRODUCT(H95:H$116,K95:K$116)/H95))</f>
        <v/>
      </c>
      <c r="N95" s="166" t="str">
        <f t="shared" si="12"/>
        <v/>
      </c>
      <c r="O95" s="166" t="str">
        <f>IF(E95="","",IF($F95=111,0,SUMPRODUCT(H95:H$116,N95:N$116)/H95))</f>
        <v/>
      </c>
      <c r="P95" s="166" t="str">
        <f t="shared" si="13"/>
        <v/>
      </c>
      <c r="Q95" s="166" t="str">
        <f>IF(E95="","",MAX(ROUND(P95,0),Pricing!$U95))</f>
        <v/>
      </c>
      <c r="R95" s="166" t="str">
        <f t="shared" si="14"/>
        <v/>
      </c>
      <c r="S95" s="167" t="str">
        <f>IF(E95="","",IF($F95=111,0,ROUND(SUMPRODUCT(H95:H$116,R95:R$116)/H95,0)))</f>
        <v/>
      </c>
    </row>
    <row r="96" spans="4:19" x14ac:dyDescent="0.3">
      <c r="D96" s="178">
        <v>91</v>
      </c>
      <c r="E96" s="95" t="str">
        <f t="shared" si="10"/>
        <v/>
      </c>
      <c r="F96" s="183" t="str">
        <f t="shared" si="11"/>
        <v/>
      </c>
      <c r="G96" s="162" t="str">
        <f>IF(E96="","",IF(E96=$B$10,0,VLOOKUP(F96,Life!$A$3:$R$113,14,FALSE)))</f>
        <v/>
      </c>
      <c r="H96" s="163" t="str">
        <f>IF(E96="","",IF($F96=111,0,VLOOKUP(F96,Life!$A$3:$R$113,15,FALSE)))</f>
        <v/>
      </c>
      <c r="I96" s="163" t="str">
        <f>IF(E96&gt;=$B$10,"",IF(F96&lt;16,Pricing!K96,IFERROR(MAX(Pricing!I96,Pricing!J96,Pricing!V96),0)+Pricing!L96))</f>
        <v/>
      </c>
      <c r="J96" s="163" t="str">
        <f>IF(E96="","",Pricing!N96)</f>
        <v/>
      </c>
      <c r="K96" s="163" t="str">
        <f>IF(E96="","",Pricing!$O96)</f>
        <v/>
      </c>
      <c r="L96" s="163" t="str">
        <f>IF(E96="","",IF($F96=111,$J96,(SUMPRODUCT(G96:G$116,I96:I$116)+SUMPRODUCT(H96:H$116,J96:J$116))/H96))</f>
        <v/>
      </c>
      <c r="M96" s="163" t="str">
        <f>IF(E96="","",IF($F96=111,$K96,SUMPRODUCT(H96:H$116,K96:K$116)/H96))</f>
        <v/>
      </c>
      <c r="N96" s="163" t="str">
        <f t="shared" si="12"/>
        <v/>
      </c>
      <c r="O96" s="163" t="str">
        <f>IF(E96="","",IF($F96=111,0,SUMPRODUCT(H96:H$116,N96:N$116)/H96))</f>
        <v/>
      </c>
      <c r="P96" s="163" t="str">
        <f t="shared" si="13"/>
        <v/>
      </c>
      <c r="Q96" s="163" t="str">
        <f>IF(E96="","",MAX(ROUND(P96,0),Pricing!$U96))</f>
        <v/>
      </c>
      <c r="R96" s="163" t="str">
        <f t="shared" si="14"/>
        <v/>
      </c>
      <c r="S96" s="164" t="str">
        <f>IF(E96="","",IF($F96=111,0,ROUND(SUMPRODUCT(H96:H$116,R96:R$116)/H96,0)))</f>
        <v/>
      </c>
    </row>
    <row r="97" spans="4:19" x14ac:dyDescent="0.3">
      <c r="D97" s="178">
        <v>92</v>
      </c>
      <c r="E97" s="95" t="str">
        <f t="shared" si="10"/>
        <v/>
      </c>
      <c r="F97" s="183" t="str">
        <f t="shared" si="11"/>
        <v/>
      </c>
      <c r="G97" s="162" t="str">
        <f>IF(E97="","",IF(E97=$B$10,0,VLOOKUP(F97,Life!$A$3:$R$113,14,FALSE)))</f>
        <v/>
      </c>
      <c r="H97" s="163" t="str">
        <f>IF(E97="","",IF($F97=111,0,VLOOKUP(F97,Life!$A$3:$R$113,15,FALSE)))</f>
        <v/>
      </c>
      <c r="I97" s="163" t="str">
        <f>IF(E97&gt;=$B$10,"",IF(F97&lt;16,Pricing!K97,IFERROR(MAX(Pricing!I97,Pricing!J97,Pricing!V97),0)+Pricing!L97))</f>
        <v/>
      </c>
      <c r="J97" s="163" t="str">
        <f>IF(E97="","",Pricing!N97)</f>
        <v/>
      </c>
      <c r="K97" s="163" t="str">
        <f>IF(E97="","",Pricing!$O97)</f>
        <v/>
      </c>
      <c r="L97" s="163" t="str">
        <f>IF(E97="","",IF($F97=111,$J97,(SUMPRODUCT(G97:G$116,I97:I$116)+SUMPRODUCT(H97:H$116,J97:J$116))/H97))</f>
        <v/>
      </c>
      <c r="M97" s="163" t="str">
        <f>IF(E97="","",IF($F97=111,$K97,SUMPRODUCT(H97:H$116,K97:K$116)/H97))</f>
        <v/>
      </c>
      <c r="N97" s="163" t="str">
        <f t="shared" si="12"/>
        <v/>
      </c>
      <c r="O97" s="163" t="str">
        <f>IF(E97="","",IF($F97=111,0,SUMPRODUCT(H97:H$116,N97:N$116)/H97))</f>
        <v/>
      </c>
      <c r="P97" s="163" t="str">
        <f t="shared" si="13"/>
        <v/>
      </c>
      <c r="Q97" s="163" t="str">
        <f>IF(E97="","",MAX(ROUND(P97,0),Pricing!$U97))</f>
        <v/>
      </c>
      <c r="R97" s="163" t="str">
        <f t="shared" si="14"/>
        <v/>
      </c>
      <c r="S97" s="164" t="str">
        <f>IF(E97="","",IF($F97=111,0,ROUND(SUMPRODUCT(H97:H$116,R97:R$116)/H97,0)))</f>
        <v/>
      </c>
    </row>
    <row r="98" spans="4:19" x14ac:dyDescent="0.3">
      <c r="D98" s="178">
        <v>93</v>
      </c>
      <c r="E98" s="95" t="str">
        <f t="shared" si="10"/>
        <v/>
      </c>
      <c r="F98" s="183" t="str">
        <f t="shared" si="11"/>
        <v/>
      </c>
      <c r="G98" s="162" t="str">
        <f>IF(E98="","",IF(E98=$B$10,0,VLOOKUP(F98,Life!$A$3:$R$113,14,FALSE)))</f>
        <v/>
      </c>
      <c r="H98" s="163" t="str">
        <f>IF(E98="","",IF($F98=111,0,VLOOKUP(F98,Life!$A$3:$R$113,15,FALSE)))</f>
        <v/>
      </c>
      <c r="I98" s="163" t="str">
        <f>IF(E98&gt;=$B$10,"",IF(F98&lt;16,Pricing!K98,IFERROR(MAX(Pricing!I98,Pricing!J98,Pricing!V98),0)+Pricing!L98))</f>
        <v/>
      </c>
      <c r="J98" s="163" t="str">
        <f>IF(E98="","",Pricing!N98)</f>
        <v/>
      </c>
      <c r="K98" s="163" t="str">
        <f>IF(E98="","",Pricing!$O98)</f>
        <v/>
      </c>
      <c r="L98" s="163" t="str">
        <f>IF(E98="","",IF($F98=111,$J98,(SUMPRODUCT(G98:G$116,I98:I$116)+SUMPRODUCT(H98:H$116,J98:J$116))/H98))</f>
        <v/>
      </c>
      <c r="M98" s="163" t="str">
        <f>IF(E98="","",IF($F98=111,$K98,SUMPRODUCT(H98:H$116,K98:K$116)/H98))</f>
        <v/>
      </c>
      <c r="N98" s="163" t="str">
        <f t="shared" si="12"/>
        <v/>
      </c>
      <c r="O98" s="163" t="str">
        <f>IF(E98="","",IF($F98=111,0,SUMPRODUCT(H98:H$116,N98:N$116)/H98))</f>
        <v/>
      </c>
      <c r="P98" s="163" t="str">
        <f t="shared" si="13"/>
        <v/>
      </c>
      <c r="Q98" s="163" t="str">
        <f>IF(E98="","",MAX(ROUND(P98,0),Pricing!$U98))</f>
        <v/>
      </c>
      <c r="R98" s="163" t="str">
        <f t="shared" si="14"/>
        <v/>
      </c>
      <c r="S98" s="164" t="str">
        <f>IF(E98="","",IF($F98=111,0,ROUND(SUMPRODUCT(H98:H$116,R98:R$116)/H98,0)))</f>
        <v/>
      </c>
    </row>
    <row r="99" spans="4:19" x14ac:dyDescent="0.3">
      <c r="D99" s="178">
        <v>94</v>
      </c>
      <c r="E99" s="95" t="str">
        <f t="shared" si="10"/>
        <v/>
      </c>
      <c r="F99" s="183" t="str">
        <f t="shared" si="11"/>
        <v/>
      </c>
      <c r="G99" s="162" t="str">
        <f>IF(E99="","",IF(E99=$B$10,0,VLOOKUP(F99,Life!$A$3:$R$113,14,FALSE)))</f>
        <v/>
      </c>
      <c r="H99" s="163" t="str">
        <f>IF(E99="","",IF($F99=111,0,VLOOKUP(F99,Life!$A$3:$R$113,15,FALSE)))</f>
        <v/>
      </c>
      <c r="I99" s="163" t="str">
        <f>IF(E99&gt;=$B$10,"",IF(F99&lt;16,Pricing!K99,IFERROR(MAX(Pricing!I99,Pricing!J99,Pricing!V99),0)+Pricing!L99))</f>
        <v/>
      </c>
      <c r="J99" s="163" t="str">
        <f>IF(E99="","",Pricing!N99)</f>
        <v/>
      </c>
      <c r="K99" s="163" t="str">
        <f>IF(E99="","",Pricing!$O99)</f>
        <v/>
      </c>
      <c r="L99" s="163" t="str">
        <f>IF(E99="","",IF($F99=111,$J99,(SUMPRODUCT(G99:G$116,I99:I$116)+SUMPRODUCT(H99:H$116,J99:J$116))/H99))</f>
        <v/>
      </c>
      <c r="M99" s="163" t="str">
        <f>IF(E99="","",IF($F99=111,$K99,SUMPRODUCT(H99:H$116,K99:K$116)/H99))</f>
        <v/>
      </c>
      <c r="N99" s="163" t="str">
        <f t="shared" si="12"/>
        <v/>
      </c>
      <c r="O99" s="163" t="str">
        <f>IF(E99="","",IF($F99=111,0,SUMPRODUCT(H99:H$116,N99:N$116)/H99))</f>
        <v/>
      </c>
      <c r="P99" s="163" t="str">
        <f t="shared" si="13"/>
        <v/>
      </c>
      <c r="Q99" s="163" t="str">
        <f>IF(E99="","",MAX(ROUND(P99,0),Pricing!$U99))</f>
        <v/>
      </c>
      <c r="R99" s="163" t="str">
        <f t="shared" si="14"/>
        <v/>
      </c>
      <c r="S99" s="164" t="str">
        <f>IF(E99="","",IF($F99=111,0,ROUND(SUMPRODUCT(H99:H$116,R99:R$116)/H99,0)))</f>
        <v/>
      </c>
    </row>
    <row r="100" spans="4:19" x14ac:dyDescent="0.3">
      <c r="D100" s="178">
        <v>95</v>
      </c>
      <c r="E100" s="184" t="str">
        <f t="shared" si="10"/>
        <v/>
      </c>
      <c r="F100" s="185" t="str">
        <f t="shared" si="11"/>
        <v/>
      </c>
      <c r="G100" s="165" t="str">
        <f>IF(E100="","",IF(E100=$B$10,0,VLOOKUP(F100,Life!$A$3:$R$113,14,FALSE)))</f>
        <v/>
      </c>
      <c r="H100" s="166" t="str">
        <f>IF(E100="","",IF($F100=111,0,VLOOKUP(F100,Life!$A$3:$R$113,15,FALSE)))</f>
        <v/>
      </c>
      <c r="I100" s="163" t="str">
        <f>IF(E100&gt;=$B$10,"",IF(F100&lt;16,Pricing!K100,IFERROR(MAX(Pricing!I100,Pricing!J100,Pricing!V100),0)+Pricing!L100))</f>
        <v/>
      </c>
      <c r="J100" s="166" t="str">
        <f>IF(E100="","",Pricing!N100)</f>
        <v/>
      </c>
      <c r="K100" s="166" t="str">
        <f>IF(E100="","",Pricing!$O100)</f>
        <v/>
      </c>
      <c r="L100" s="166" t="str">
        <f>IF(E100="","",IF($F100=111,$J100,(SUMPRODUCT(G100:G$116,I100:I$116)+SUMPRODUCT(H100:H$116,J100:J$116))/H100))</f>
        <v/>
      </c>
      <c r="M100" s="166" t="str">
        <f>IF(E100="","",IF($F100=111,$K100,SUMPRODUCT(H100:H$116,K100:K$116)/H100))</f>
        <v/>
      </c>
      <c r="N100" s="166" t="str">
        <f t="shared" si="12"/>
        <v/>
      </c>
      <c r="O100" s="166" t="str">
        <f>IF(E100="","",IF($F100=111,0,SUMPRODUCT(H100:H$116,N100:N$116)/H100))</f>
        <v/>
      </c>
      <c r="P100" s="166" t="str">
        <f t="shared" si="13"/>
        <v/>
      </c>
      <c r="Q100" s="166" t="str">
        <f>IF(E100="","",MAX(ROUND(P100,0),Pricing!$U100))</f>
        <v/>
      </c>
      <c r="R100" s="166" t="str">
        <f t="shared" si="14"/>
        <v/>
      </c>
      <c r="S100" s="167" t="str">
        <f>IF(E100="","",IF($F100=111,0,ROUND(SUMPRODUCT(H100:H$116,R100:R$116)/H100,0)))</f>
        <v/>
      </c>
    </row>
    <row r="101" spans="4:19" x14ac:dyDescent="0.3">
      <c r="D101" s="178">
        <v>96</v>
      </c>
      <c r="E101" s="95" t="str">
        <f t="shared" ref="E101:E116" si="15">IF(D101&lt;=$B$10,D101,"")</f>
        <v/>
      </c>
      <c r="F101" s="183" t="str">
        <f t="shared" ref="F101:F116" si="16">IF(E101="","",E101+$B$7)</f>
        <v/>
      </c>
      <c r="G101" s="162" t="str">
        <f>IF(E101="","",IF(E101=$B$10,0,VLOOKUP(F101,Life!$A$3:$R$113,14,FALSE)))</f>
        <v/>
      </c>
      <c r="H101" s="163" t="str">
        <f>IF(E101="","",IF($F101=111,0,VLOOKUP(F101,Life!$A$3:$R$113,15,FALSE)))</f>
        <v/>
      </c>
      <c r="I101" s="163" t="str">
        <f>IF(E101&gt;=$B$10,"",IF(F101&lt;16,Pricing!K101,IFERROR(MAX(Pricing!I101,Pricing!J101,Pricing!V101),0)+Pricing!L101))</f>
        <v/>
      </c>
      <c r="J101" s="163" t="str">
        <f>IF(E101="","",Pricing!N101)</f>
        <v/>
      </c>
      <c r="K101" s="163" t="str">
        <f>IF(E101="","",Pricing!$O101)</f>
        <v/>
      </c>
      <c r="L101" s="163" t="str">
        <f>IF(E101="","",IF($F101=111,$J101,(SUMPRODUCT(G101:G$116,I101:I$116)+SUMPRODUCT(H101:H$116,J101:J$116))/H101))</f>
        <v/>
      </c>
      <c r="M101" s="163" t="str">
        <f>IF(E101="","",IF($F101=111,$K101,SUMPRODUCT(H101:H$116,K101:K$116)/H101))</f>
        <v/>
      </c>
      <c r="N101" s="163" t="str">
        <f t="shared" ref="N101:N116" si="17">IF(E101="","",IF(E101&gt;=$B$9,0,IF(E101=0,$B$20,IF(E101&lt;$B$29,$B$21,$B$22))))</f>
        <v/>
      </c>
      <c r="O101" s="163" t="str">
        <f>IF(E101="","",IF($F101=111,0,SUMPRODUCT(H101:H$116,N101:N$116)/H101))</f>
        <v/>
      </c>
      <c r="P101" s="163" t="str">
        <f t="shared" ref="P101:P116" si="18">IF(E101="","",L101+M101-O101)</f>
        <v/>
      </c>
      <c r="Q101" s="163" t="str">
        <f>IF(E101="","",MAX(ROUND(P101,0),Pricing!$U101))</f>
        <v/>
      </c>
      <c r="R101" s="163" t="str">
        <f t="shared" ref="R101:R116" si="19">IF(E101="","",MAX(N101-$B$12*(1-$B$13),0))</f>
        <v/>
      </c>
      <c r="S101" s="164" t="str">
        <f>IF(E101="","",IF($F101=111,0,ROUND(SUMPRODUCT(H101:H$116,R101:R$116)/H101,0)))</f>
        <v/>
      </c>
    </row>
    <row r="102" spans="4:19" x14ac:dyDescent="0.3">
      <c r="D102" s="178">
        <v>97</v>
      </c>
      <c r="E102" s="95" t="str">
        <f t="shared" si="15"/>
        <v/>
      </c>
      <c r="F102" s="183" t="str">
        <f t="shared" si="16"/>
        <v/>
      </c>
      <c r="G102" s="162" t="str">
        <f>IF(E102="","",IF(E102=$B$10,0,VLOOKUP(F102,Life!$A$3:$R$113,14,FALSE)))</f>
        <v/>
      </c>
      <c r="H102" s="163" t="str">
        <f>IF(E102="","",IF($F102=111,0,VLOOKUP(F102,Life!$A$3:$R$113,15,FALSE)))</f>
        <v/>
      </c>
      <c r="I102" s="163" t="str">
        <f>IF(E102&gt;=$B$10,"",IF(F102&lt;16,Pricing!K102,IFERROR(MAX(Pricing!I102,Pricing!J102,Pricing!V102),0)+Pricing!L102))</f>
        <v/>
      </c>
      <c r="J102" s="163" t="str">
        <f>IF(E102="","",Pricing!N102)</f>
        <v/>
      </c>
      <c r="K102" s="163" t="str">
        <f>IF(E102="","",Pricing!$O102)</f>
        <v/>
      </c>
      <c r="L102" s="163" t="str">
        <f>IF(E102="","",IF($F102=111,$J102,(SUMPRODUCT(G102:G$116,I102:I$116)+SUMPRODUCT(H102:H$116,J102:J$116))/H102))</f>
        <v/>
      </c>
      <c r="M102" s="163" t="str">
        <f>IF(E102="","",IF($F102=111,$K102,SUMPRODUCT(H102:H$116,K102:K$116)/H102))</f>
        <v/>
      </c>
      <c r="N102" s="163" t="str">
        <f t="shared" si="17"/>
        <v/>
      </c>
      <c r="O102" s="163" t="str">
        <f>IF(E102="","",IF($F102=111,0,SUMPRODUCT(H102:H$116,N102:N$116)/H102))</f>
        <v/>
      </c>
      <c r="P102" s="163" t="str">
        <f t="shared" si="18"/>
        <v/>
      </c>
      <c r="Q102" s="163" t="str">
        <f>IF(E102="","",MAX(ROUND(P102,0),Pricing!$U102))</f>
        <v/>
      </c>
      <c r="R102" s="163" t="str">
        <f t="shared" si="19"/>
        <v/>
      </c>
      <c r="S102" s="164" t="str">
        <f>IF(E102="","",IF($F102=111,0,ROUND(SUMPRODUCT(H102:H$116,R102:R$116)/H102,0)))</f>
        <v/>
      </c>
    </row>
    <row r="103" spans="4:19" x14ac:dyDescent="0.3">
      <c r="D103" s="178">
        <v>98</v>
      </c>
      <c r="E103" s="95" t="str">
        <f t="shared" si="15"/>
        <v/>
      </c>
      <c r="F103" s="183" t="str">
        <f t="shared" si="16"/>
        <v/>
      </c>
      <c r="G103" s="162" t="str">
        <f>IF(E103="","",IF(E103=$B$10,0,VLOOKUP(F103,Life!$A$3:$R$113,14,FALSE)))</f>
        <v/>
      </c>
      <c r="H103" s="163" t="str">
        <f>IF(E103="","",IF($F103=111,0,VLOOKUP(F103,Life!$A$3:$R$113,15,FALSE)))</f>
        <v/>
      </c>
      <c r="I103" s="163" t="str">
        <f>IF(E103&gt;=$B$10,"",IF(F103&lt;16,Pricing!K103,IFERROR(MAX(Pricing!I103,Pricing!J103,Pricing!V103),0)+Pricing!L103))</f>
        <v/>
      </c>
      <c r="J103" s="163" t="str">
        <f>IF(E103="","",Pricing!N103)</f>
        <v/>
      </c>
      <c r="K103" s="163" t="str">
        <f>IF(E103="","",Pricing!$O103)</f>
        <v/>
      </c>
      <c r="L103" s="163" t="str">
        <f>IF(E103="","",IF($F103=111,$J103,(SUMPRODUCT(G103:G$116,I103:I$116)+SUMPRODUCT(H103:H$116,J103:J$116))/H103))</f>
        <v/>
      </c>
      <c r="M103" s="163" t="str">
        <f>IF(E103="","",IF($F103=111,$K103,SUMPRODUCT(H103:H$116,K103:K$116)/H103))</f>
        <v/>
      </c>
      <c r="N103" s="163" t="str">
        <f t="shared" si="17"/>
        <v/>
      </c>
      <c r="O103" s="163" t="str">
        <f>IF(E103="","",IF($F103=111,0,SUMPRODUCT(H103:H$116,N103:N$116)/H103))</f>
        <v/>
      </c>
      <c r="P103" s="163" t="str">
        <f t="shared" si="18"/>
        <v/>
      </c>
      <c r="Q103" s="163" t="str">
        <f>IF(E103="","",MAX(ROUND(P103,0),Pricing!$U103))</f>
        <v/>
      </c>
      <c r="R103" s="163" t="str">
        <f t="shared" si="19"/>
        <v/>
      </c>
      <c r="S103" s="164" t="str">
        <f>IF(E103="","",IF($F103=111,0,ROUND(SUMPRODUCT(H103:H$116,R103:R$116)/H103,0)))</f>
        <v/>
      </c>
    </row>
    <row r="104" spans="4:19" x14ac:dyDescent="0.3">
      <c r="D104" s="178">
        <v>99</v>
      </c>
      <c r="E104" s="95" t="str">
        <f t="shared" si="15"/>
        <v/>
      </c>
      <c r="F104" s="183" t="str">
        <f t="shared" si="16"/>
        <v/>
      </c>
      <c r="G104" s="162" t="str">
        <f>IF(E104="","",IF(E104=$B$10,0,VLOOKUP(F104,Life!$A$3:$R$113,14,FALSE)))</f>
        <v/>
      </c>
      <c r="H104" s="163" t="str">
        <f>IF(E104="","",IF($F104=111,0,VLOOKUP(F104,Life!$A$3:$R$113,15,FALSE)))</f>
        <v/>
      </c>
      <c r="I104" s="163" t="str">
        <f>IF(E104&gt;=$B$10,"",IF(F104&lt;16,Pricing!K104,IFERROR(MAX(Pricing!I104,Pricing!J104,Pricing!V104),0)+Pricing!L104))</f>
        <v/>
      </c>
      <c r="J104" s="163" t="str">
        <f>IF(E104="","",Pricing!N104)</f>
        <v/>
      </c>
      <c r="K104" s="163" t="str">
        <f>IF(E104="","",Pricing!$O104)</f>
        <v/>
      </c>
      <c r="L104" s="163" t="str">
        <f>IF(E104="","",IF($F104=111,$J104,(SUMPRODUCT(G104:G$116,I104:I$116)+SUMPRODUCT(H104:H$116,J104:J$116))/H104))</f>
        <v/>
      </c>
      <c r="M104" s="163" t="str">
        <f>IF(E104="","",IF($F104=111,$K104,SUMPRODUCT(H104:H$116,K104:K$116)/H104))</f>
        <v/>
      </c>
      <c r="N104" s="163" t="str">
        <f t="shared" si="17"/>
        <v/>
      </c>
      <c r="O104" s="163" t="str">
        <f>IF(E104="","",IF($F104=111,0,SUMPRODUCT(H104:H$116,N104:N$116)/H104))</f>
        <v/>
      </c>
      <c r="P104" s="163" t="str">
        <f t="shared" si="18"/>
        <v/>
      </c>
      <c r="Q104" s="163" t="str">
        <f>IF(E104="","",MAX(ROUND(P104,0),Pricing!$U104))</f>
        <v/>
      </c>
      <c r="R104" s="163" t="str">
        <f t="shared" si="19"/>
        <v/>
      </c>
      <c r="S104" s="164" t="str">
        <f>IF(E104="","",IF($F104=111,0,ROUND(SUMPRODUCT(H104:H$116,R104:R$116)/H104,0)))</f>
        <v/>
      </c>
    </row>
    <row r="105" spans="4:19" x14ac:dyDescent="0.3">
      <c r="D105" s="178">
        <v>100</v>
      </c>
      <c r="E105" s="184" t="str">
        <f t="shared" si="15"/>
        <v/>
      </c>
      <c r="F105" s="185" t="str">
        <f t="shared" si="16"/>
        <v/>
      </c>
      <c r="G105" s="165" t="str">
        <f>IF(E105="","",IF(E105=$B$10,0,VLOOKUP(F105,Life!$A$3:$R$113,14,FALSE)))</f>
        <v/>
      </c>
      <c r="H105" s="166" t="str">
        <f>IF(E105="","",IF($F105=111,0,VLOOKUP(F105,Life!$A$3:$R$113,15,FALSE)))</f>
        <v/>
      </c>
      <c r="I105" s="163" t="str">
        <f>IF(E105&gt;=$B$10,"",IF(F105&lt;16,Pricing!K105,IFERROR(MAX(Pricing!I105,Pricing!J105,Pricing!V105),0)+Pricing!L105))</f>
        <v/>
      </c>
      <c r="J105" s="166" t="str">
        <f>IF(E105="","",Pricing!N105)</f>
        <v/>
      </c>
      <c r="K105" s="166" t="str">
        <f>IF(E105="","",Pricing!$O105)</f>
        <v/>
      </c>
      <c r="L105" s="166" t="str">
        <f>IF(E105="","",IF($F105=111,$J105,(SUMPRODUCT(G105:G$116,I105:I$116)+SUMPRODUCT(H105:H$116,J105:J$116))/H105))</f>
        <v/>
      </c>
      <c r="M105" s="166" t="str">
        <f>IF(E105="","",IF($F105=111,$K105,SUMPRODUCT(H105:H$116,K105:K$116)/H105))</f>
        <v/>
      </c>
      <c r="N105" s="166" t="str">
        <f t="shared" si="17"/>
        <v/>
      </c>
      <c r="O105" s="166" t="str">
        <f>IF(E105="","",IF($F105=111,0,SUMPRODUCT(H105:H$116,N105:N$116)/H105))</f>
        <v/>
      </c>
      <c r="P105" s="166" t="str">
        <f t="shared" si="18"/>
        <v/>
      </c>
      <c r="Q105" s="166" t="str">
        <f>IF(E105="","",MAX(ROUND(P105,0),Pricing!$U105))</f>
        <v/>
      </c>
      <c r="R105" s="166" t="str">
        <f t="shared" si="19"/>
        <v/>
      </c>
      <c r="S105" s="167" t="str">
        <f>IF(E105="","",IF($F105=111,0,ROUND(SUMPRODUCT(H105:H$116,R105:R$116)/H105,0)))</f>
        <v/>
      </c>
    </row>
    <row r="106" spans="4:19" x14ac:dyDescent="0.3">
      <c r="D106" s="178">
        <v>101</v>
      </c>
      <c r="E106" s="95" t="str">
        <f t="shared" si="15"/>
        <v/>
      </c>
      <c r="F106" s="183" t="str">
        <f t="shared" si="16"/>
        <v/>
      </c>
      <c r="G106" s="162" t="str">
        <f>IF(E106="","",IF(E106=$B$10,0,VLOOKUP(F106,Life!$A$3:$R$113,14,FALSE)))</f>
        <v/>
      </c>
      <c r="H106" s="163" t="str">
        <f>IF(E106="","",IF($F106=111,0,VLOOKUP(F106,Life!$A$3:$R$113,15,FALSE)))</f>
        <v/>
      </c>
      <c r="I106" s="163" t="str">
        <f>IF(E106&gt;=$B$10,"",IF(F106&lt;16,Pricing!K106,IFERROR(MAX(Pricing!I106,Pricing!J106,Pricing!V106),0)+Pricing!L106))</f>
        <v/>
      </c>
      <c r="J106" s="163" t="str">
        <f>IF(E106="","",Pricing!N106)</f>
        <v/>
      </c>
      <c r="K106" s="163" t="str">
        <f>IF(E106="","",Pricing!$O106)</f>
        <v/>
      </c>
      <c r="L106" s="163" t="str">
        <f>IF(E106="","",IF($F106=111,$J106,(SUMPRODUCT(G106:G$116,I106:I$116)+SUMPRODUCT(H106:H$116,J106:J$116))/H106))</f>
        <v/>
      </c>
      <c r="M106" s="163" t="str">
        <f>IF(E106="","",IF($F106=111,$K106,SUMPRODUCT(H106:H$116,K106:K$116)/H106))</f>
        <v/>
      </c>
      <c r="N106" s="163" t="str">
        <f t="shared" si="17"/>
        <v/>
      </c>
      <c r="O106" s="163" t="str">
        <f>IF(E106="","",IF($F106=111,0,SUMPRODUCT(H106:H$116,N106:N$116)/H106))</f>
        <v/>
      </c>
      <c r="P106" s="163" t="str">
        <f t="shared" si="18"/>
        <v/>
      </c>
      <c r="Q106" s="163" t="str">
        <f>IF(E106="","",MAX(ROUND(P106,0),Pricing!$U106))</f>
        <v/>
      </c>
      <c r="R106" s="163" t="str">
        <f t="shared" si="19"/>
        <v/>
      </c>
      <c r="S106" s="164" t="str">
        <f>IF(E106="","",IF($F106=111,0,ROUND(SUMPRODUCT(H106:H$116,R106:R$116)/H106,0)))</f>
        <v/>
      </c>
    </row>
    <row r="107" spans="4:19" x14ac:dyDescent="0.3">
      <c r="D107" s="178">
        <v>102</v>
      </c>
      <c r="E107" s="95" t="str">
        <f t="shared" si="15"/>
        <v/>
      </c>
      <c r="F107" s="183" t="str">
        <f t="shared" si="16"/>
        <v/>
      </c>
      <c r="G107" s="162" t="str">
        <f>IF(E107="","",IF(E107=$B$10,0,VLOOKUP(F107,Life!$A$3:$R$113,14,FALSE)))</f>
        <v/>
      </c>
      <c r="H107" s="163" t="str">
        <f>IF(E107="","",IF($F107=111,0,VLOOKUP(F107,Life!$A$3:$R$113,15,FALSE)))</f>
        <v/>
      </c>
      <c r="I107" s="163" t="str">
        <f>IF(E107&gt;=$B$10,"",IF(F107&lt;16,Pricing!K107,IFERROR(MAX(Pricing!I107,Pricing!J107,Pricing!V107),0)+Pricing!L107))</f>
        <v/>
      </c>
      <c r="J107" s="163" t="str">
        <f>IF(E107="","",Pricing!N107)</f>
        <v/>
      </c>
      <c r="K107" s="163" t="str">
        <f>IF(E107="","",Pricing!$O107)</f>
        <v/>
      </c>
      <c r="L107" s="163" t="str">
        <f>IF(E107="","",IF($F107=111,$J107,(SUMPRODUCT(G107:G$116,I107:I$116)+SUMPRODUCT(H107:H$116,J107:J$116))/H107))</f>
        <v/>
      </c>
      <c r="M107" s="163" t="str">
        <f>IF(E107="","",IF($F107=111,$K107,SUMPRODUCT(H107:H$116,K107:K$116)/H107))</f>
        <v/>
      </c>
      <c r="N107" s="163" t="str">
        <f t="shared" si="17"/>
        <v/>
      </c>
      <c r="O107" s="163" t="str">
        <f>IF(E107="","",IF($F107=111,0,SUMPRODUCT(H107:H$116,N107:N$116)/H107))</f>
        <v/>
      </c>
      <c r="P107" s="163" t="str">
        <f t="shared" si="18"/>
        <v/>
      </c>
      <c r="Q107" s="163" t="str">
        <f>IF(E107="","",MAX(ROUND(P107,0),Pricing!$U107))</f>
        <v/>
      </c>
      <c r="R107" s="163" t="str">
        <f t="shared" si="19"/>
        <v/>
      </c>
      <c r="S107" s="164" t="str">
        <f>IF(E107="","",IF($F107=111,0,ROUND(SUMPRODUCT(H107:H$116,R107:R$116)/H107,0)))</f>
        <v/>
      </c>
    </row>
    <row r="108" spans="4:19" x14ac:dyDescent="0.3">
      <c r="D108" s="178">
        <v>103</v>
      </c>
      <c r="E108" s="95" t="str">
        <f t="shared" si="15"/>
        <v/>
      </c>
      <c r="F108" s="183" t="str">
        <f t="shared" si="16"/>
        <v/>
      </c>
      <c r="G108" s="162" t="str">
        <f>IF(E108="","",IF(E108=$B$10,0,VLOOKUP(F108,Life!$A$3:$R$113,14,FALSE)))</f>
        <v/>
      </c>
      <c r="H108" s="163" t="str">
        <f>IF(E108="","",IF($F108=111,0,VLOOKUP(F108,Life!$A$3:$R$113,15,FALSE)))</f>
        <v/>
      </c>
      <c r="I108" s="163" t="str">
        <f>IF(E108&gt;=$B$10,"",IF(F108&lt;16,Pricing!K108,IFERROR(MAX(Pricing!I108,Pricing!J108,Pricing!V108),0)+Pricing!L108))</f>
        <v/>
      </c>
      <c r="J108" s="163" t="str">
        <f>IF(E108="","",Pricing!N108)</f>
        <v/>
      </c>
      <c r="K108" s="163" t="str">
        <f>IF(E108="","",Pricing!$O108)</f>
        <v/>
      </c>
      <c r="L108" s="163" t="str">
        <f>IF(E108="","",IF($F108=111,$J108,(SUMPRODUCT(G108:G$116,I108:I$116)+SUMPRODUCT(H108:H$116,J108:J$116))/H108))</f>
        <v/>
      </c>
      <c r="M108" s="163" t="str">
        <f>IF(E108="","",IF($F108=111,$K108,SUMPRODUCT(H108:H$116,K108:K$116)/H108))</f>
        <v/>
      </c>
      <c r="N108" s="163" t="str">
        <f t="shared" si="17"/>
        <v/>
      </c>
      <c r="O108" s="163" t="str">
        <f>IF(E108="","",IF($F108=111,0,SUMPRODUCT(H108:H$116,N108:N$116)/H108))</f>
        <v/>
      </c>
      <c r="P108" s="163" t="str">
        <f t="shared" si="18"/>
        <v/>
      </c>
      <c r="Q108" s="163" t="str">
        <f>IF(E108="","",MAX(ROUND(P108,0),Pricing!$U108))</f>
        <v/>
      </c>
      <c r="R108" s="163" t="str">
        <f t="shared" si="19"/>
        <v/>
      </c>
      <c r="S108" s="164" t="str">
        <f>IF(E108="","",IF($F108=111,0,ROUND(SUMPRODUCT(H108:H$116,R108:R$116)/H108,0)))</f>
        <v/>
      </c>
    </row>
    <row r="109" spans="4:19" x14ac:dyDescent="0.3">
      <c r="D109" s="178">
        <v>104</v>
      </c>
      <c r="E109" s="95" t="str">
        <f t="shared" si="15"/>
        <v/>
      </c>
      <c r="F109" s="183" t="str">
        <f t="shared" si="16"/>
        <v/>
      </c>
      <c r="G109" s="162" t="str">
        <f>IF(E109="","",IF(E109=$B$10,0,VLOOKUP(F109,Life!$A$3:$R$113,14,FALSE)))</f>
        <v/>
      </c>
      <c r="H109" s="163" t="str">
        <f>IF(E109="","",IF($F109=111,0,VLOOKUP(F109,Life!$A$3:$R$113,15,FALSE)))</f>
        <v/>
      </c>
      <c r="I109" s="163" t="str">
        <f>IF(E109&gt;=$B$10,"",IF(F109&lt;16,Pricing!K109,IFERROR(MAX(Pricing!I109,Pricing!J109,Pricing!V109),0)+Pricing!L109))</f>
        <v/>
      </c>
      <c r="J109" s="163" t="str">
        <f>IF(E109="","",Pricing!N109)</f>
        <v/>
      </c>
      <c r="K109" s="163" t="str">
        <f>IF(E109="","",Pricing!$O109)</f>
        <v/>
      </c>
      <c r="L109" s="163" t="str">
        <f>IF(E109="","",IF($F109=111,$J109,(SUMPRODUCT(G109:G$116,I109:I$116)+SUMPRODUCT(H109:H$116,J109:J$116))/H109))</f>
        <v/>
      </c>
      <c r="M109" s="163" t="str">
        <f>IF(E109="","",IF($F109=111,$K109,SUMPRODUCT(H109:H$116,K109:K$116)/H109))</f>
        <v/>
      </c>
      <c r="N109" s="163" t="str">
        <f t="shared" si="17"/>
        <v/>
      </c>
      <c r="O109" s="163" t="str">
        <f>IF(E109="","",IF($F109=111,0,SUMPRODUCT(H109:H$116,N109:N$116)/H109))</f>
        <v/>
      </c>
      <c r="P109" s="163" t="str">
        <f t="shared" si="18"/>
        <v/>
      </c>
      <c r="Q109" s="163" t="str">
        <f>IF(E109="","",MAX(ROUND(P109,0),Pricing!$U109))</f>
        <v/>
      </c>
      <c r="R109" s="163" t="str">
        <f t="shared" si="19"/>
        <v/>
      </c>
      <c r="S109" s="164" t="str">
        <f>IF(E109="","",IF($F109=111,0,ROUND(SUMPRODUCT(H109:H$116,R109:R$116)/H109,0)))</f>
        <v/>
      </c>
    </row>
    <row r="110" spans="4:19" x14ac:dyDescent="0.3">
      <c r="D110" s="178">
        <v>105</v>
      </c>
      <c r="E110" s="184" t="str">
        <f t="shared" si="15"/>
        <v/>
      </c>
      <c r="F110" s="185" t="str">
        <f t="shared" si="16"/>
        <v/>
      </c>
      <c r="G110" s="165" t="str">
        <f>IF(E110="","",IF(E110=$B$10,0,VLOOKUP(F110,Life!$A$3:$R$113,14,FALSE)))</f>
        <v/>
      </c>
      <c r="H110" s="166" t="str">
        <f>IF(E110="","",IF($F110=111,0,VLOOKUP(F110,Life!$A$3:$R$113,15,FALSE)))</f>
        <v/>
      </c>
      <c r="I110" s="163" t="str">
        <f>IF(E110&gt;=$B$10,"",IF(F110&lt;16,Pricing!K110,IFERROR(MAX(Pricing!I110,Pricing!J110,Pricing!V110),0)+Pricing!L110))</f>
        <v/>
      </c>
      <c r="J110" s="166" t="str">
        <f>IF(E110="","",Pricing!N110)</f>
        <v/>
      </c>
      <c r="K110" s="166" t="str">
        <f>IF(E110="","",Pricing!$O110)</f>
        <v/>
      </c>
      <c r="L110" s="166" t="str">
        <f>IF(E110="","",IF($F110=111,$J110,(SUMPRODUCT(G110:G$116,I110:I$116)+SUMPRODUCT(H110:H$116,J110:J$116))/H110))</f>
        <v/>
      </c>
      <c r="M110" s="166" t="str">
        <f>IF(E110="","",IF($F110=111,$K110,SUMPRODUCT(H110:H$116,K110:K$116)/H110))</f>
        <v/>
      </c>
      <c r="N110" s="166" t="str">
        <f t="shared" si="17"/>
        <v/>
      </c>
      <c r="O110" s="166" t="str">
        <f>IF(E110="","",IF($F110=111,0,SUMPRODUCT(H110:H$116,N110:N$116)/H110))</f>
        <v/>
      </c>
      <c r="P110" s="166" t="str">
        <f t="shared" si="18"/>
        <v/>
      </c>
      <c r="Q110" s="166" t="str">
        <f>IF(E110="","",MAX(ROUND(P110,0),Pricing!$U110))</f>
        <v/>
      </c>
      <c r="R110" s="166" t="str">
        <f t="shared" si="19"/>
        <v/>
      </c>
      <c r="S110" s="167" t="str">
        <f>IF(E110="","",IF($F110=111,0,ROUND(SUMPRODUCT(H110:H$116,R110:R$116)/H110,0)))</f>
        <v/>
      </c>
    </row>
    <row r="111" spans="4:19" x14ac:dyDescent="0.3">
      <c r="D111" s="178">
        <v>106</v>
      </c>
      <c r="E111" s="95" t="str">
        <f t="shared" si="15"/>
        <v/>
      </c>
      <c r="F111" s="183" t="str">
        <f t="shared" si="16"/>
        <v/>
      </c>
      <c r="G111" s="162" t="str">
        <f>IF(E111="","",IF(E111=$B$10,0,VLOOKUP(F111,Life!$A$3:$R$113,14,FALSE)))</f>
        <v/>
      </c>
      <c r="H111" s="163" t="str">
        <f>IF(E111="","",IF($F111=111,0,VLOOKUP(F111,Life!$A$3:$R$113,15,FALSE)))</f>
        <v/>
      </c>
      <c r="I111" s="163" t="str">
        <f>IF(E111&gt;=$B$10,"",IF(F111&lt;16,Pricing!K111,IFERROR(MAX(Pricing!I111,Pricing!J111,Pricing!V111),0)+Pricing!L111))</f>
        <v/>
      </c>
      <c r="J111" s="163" t="str">
        <f>IF(E111="","",Pricing!N111)</f>
        <v/>
      </c>
      <c r="K111" s="163" t="str">
        <f>IF(E111="","",Pricing!$O111)</f>
        <v/>
      </c>
      <c r="L111" s="163" t="str">
        <f>IF(E111="","",IF($F111=111,$J111,(SUMPRODUCT(G111:G$116,I111:I$116)+SUMPRODUCT(H111:H$116,J111:J$116))/H111))</f>
        <v/>
      </c>
      <c r="M111" s="163" t="str">
        <f>IF(E111="","",IF($F111=111,$K111,SUMPRODUCT(H111:H$116,K111:K$116)/H111))</f>
        <v/>
      </c>
      <c r="N111" s="163" t="str">
        <f t="shared" si="17"/>
        <v/>
      </c>
      <c r="O111" s="163" t="str">
        <f>IF(E111="","",IF($F111=111,0,SUMPRODUCT(H111:H$116,N111:N$116)/H111))</f>
        <v/>
      </c>
      <c r="P111" s="163" t="str">
        <f t="shared" si="18"/>
        <v/>
      </c>
      <c r="Q111" s="163" t="str">
        <f>IF(E111="","",MAX(ROUND(P111,0),Pricing!$U111))</f>
        <v/>
      </c>
      <c r="R111" s="163" t="str">
        <f t="shared" si="19"/>
        <v/>
      </c>
      <c r="S111" s="164" t="str">
        <f>IF(E111="","",IF($F111=111,0,ROUND(SUMPRODUCT(H111:H$116,R111:R$116)/H111,0)))</f>
        <v/>
      </c>
    </row>
    <row r="112" spans="4:19" x14ac:dyDescent="0.3">
      <c r="D112" s="178">
        <v>107</v>
      </c>
      <c r="E112" s="95" t="str">
        <f t="shared" si="15"/>
        <v/>
      </c>
      <c r="F112" s="183" t="str">
        <f t="shared" si="16"/>
        <v/>
      </c>
      <c r="G112" s="162" t="str">
        <f>IF(E112="","",IF(E112=$B$10,0,VLOOKUP(F112,Life!$A$3:$R$113,14,FALSE)))</f>
        <v/>
      </c>
      <c r="H112" s="163" t="str">
        <f>IF(E112="","",IF($F112=111,0,VLOOKUP(F112,Life!$A$3:$R$113,15,FALSE)))</f>
        <v/>
      </c>
      <c r="I112" s="163" t="str">
        <f>IF(E112&gt;=$B$10,"",IF(F112&lt;16,Pricing!K112,IFERROR(MAX(Pricing!I112,Pricing!J112,Pricing!V112),0)+Pricing!L112))</f>
        <v/>
      </c>
      <c r="J112" s="163" t="str">
        <f>IF(E112="","",Pricing!N112)</f>
        <v/>
      </c>
      <c r="K112" s="163" t="str">
        <f>IF(E112="","",Pricing!$O112)</f>
        <v/>
      </c>
      <c r="L112" s="163" t="str">
        <f>IF(E112="","",IF($F112=111,$J112,(SUMPRODUCT(G112:G$116,I112:I$116)+SUMPRODUCT(H112:H$116,J112:J$116))/H112))</f>
        <v/>
      </c>
      <c r="M112" s="163" t="str">
        <f>IF(E112="","",IF($F112=111,$K112,SUMPRODUCT(H112:H$116,K112:K$116)/H112))</f>
        <v/>
      </c>
      <c r="N112" s="163" t="str">
        <f t="shared" si="17"/>
        <v/>
      </c>
      <c r="O112" s="163" t="str">
        <f>IF(E112="","",IF($F112=111,0,SUMPRODUCT(H112:H$116,N112:N$116)/H112))</f>
        <v/>
      </c>
      <c r="P112" s="163" t="str">
        <f t="shared" si="18"/>
        <v/>
      </c>
      <c r="Q112" s="163" t="str">
        <f>IF(E112="","",MAX(ROUND(P112,0),Pricing!$U112))</f>
        <v/>
      </c>
      <c r="R112" s="163" t="str">
        <f t="shared" si="19"/>
        <v/>
      </c>
      <c r="S112" s="164" t="str">
        <f>IF(E112="","",IF($F112=111,0,ROUND(SUMPRODUCT(H112:H$116,R112:R$116)/H112,0)))</f>
        <v/>
      </c>
    </row>
    <row r="113" spans="4:19" x14ac:dyDescent="0.3">
      <c r="D113" s="178">
        <v>108</v>
      </c>
      <c r="E113" s="95" t="str">
        <f t="shared" si="15"/>
        <v/>
      </c>
      <c r="F113" s="183" t="str">
        <f t="shared" si="16"/>
        <v/>
      </c>
      <c r="G113" s="162" t="str">
        <f>IF(E113="","",IF(E113=$B$10,0,VLOOKUP(F113,Life!$A$3:$R$113,14,FALSE)))</f>
        <v/>
      </c>
      <c r="H113" s="163" t="str">
        <f>IF(E113="","",IF($F113=111,0,VLOOKUP(F113,Life!$A$3:$R$113,15,FALSE)))</f>
        <v/>
      </c>
      <c r="I113" s="163" t="str">
        <f>IF(E113&gt;=$B$10,"",IF(F113&lt;16,Pricing!K113,IFERROR(MAX(Pricing!I113,Pricing!J113,Pricing!V113),0)+Pricing!L113))</f>
        <v/>
      </c>
      <c r="J113" s="163" t="str">
        <f>IF(E113="","",Pricing!N113)</f>
        <v/>
      </c>
      <c r="K113" s="163" t="str">
        <f>IF(E113="","",Pricing!$O113)</f>
        <v/>
      </c>
      <c r="L113" s="163" t="str">
        <f>IF(E113="","",IF($F113=111,$J113,(SUMPRODUCT(G113:G$116,I113:I$116)+SUMPRODUCT(H113:H$116,J113:J$116))/H113))</f>
        <v/>
      </c>
      <c r="M113" s="163" t="str">
        <f>IF(E113="","",IF($F113=111,$K113,SUMPRODUCT(H113:H$116,K113:K$116)/H113))</f>
        <v/>
      </c>
      <c r="N113" s="163" t="str">
        <f t="shared" si="17"/>
        <v/>
      </c>
      <c r="O113" s="163" t="str">
        <f>IF(E113="","",IF($F113=111,0,SUMPRODUCT(H113:H$116,N113:N$116)/H113))</f>
        <v/>
      </c>
      <c r="P113" s="163" t="str">
        <f t="shared" si="18"/>
        <v/>
      </c>
      <c r="Q113" s="163" t="str">
        <f>IF(E113="","",MAX(ROUND(P113,0),Pricing!$U113))</f>
        <v/>
      </c>
      <c r="R113" s="163" t="str">
        <f t="shared" si="19"/>
        <v/>
      </c>
      <c r="S113" s="164" t="str">
        <f>IF(E113="","",IF($F113=111,0,ROUND(SUMPRODUCT(H113:H$116,R113:R$116)/H113,0)))</f>
        <v/>
      </c>
    </row>
    <row r="114" spans="4:19" x14ac:dyDescent="0.3">
      <c r="D114" s="178">
        <v>109</v>
      </c>
      <c r="E114" s="95" t="str">
        <f t="shared" si="15"/>
        <v/>
      </c>
      <c r="F114" s="183" t="str">
        <f t="shared" si="16"/>
        <v/>
      </c>
      <c r="G114" s="162" t="str">
        <f>IF(E114="","",IF(E114=$B$10,0,VLOOKUP(F114,Life!$A$3:$R$113,14,FALSE)))</f>
        <v/>
      </c>
      <c r="H114" s="163" t="str">
        <f>IF(E114="","",IF($F114=111,0,VLOOKUP(F114,Life!$A$3:$R$113,15,FALSE)))</f>
        <v/>
      </c>
      <c r="I114" s="163" t="str">
        <f>IF(E114&gt;=$B$10,"",IF(F114&lt;16,Pricing!K114,IFERROR(MAX(Pricing!I114,Pricing!J114,Pricing!V114),0)+Pricing!L114))</f>
        <v/>
      </c>
      <c r="J114" s="163" t="str">
        <f>IF(E114="","",Pricing!N114)</f>
        <v/>
      </c>
      <c r="K114" s="163" t="str">
        <f>IF(E114="","",Pricing!$O114)</f>
        <v/>
      </c>
      <c r="L114" s="163" t="str">
        <f>IF(E114="","",IF($F114=111,$J114,(SUMPRODUCT(G114:G$116,I114:I$116)+SUMPRODUCT(H114:H$116,J114:J$116))/H114))</f>
        <v/>
      </c>
      <c r="M114" s="163" t="str">
        <f>IF(E114="","",IF($F114=111,$K114,SUMPRODUCT(H114:H$116,K114:K$116)/H114))</f>
        <v/>
      </c>
      <c r="N114" s="163" t="str">
        <f t="shared" si="17"/>
        <v/>
      </c>
      <c r="O114" s="163" t="str">
        <f>IF(E114="","",IF($F114=111,0,SUMPRODUCT(H114:H$116,N114:N$116)/H114))</f>
        <v/>
      </c>
      <c r="P114" s="163" t="str">
        <f t="shared" si="18"/>
        <v/>
      </c>
      <c r="Q114" s="163" t="str">
        <f>IF(E114="","",MAX(ROUND(P114,0),Pricing!$U114))</f>
        <v/>
      </c>
      <c r="R114" s="163" t="str">
        <f t="shared" si="19"/>
        <v/>
      </c>
      <c r="S114" s="164" t="str">
        <f>IF(E114="","",IF($F114=111,0,ROUND(SUMPRODUCT(H114:H$116,R114:R$116)/H114,0)))</f>
        <v/>
      </c>
    </row>
    <row r="115" spans="4:19" x14ac:dyDescent="0.3">
      <c r="D115" s="178">
        <v>110</v>
      </c>
      <c r="E115" s="184" t="str">
        <f t="shared" si="15"/>
        <v/>
      </c>
      <c r="F115" s="185" t="str">
        <f t="shared" si="16"/>
        <v/>
      </c>
      <c r="G115" s="165" t="str">
        <f>IF(E115="","",IF(E115=$B$10,0,VLOOKUP(F115,Life!$A$3:$R$113,14,FALSE)))</f>
        <v/>
      </c>
      <c r="H115" s="166" t="str">
        <f>IF(E115="","",IF($F115=111,0,VLOOKUP(F115,Life!$A$3:$R$113,15,FALSE)))</f>
        <v/>
      </c>
      <c r="I115" s="163" t="str">
        <f>IF(E115&gt;=$B$10,"",IF(F115&lt;16,Pricing!K115,IFERROR(MAX(Pricing!I115,Pricing!J115,Pricing!V115),0)+Pricing!L115))</f>
        <v/>
      </c>
      <c r="J115" s="166" t="str">
        <f>IF(E115="","",Pricing!N115)</f>
        <v/>
      </c>
      <c r="K115" s="166" t="str">
        <f>IF(E115="","",Pricing!$O115)</f>
        <v/>
      </c>
      <c r="L115" s="166" t="str">
        <f>IF(E115="","",IF($F115=111,$J115,(SUMPRODUCT(G115:G$116,I115:I$116)+SUMPRODUCT(H115:H$116,J115:J$116))/H115))</f>
        <v/>
      </c>
      <c r="M115" s="166" t="str">
        <f>IF(E115="","",IF($F115=111,$K115,SUMPRODUCT(H115:H$116,K115:K$116)/H115))</f>
        <v/>
      </c>
      <c r="N115" s="166" t="str">
        <f t="shared" si="17"/>
        <v/>
      </c>
      <c r="O115" s="166" t="str">
        <f>IF(E115="","",IF($F115=111,0,SUMPRODUCT(H115:H$116,N115:N$116)/H115))</f>
        <v/>
      </c>
      <c r="P115" s="166" t="str">
        <f t="shared" si="18"/>
        <v/>
      </c>
      <c r="Q115" s="166" t="str">
        <f>IF(E115="","",MAX(ROUND(P115,0),Pricing!$U115))</f>
        <v/>
      </c>
      <c r="R115" s="166" t="str">
        <f t="shared" si="19"/>
        <v/>
      </c>
      <c r="S115" s="167" t="str">
        <f>IF(E115="","",IF($F115=111,0,ROUND(SUMPRODUCT(H115:H$116,R115:R$116)/H115,0)))</f>
        <v/>
      </c>
    </row>
    <row r="116" spans="4:19" ht="15" thickBot="1" x14ac:dyDescent="0.35">
      <c r="D116" s="178">
        <v>111</v>
      </c>
      <c r="E116" s="96" t="str">
        <f t="shared" si="15"/>
        <v/>
      </c>
      <c r="F116" s="186" t="str">
        <f t="shared" si="16"/>
        <v/>
      </c>
      <c r="G116" s="168" t="str">
        <f>IF(E116="","",IF(E116=$B$10,0,VLOOKUP(F116,Life!$A$3:$R$113,14,FALSE)))</f>
        <v/>
      </c>
      <c r="H116" s="169" t="str">
        <f>IF(E116="","",IF($F116=111,0,VLOOKUP(F116,Life!$A$3:$R$113,15,FALSE)))</f>
        <v/>
      </c>
      <c r="I116" s="163" t="str">
        <f>IF(E116&gt;=$B$10,"",IF(F116&lt;16,Pricing!K116,IFERROR(MAX(Pricing!I116,Pricing!J116,Pricing!V116),0)+Pricing!L116))</f>
        <v/>
      </c>
      <c r="J116" s="169" t="str">
        <f>IF(E116="","",Pricing!N116)</f>
        <v/>
      </c>
      <c r="K116" s="169" t="str">
        <f>IF(E116="","",Pricing!$O116)</f>
        <v/>
      </c>
      <c r="L116" s="169" t="str">
        <f>IF(E116="","",IF($F116=111,$J116,(SUMPRODUCT(G116:G$116,I116:I$116)+SUMPRODUCT(H116:H$116,J116:J$116))/H116))</f>
        <v/>
      </c>
      <c r="M116" s="169" t="str">
        <f>IF(E116="","",IF($F116=111,$K116,SUMPRODUCT(H116:H$116,K116:K$116)/H116))</f>
        <v/>
      </c>
      <c r="N116" s="169" t="str">
        <f t="shared" si="17"/>
        <v/>
      </c>
      <c r="O116" s="169" t="str">
        <f>IF(E116="","",IF($F116=111,0,SUMPRODUCT(H116:H$116,N116:N$116)/H116))</f>
        <v/>
      </c>
      <c r="P116" s="169" t="str">
        <f t="shared" si="18"/>
        <v/>
      </c>
      <c r="Q116" s="169" t="str">
        <f>IF(E116="","",MAX(ROUND(P116,0),Pricing!$U116))</f>
        <v/>
      </c>
      <c r="R116" s="169" t="str">
        <f t="shared" si="19"/>
        <v/>
      </c>
      <c r="S116" s="170" t="str">
        <f>IF(E116="","",IF($F116=111,0,ROUND(SUMPRODUCT(H116:H$116,R116:R$116)/H116,0)))</f>
        <v/>
      </c>
    </row>
  </sheetData>
  <mergeCells count="5">
    <mergeCell ref="A1:J1"/>
    <mergeCell ref="A2:F2"/>
    <mergeCell ref="A5:B5"/>
    <mergeCell ref="A23:B23"/>
    <mergeCell ref="A33:B3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Drop Down 1">
              <controlPr defaultSize="0" autoFill="0" autoPict="0">
                <anchor moveWithCells="1">
                  <from>
                    <xdr:col>1</xdr:col>
                    <xdr:colOff>0</xdr:colOff>
                    <xdr:row>5</xdr:row>
                    <xdr:rowOff>7620</xdr:rowOff>
                  </from>
                  <to>
                    <xdr:col>1</xdr:col>
                    <xdr:colOff>533400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Drop Down 2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533400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Fill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533400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Drop Down 4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533400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X116"/>
  <sheetViews>
    <sheetView showGridLines="0" zoomScaleNormal="100" workbookViewId="0">
      <pane xSplit="6" ySplit="4" topLeftCell="G20" activePane="bottomRight" state="frozenSplit"/>
      <selection activeCell="A2" sqref="A2:I2"/>
      <selection pane="topRight" activeCell="A2" sqref="A2:I2"/>
      <selection pane="bottomLeft" activeCell="A2" sqref="A2:I2"/>
      <selection pane="bottomRight" activeCell="G25" sqref="G25"/>
    </sheetView>
  </sheetViews>
  <sheetFormatPr defaultColWidth="8.109375" defaultRowHeight="14.4" x14ac:dyDescent="0.3"/>
  <cols>
    <col min="1" max="2" width="8.88671875" style="35" customWidth="1"/>
    <col min="3" max="3" width="4.6640625" style="35" customWidth="1"/>
    <col min="4" max="4" width="4.6640625" style="35" hidden="1" customWidth="1"/>
    <col min="5" max="6" width="4.6640625" style="35" customWidth="1"/>
    <col min="7" max="14" width="8.109375" style="35"/>
    <col min="15" max="15" width="9.6640625" style="35" customWidth="1"/>
    <col min="16" max="22" width="8.109375" style="35"/>
    <col min="23" max="23" width="8.21875" style="426" bestFit="1" customWidth="1"/>
    <col min="24" max="24" width="8.109375" style="426"/>
    <col min="25" max="16384" width="8.109375" style="35"/>
  </cols>
  <sheetData>
    <row r="1" spans="1:24" ht="19.8" x14ac:dyDescent="0.3">
      <c r="A1" s="204" t="s">
        <v>14</v>
      </c>
    </row>
    <row r="2" spans="1:24" ht="16.2" x14ac:dyDescent="0.3">
      <c r="A2" s="432" t="s">
        <v>171</v>
      </c>
      <c r="B2" s="432"/>
      <c r="C2" s="432"/>
      <c r="D2" s="432"/>
      <c r="E2" s="432"/>
      <c r="F2" s="432"/>
    </row>
    <row r="3" spans="1:24" ht="15" thickBot="1" x14ac:dyDescent="0.35">
      <c r="H3" s="349">
        <v>0</v>
      </c>
      <c r="Q3" s="216">
        <f>Reserve!I2</f>
        <v>0</v>
      </c>
    </row>
    <row r="4" spans="1:24" ht="55.8" thickBot="1" x14ac:dyDescent="0.35">
      <c r="D4" s="215" t="s">
        <v>102</v>
      </c>
      <c r="E4" s="225" t="s">
        <v>103</v>
      </c>
      <c r="F4" s="227" t="s">
        <v>74</v>
      </c>
      <c r="G4" s="226" t="s">
        <v>152</v>
      </c>
      <c r="H4" s="222" t="s">
        <v>153</v>
      </c>
      <c r="I4" s="222" t="s">
        <v>154</v>
      </c>
      <c r="J4" s="222" t="s">
        <v>155</v>
      </c>
      <c r="K4" s="222" t="s">
        <v>387</v>
      </c>
      <c r="L4" s="222" t="s">
        <v>156</v>
      </c>
      <c r="M4" s="222" t="s">
        <v>157</v>
      </c>
      <c r="N4" s="222" t="s">
        <v>158</v>
      </c>
      <c r="O4" s="223" t="s">
        <v>159</v>
      </c>
      <c r="P4" s="222" t="s">
        <v>160</v>
      </c>
      <c r="Q4" s="222" t="s">
        <v>161</v>
      </c>
      <c r="R4" s="222" t="s">
        <v>162</v>
      </c>
      <c r="S4" s="222" t="s">
        <v>163</v>
      </c>
      <c r="T4" s="222" t="s">
        <v>164</v>
      </c>
      <c r="U4" s="224" t="s">
        <v>165</v>
      </c>
      <c r="W4" s="426">
        <v>1</v>
      </c>
    </row>
    <row r="5" spans="1:24" ht="15.6" thickTop="1" thickBot="1" x14ac:dyDescent="0.35">
      <c r="A5" s="439" t="s">
        <v>172</v>
      </c>
      <c r="B5" s="440"/>
      <c r="D5" s="215">
        <v>0</v>
      </c>
      <c r="E5" s="230">
        <f t="shared" ref="E5:E36" si="0">IF(D5&lt;=$B$10,D5,"")</f>
        <v>0</v>
      </c>
      <c r="F5" s="231">
        <f t="shared" ref="F5:F36" si="1">IF(E5="","",E5+$B$7)</f>
        <v>35</v>
      </c>
      <c r="G5" s="159">
        <f ca="1">IF($E5="","",ROUND((1-$B$24*($B$10-$E5))*MIN($B$22+(1-$B$22)*$E5/MIN($B$23,$B$9),1)*(Pricing!$U5-$I5),0))</f>
        <v>0</v>
      </c>
      <c r="H5" s="160">
        <f>IF($E5="","",IF($E5&lt;$B$9,$B$12-ROUND($B$12*$H$3,0),0))</f>
        <v>423</v>
      </c>
      <c r="I5" s="160">
        <f>IF($E5="","",Pricing!$N5+Pricing!$O5)</f>
        <v>0</v>
      </c>
      <c r="J5" s="232" t="str">
        <f>IF(OR($E5=0,$E5=""),"",(NPV($B$13,$I$5:$I5)+$G5*(1+$B$13)^-($E5+1))/NPV($B$13,$H4:$H$5))</f>
        <v/>
      </c>
      <c r="K5" s="232"/>
      <c r="L5" s="160" t="str">
        <f>IF(OR($E5&gt;=$B$9,$E5=0),"",MAX(Pricing!$U5-$I5-0.01*$B$11,$V5))</f>
        <v/>
      </c>
      <c r="M5" s="160">
        <f ca="1">IF($E5="","",ROUND(Pricing!Q5+Pricing!R5-SUMPRODUCT(Pricing!G5:G$116,Pricing!L5:L$116)/Pricing!H5-$I5,0))</f>
        <v>5518</v>
      </c>
      <c r="N5" s="160" t="str">
        <f>IF(OR($E5&gt;=$B$9,$E5=0),"",ROUND(ROUND(L5,0)/M5*$B$11,0))</f>
        <v/>
      </c>
      <c r="O5" s="160">
        <f>IF(E5="","",IF($B$19,SUMIF(F5:F$116,"&gt;=" &amp; 16,Pricing!G5:G$116),SUM(Pricing!$G5:$G$116)))</f>
        <v>1854128.9734383402</v>
      </c>
      <c r="P5" s="424" t="str">
        <f>IF(OR($E5="",$E5=0),"",IF(OR(NOT($B$19),$F5&gt;=16,$E5=$B$10),0,((1+2.25%)*$P6*Pricing!$H6+(1+Pricing!$K$3)^0.5*Pricing!$G5)/Pricing!$H5))</f>
        <v/>
      </c>
      <c r="Q5" s="160" t="str">
        <f>IF(OR($E5&gt;=$B$9,$E5=0,AND(NOT($B$19),$F5&lt;16)),"",MAX(Pricing!$I4,Pricing!$U5))</f>
        <v/>
      </c>
      <c r="R5" s="160" t="str">
        <f>IF($Q5="","",IF($L5=0,E5,COUNTIF($O6:$O$116,"&gt;=" &amp; $O5-$L5*(1-$P5)/$Q5*Pricing!$H5)+$E5))</f>
        <v/>
      </c>
      <c r="S5" s="160" t="str">
        <f>IF($Q5="","",IF($L5=0,0,IF(R5&lt;$B$10,ROUND((L5*(1-P5)-(O5-INDEX(O5:O$116,R5-E5+1))/Pricing!H5*Q5)/(INDEX(Pricing!G5:G$116,R5-E5+1)/Pricing!H5*Q5)*365,0),0)))</f>
        <v/>
      </c>
      <c r="T5" s="232" t="str">
        <f>IF(OR($Q5="",NOT($B$17)),"",IF($R5&lt;$B$10,0,ROUND(MIN(1,($L5-$O5/Pricing!$H5*$Q5)/(Pricing!$R5-Pricing!$O5)),4)))</f>
        <v/>
      </c>
      <c r="U5" s="160" t="str">
        <f>IF($Q5="","",IF($L5=0,0,IF(OR(R5&lt;$B$10,AND($B$17,$T5&lt;1)),0,$L5*(1-$P5)-$O5/Pricing!$H5*$Q5-IF($B$17,Pricing!$R5-Pricing!$O5,0))*IF($B$18=1,1,Pricing!$H5/IF($B$18=2,INDEX(Pricing!$H$5:$H$116,$B$9+1),INDEX(Pricing!$H$5:$H$116,$B$10+1)))))</f>
        <v/>
      </c>
      <c r="V5" s="425">
        <f ca="1">IF($E5="","",(1-$B$24*($B$10-$E5))*MIN($B$22+(1-$B$22)*$E5/MIN($B$23,$B$9),1)*(Pricing!$U5-$I5))</f>
        <v>0</v>
      </c>
    </row>
    <row r="6" spans="1:24" ht="15" thickTop="1" x14ac:dyDescent="0.3">
      <c r="A6" s="206" t="s">
        <v>173</v>
      </c>
      <c r="B6" s="44">
        <f>Pricing!B6</f>
        <v>1</v>
      </c>
      <c r="D6" s="215">
        <v>1</v>
      </c>
      <c r="E6" s="217">
        <f t="shared" si="0"/>
        <v>1</v>
      </c>
      <c r="F6" s="228">
        <f t="shared" si="1"/>
        <v>36</v>
      </c>
      <c r="G6" s="162">
        <f ca="1">IF($E6="","",ROUND((1-$B$24*($B$10-$E6))*MIN($B$22+(1-$B$22)*$E6/MIN($B$23,$B$9),1)*(Pricing!$U6-$I6),0))</f>
        <v>0</v>
      </c>
      <c r="H6" s="163">
        <f t="shared" ref="H6:H69" si="2">IF($E6="","",IF($E6&lt;$B$9,$B$12-ROUND($B$12*$H$3,0),0))</f>
        <v>423</v>
      </c>
      <c r="I6" s="163">
        <f>IF($E6="","",Pricing!$N6+Pricing!$O6)</f>
        <v>0</v>
      </c>
      <c r="J6" s="220">
        <f ca="1">IF(OR($E6=0,$E6=""),"",(NPV($B$13,$I$5:$I6)+$G6*(1+$B$13)^-($E6+1))/NPV($B$13,$H5:$H$5))</f>
        <v>0</v>
      </c>
      <c r="K6" s="220"/>
      <c r="L6" s="163">
        <f ca="1">IF(OR($E6&gt;=$B$9,$E6=0),"",MAX(Pricing!$U6-$I6-0.01*$B$11,$V6))</f>
        <v>0</v>
      </c>
      <c r="M6" s="163">
        <f ca="1">IF($E6="","",ROUND(Pricing!Q6+Pricing!R6-SUMPRODUCT(Pricing!G6:G$116,Pricing!L6:L$116)/Pricing!H6-$I6,0))</f>
        <v>5698</v>
      </c>
      <c r="N6" s="163">
        <f t="shared" ref="N6:N69" ca="1" si="3">IF(OR($E6&gt;=$B$9,$E6=0),"",ROUND(ROUND(L6,0)/M6*$B$11,0))</f>
        <v>0</v>
      </c>
      <c r="O6" s="163">
        <f>IF(E6="","",IF(AND(Pricing!$K$3,$B$19),SUMIF(F6:F$116,"&gt;=" &amp; 16,Pricing!G6:G$116),SUM(Pricing!$G6:$G$116)))</f>
        <v>1846687.4187305868</v>
      </c>
      <c r="P6" s="427">
        <f>IF(OR($E6="",$E6=0),"",IF(OR(NOT($B$19),$F6&gt;=16,$E6=$B$10),0,((1+2.25%)*$P7*Pricing!$H7+(1+Pricing!$K$3)^0.5*Pricing!$G6)/Pricing!$H6))</f>
        <v>0</v>
      </c>
      <c r="Q6" s="163">
        <f ca="1">IF(OR($E6&gt;=$B$9,$E6=0,AND(NOT($B$19),$F6&lt;16)),"",MAX(Pricing!$I5,Pricing!$U6))</f>
        <v>453</v>
      </c>
      <c r="R6" s="163">
        <f ca="1">IF($Q6="","",IF($L6=0,E6,COUNTIF($O7:$O$116,"&gt;=" &amp; $O6-$L6*(1-$P6)/$Q6*Pricing!$H6)+$E6))</f>
        <v>1</v>
      </c>
      <c r="S6" s="163">
        <f ca="1">IF($Q6="","",IF($L6=0,0,IF(R6&lt;$B$10,ROUND((L6*(1-P6)-(O6-INDEX(O6:O$116,R6-E6+1))/Pricing!H6*Q6)/(INDEX(Pricing!G6:G$116,R6-E6+1)/Pricing!H6*Q6)*365,0),0)))</f>
        <v>0</v>
      </c>
      <c r="T6" s="220" t="str">
        <f ca="1">IF(OR($Q6="",NOT($B$17)),"",IF($R6&lt;$B$10,0,ROUND(MIN(1,($L6-$O6/Pricing!$H6*$Q6)/(Pricing!$R6-Pricing!$O6)),4)))</f>
        <v/>
      </c>
      <c r="U6" s="163">
        <f ca="1">IF($Q6="","",IF($L6=0,0,IF(OR(R6&lt;$B$10,AND($B$17,$T6&lt;1)),0,$L6*(1-$P6)-$O6/Pricing!$H6*$Q6-IF($B$17,Pricing!$R6-Pricing!$O6,0))*IF($B$18=1,1,Pricing!$H6/IF($B$18=2,INDEX(Pricing!$H$5:$H$116,$B$9+1),INDEX(Pricing!$H$5:$H$116,$B$10+1)))))</f>
        <v>0</v>
      </c>
      <c r="V6" s="425">
        <f ca="1">IF($E6="","",(1-$B$24*($B$10-$E6))*MIN($B$22+(1-$B$22)*$E6/MIN($B$23,$B$9),1)*(Pricing!$U6-$I6))</f>
        <v>0</v>
      </c>
      <c r="W6" s="35">
        <f>IF($E6="","",IF(F6&gt;16,0,MAX(INDEX($L$6:$L$116,$W$4)*(1+2.25%)^0.5-INDEX($N$6:$N$116,$W$4)/$B$11*Pricing!M6,0)))</f>
        <v>0</v>
      </c>
      <c r="X6" s="428">
        <f>SUMPRODUCT(Reserve!G6:G$116,W6:W$116)/Reserve!H6</f>
        <v>0</v>
      </c>
    </row>
    <row r="7" spans="1:24" x14ac:dyDescent="0.3">
      <c r="A7" s="207" t="s">
        <v>174</v>
      </c>
      <c r="B7" s="40">
        <f>Pricing!B7</f>
        <v>35</v>
      </c>
      <c r="D7" s="215">
        <v>2</v>
      </c>
      <c r="E7" s="217">
        <f t="shared" si="0"/>
        <v>2</v>
      </c>
      <c r="F7" s="228">
        <f t="shared" si="1"/>
        <v>37</v>
      </c>
      <c r="G7" s="162">
        <f ca="1">IF($E7="","",ROUND((1-$B$24*($B$10-$E7))*MIN($B$22+(1-$B$22)*$E7/MIN($B$23,$B$9),1)*(Pricing!$U7-$I7),0))</f>
        <v>343</v>
      </c>
      <c r="H7" s="163">
        <f t="shared" si="2"/>
        <v>423</v>
      </c>
      <c r="I7" s="163">
        <f>IF($E7="","",Pricing!$N7+Pricing!$O7)</f>
        <v>0</v>
      </c>
      <c r="J7" s="220">
        <f ca="1">IF(OR($E7=0,$E7=""),"",(NPV($B$13,$I$5:$I7)+$G7*(1+$B$13)^-($E7+1))/NPV($B$13,$H$5:$H6))</f>
        <v>0.37590511512703589</v>
      </c>
      <c r="K7" s="220"/>
      <c r="L7" s="163">
        <f ca="1">IF(OR($E7&gt;=$B$9,$E7=0),"",MAX(Pricing!$U7-$I7-0.01*$B$11,$V7))</f>
        <v>343.1</v>
      </c>
      <c r="M7" s="163">
        <f ca="1">IF($E7="","",ROUND(Pricing!Q7+Pricing!R7-SUMPRODUCT(Pricing!G7:G$116,Pricing!L7:L$116)/Pricing!H7-$I7,0))</f>
        <v>5885</v>
      </c>
      <c r="N7" s="163">
        <f t="shared" ca="1" si="3"/>
        <v>583</v>
      </c>
      <c r="O7" s="163">
        <f>IF(E7="","",IF(AND(Pricing!$K$3,$B$19),SUMIF(F7:F$116,"&gt;=" &amp; 16,Pricing!G7:G$116),SUM(Pricing!$G7:$G$116)))</f>
        <v>1838840.085937184</v>
      </c>
      <c r="P7" s="427">
        <f>IF(OR($E7="",$E7=0),"",IF(OR(NOT($B$19),$F7&gt;=16,$E7=$B$10),0,((1+2.25%)*$P8*Pricing!$H8+(1+Pricing!$K$3)^0.5*Pricing!$G7)/Pricing!$H7))</f>
        <v>0</v>
      </c>
      <c r="Q7" s="163">
        <f ca="1">IF(OR($E7&gt;=$B$9,$E7=0,AND(NOT($B$19),$F7&lt;16)),"",MAX(Pricing!$I6,Pricing!$U7))</f>
        <v>912</v>
      </c>
      <c r="R7" s="163">
        <f ca="1">IF($Q7="","",IF($L7=0,E7,COUNTIF($O8:$O$116,"&gt;=" &amp; $O7-$L7*(1-$P7)/$Q7*Pricing!$H7)+$E7))</f>
        <v>20</v>
      </c>
      <c r="S7" s="163">
        <f ca="1">IF($Q7="","",IF($L7=0,0,IF(R7&lt;$B$10,ROUND((L7*(1-P7)-(O7-INDEX(O7:O$116,R7-E7+1))/Pricing!H7*Q7)/(INDEX(Pricing!G7:G$116,R7-E7+1)/Pricing!H7*Q7)*365,0),0)))</f>
        <v>39</v>
      </c>
      <c r="T7" s="220" t="str">
        <f ca="1">IF(OR($Q7="",NOT($B$17)),"",IF($R7&lt;$B$10,0,ROUND(MIN(1,($L7-$O7/Pricing!$H7*$Q7)/(Pricing!$R7-Pricing!$O7)),4)))</f>
        <v/>
      </c>
      <c r="U7" s="163">
        <f ca="1">IF($Q7="","",IF($L7=0,0,IF(OR(R7&lt;$B$10,AND($B$17,$T7&lt;1)),0,$L7*(1-$P7)-$O7/Pricing!$H7*$Q7-IF($B$17,Pricing!$R7-Pricing!$O7,0))*IF($B$18=1,1,Pricing!$H7/IF($B$18=2,INDEX(Pricing!$H$5:$H$116,$B$9+1),INDEX(Pricing!$H$5:$H$116,$B$10+1)))))</f>
        <v>0</v>
      </c>
      <c r="V7" s="425">
        <f ca="1">IF($E7="","",(1-$B$24*($B$10-$E7))*MIN($B$22+(1-$B$22)*$E7/MIN($B$23,$B$9),1)*(Pricing!$U7-$I7))</f>
        <v>343.1</v>
      </c>
      <c r="W7" s="35">
        <f>IF($E7="","",IF(F7&gt;16,0,MAX(INDEX($L$6:$L$116,$W$4)*(1+2.25%)^0.5-INDEX($N$6:$N$116,$W$4)/$B$11*Pricing!M7,0)))</f>
        <v>0</v>
      </c>
      <c r="X7" s="428">
        <f>SUMPRODUCT(Reserve!G7:G$116,W7:W$116)/Reserve!H7</f>
        <v>0</v>
      </c>
    </row>
    <row r="8" spans="1:24" x14ac:dyDescent="0.3">
      <c r="A8" s="207" t="s">
        <v>175</v>
      </c>
      <c r="B8" s="40">
        <f>Pricing!B8</f>
        <v>4</v>
      </c>
      <c r="D8" s="215">
        <v>3</v>
      </c>
      <c r="E8" s="217">
        <f t="shared" si="0"/>
        <v>3</v>
      </c>
      <c r="F8" s="228">
        <f t="shared" si="1"/>
        <v>38</v>
      </c>
      <c r="G8" s="162">
        <f ca="1">IF($E8="","",ROUND((1-$B$24*($B$10-$E8))*MIN($B$22+(1-$B$22)*$E8/MIN($B$23,$B$9),1)*(Pricing!$U8-$I8),0))</f>
        <v>707</v>
      </c>
      <c r="H8" s="163">
        <f t="shared" si="2"/>
        <v>423</v>
      </c>
      <c r="I8" s="163">
        <f>IF($E8="","",Pricing!$N8+Pricing!$O8)</f>
        <v>0</v>
      </c>
      <c r="J8" s="220">
        <f ca="1">IF(OR($E8=0,$E8=""),"",(NPV($B$13,$I$5:$I8)+$G8*(1+$B$13)^-($E8+1))/NPV($B$13,$H$5:$H7))</f>
        <v>0.51379620046291408</v>
      </c>
      <c r="K8" s="220"/>
      <c r="L8" s="163">
        <f ca="1">IF(OR($E8&gt;=$B$9,$E8=0),"",MAX(Pricing!$U8-$I8-0.01*$B$11,$V8))</f>
        <v>784</v>
      </c>
      <c r="M8" s="163">
        <f ca="1">IF($E8="","",ROUND(Pricing!Q8+Pricing!R8-SUMPRODUCT(Pricing!G8:G$116,Pricing!L8:L$116)/Pricing!H8-$I8,0))</f>
        <v>6078</v>
      </c>
      <c r="N8" s="163">
        <f t="shared" ca="1" si="3"/>
        <v>1290</v>
      </c>
      <c r="O8" s="163">
        <f>IF(E8="","",IF(AND(Pricing!$K$3,$B$19),SUMIF(F8:F$116,"&gt;=" &amp; 16,Pricing!G8:G$116),SUM(Pricing!$G8:$G$116)))</f>
        <v>1830562.8523146319</v>
      </c>
      <c r="P8" s="427">
        <f>IF(OR($E8="",$E8=0),"",IF(OR(NOT($B$19),$F8&gt;=16,$E8=$B$10),0,((1+2.25%)*$P9*Pricing!$H9+(1+Pricing!$K$3)^0.5*Pricing!$G8)/Pricing!$H8))</f>
        <v>0</v>
      </c>
      <c r="Q8" s="163">
        <f ca="1">IF(OR($E8&gt;=$B$9,$E8=0,AND(NOT($B$19),$F8&lt;16)),"",MAX(Pricing!$I7,Pricing!$U8))</f>
        <v>1374</v>
      </c>
      <c r="R8" s="163">
        <f ca="1">IF($Q8="","",IF($L8=0,E8,COUNTIF($O9:$O$116,"&gt;=" &amp; $O8-$L8*(1-$P8)/$Q8*Pricing!$H8)+$E8))</f>
        <v>27</v>
      </c>
      <c r="S8" s="163">
        <f ca="1">IF($Q8="","",IF($L8=0,0,IF(R8&lt;$B$10,ROUND((L8*(1-P8)-(O8-INDEX(O8:O$116,R8-E8+1))/Pricing!H8*Q8)/(INDEX(Pricing!G8:G$116,R8-E8+1)/Pricing!H8*Q8)*365,0),0)))</f>
        <v>187</v>
      </c>
      <c r="T8" s="220" t="str">
        <f ca="1">IF(OR($Q8="",NOT($B$17)),"",IF($R8&lt;$B$10,0,ROUND(MIN(1,($L8-$O8/Pricing!$H8*$Q8)/(Pricing!$R8-Pricing!$O8)),4)))</f>
        <v/>
      </c>
      <c r="U8" s="163">
        <f ca="1">IF($Q8="","",IF($L8=0,0,IF(OR(R8&lt;$B$10,AND($B$17,$T8&lt;1)),0,$L8*(1-$P8)-$O8/Pricing!$H8*$Q8-IF($B$17,Pricing!$R8-Pricing!$O8,0))*IF($B$18=1,1,Pricing!$H8/IF($B$18=2,INDEX(Pricing!$H$5:$H$116,$B$9+1),INDEX(Pricing!$H$5:$H$116,$B$10+1)))))</f>
        <v>0</v>
      </c>
      <c r="V8" s="425">
        <f ca="1">IF($E8="","",(1-$B$24*($B$10-$E8))*MIN($B$22+(1-$B$22)*$E8/MIN($B$23,$B$9),1)*(Pricing!$U8-$I8))</f>
        <v>707.2</v>
      </c>
      <c r="W8" s="35">
        <f>IF($E8="","",IF(F8&gt;16,0,MAX(INDEX($L$6:$L$116,$W$4)*(1+2.25%)^0.5-INDEX($N$6:$N$116,$W$4)/$B$11*Pricing!M8,0)))</f>
        <v>0</v>
      </c>
      <c r="X8" s="428">
        <f>SUMPRODUCT(Reserve!G8:G$116,W8:W$116)/Reserve!H8</f>
        <v>0</v>
      </c>
    </row>
    <row r="9" spans="1:24" x14ac:dyDescent="0.3">
      <c r="A9" s="207" t="s">
        <v>176</v>
      </c>
      <c r="B9" s="40">
        <f>Pricing!B9</f>
        <v>20</v>
      </c>
      <c r="D9" s="215">
        <v>4</v>
      </c>
      <c r="E9" s="217">
        <f t="shared" si="0"/>
        <v>4</v>
      </c>
      <c r="F9" s="228">
        <f t="shared" si="1"/>
        <v>39</v>
      </c>
      <c r="G9" s="162">
        <f ca="1">IF($E9="","",ROUND((1-$B$24*($B$10-$E9))*MIN($B$22+(1-$B$22)*$E9/MIN($B$23,$B$9),1)*(Pricing!$U9-$I9),0))</f>
        <v>1094</v>
      </c>
      <c r="H9" s="163">
        <f t="shared" si="2"/>
        <v>423</v>
      </c>
      <c r="I9" s="163">
        <f>IF($E9="","",Pricing!$N9+Pricing!$O9)</f>
        <v>0</v>
      </c>
      <c r="J9" s="220">
        <f ca="1">IF(OR($E9=0,$E9=""),"",(NPV($B$13,$I$5:$I9)+$G9*(1+$B$13)^-($E9+1))/NPV($B$13,$H$5:$H8))</f>
        <v>0.5930954314344794</v>
      </c>
      <c r="K9" s="220"/>
      <c r="L9" s="163">
        <f ca="1">IF(OR($E9&gt;=$B$9,$E9=0),"",MAX(Pricing!$U9-$I9-0.01*$B$11,$V9))</f>
        <v>1240</v>
      </c>
      <c r="M9" s="163">
        <f ca="1">IF($E9="","",ROUND(Pricing!Q9+Pricing!R9-SUMPRODUCT(Pricing!G9:G$116,Pricing!L9:L$116)/Pricing!H9-$I9,0))</f>
        <v>6278</v>
      </c>
      <c r="N9" s="163">
        <f t="shared" ca="1" si="3"/>
        <v>1975</v>
      </c>
      <c r="O9" s="163">
        <f>IF(E9="","",IF(AND(Pricing!$K$3,$B$19),SUMIF(F9:F$116,"&gt;=" &amp; 16,Pricing!G9:G$116),SUM(Pricing!$G9:$G$116)))</f>
        <v>1821848.7167115903</v>
      </c>
      <c r="P9" s="427">
        <f>IF(OR($E9="",$E9=0),"",IF(OR(NOT($B$19),$F9&gt;=16,$E9=$B$10),0,((1+2.25%)*$P10*Pricing!$H10+(1+Pricing!$K$3)^0.5*Pricing!$G9)/Pricing!$H9))</f>
        <v>0</v>
      </c>
      <c r="Q9" s="163">
        <f ca="1">IF(OR($E9&gt;=$B$9,$E9=0,AND(NOT($B$19),$F9&lt;16)),"",MAX(Pricing!$I8,Pricing!$U9))</f>
        <v>1841</v>
      </c>
      <c r="R9" s="163">
        <f ca="1">IF($Q9="","",IF($L9=0,E9,COUNTIF($O10:$O$116,"&gt;=" &amp; $O9-$L9*(1-$P9)/$Q9*Pricing!$H9)+$E9))</f>
        <v>33</v>
      </c>
      <c r="S9" s="163">
        <f ca="1">IF($Q9="","",IF($L9=0,0,IF(R9&lt;$B$10,ROUND((L9*(1-P9)-(O9-INDEX(O9:O$116,R9-E9+1))/Pricing!H9*Q9)/(INDEX(Pricing!G9:G$116,R9-E9+1)/Pricing!H9*Q9)*365,0),0)))</f>
        <v>244</v>
      </c>
      <c r="T9" s="220" t="str">
        <f ca="1">IF(OR($Q9="",NOT($B$17)),"",IF($R9&lt;$B$10,0,ROUND(MIN(1,($L9-$O9/Pricing!$H9*$Q9)/(Pricing!$R9-Pricing!$O9)),4)))</f>
        <v/>
      </c>
      <c r="U9" s="163">
        <f ca="1">IF($Q9="","",IF($L9=0,0,IF(OR(R9&lt;$B$10,AND($B$17,$T9&lt;1)),0,$L9*(1-$P9)-$O9/Pricing!$H9*$Q9-IF($B$17,Pricing!$R9-Pricing!$O9,0))*IF($B$18=1,1,Pricing!$H9/IF($B$18=2,INDEX(Pricing!$H$5:$H$116,$B$9+1),INDEX(Pricing!$H$5:$H$116,$B$10+1)))))</f>
        <v>0</v>
      </c>
      <c r="V9" s="425">
        <f ca="1">IF($E9="","",(1-$B$24*($B$10-$E9))*MIN($B$22+(1-$B$22)*$E9/MIN($B$23,$B$9),1)*(Pricing!$U9-$I9))</f>
        <v>1094.3333333333333</v>
      </c>
      <c r="W9" s="35">
        <f>IF($E9="","",IF(F9&gt;16,0,MAX(INDEX($L$6:$L$116,$W$4)*(1+2.25%)^0.5-INDEX($N$6:$N$116,$W$4)/$B$11*Pricing!M9,0)))</f>
        <v>0</v>
      </c>
      <c r="X9" s="428">
        <f>SUMPRODUCT(Reserve!G9:G$116,W9:W$116)/Reserve!H9</f>
        <v>0</v>
      </c>
    </row>
    <row r="10" spans="1:24" x14ac:dyDescent="0.3">
      <c r="A10" s="207" t="s">
        <v>177</v>
      </c>
      <c r="B10" s="40">
        <f>Pricing!B10</f>
        <v>75</v>
      </c>
      <c r="D10" s="215">
        <v>5</v>
      </c>
      <c r="E10" s="233">
        <f t="shared" si="0"/>
        <v>5</v>
      </c>
      <c r="F10" s="234">
        <f t="shared" si="1"/>
        <v>40</v>
      </c>
      <c r="G10" s="165">
        <f ca="1">IF($E10="","",ROUND((1-$B$24*($B$10-$E10))*MIN($B$22+(1-$B$22)*$E10/MIN($B$23,$B$9),1)*(Pricing!$U10-$I10),0))</f>
        <v>1504</v>
      </c>
      <c r="H10" s="166">
        <f t="shared" si="2"/>
        <v>423</v>
      </c>
      <c r="I10" s="166">
        <f>IF($E10="","",Pricing!$N10+Pricing!$O10)</f>
        <v>0</v>
      </c>
      <c r="J10" s="235">
        <f ca="1">IF(OR($E10=0,$E10=""),"",(NPV($B$13,$I$5:$I10)+$G10*(1+$B$13)^-($E10+1))/NPV($B$13,$H$5:$H9))</f>
        <v>0.64880695915832198</v>
      </c>
      <c r="K10" s="235"/>
      <c r="L10" s="166">
        <f ca="1">IF(OR($E10&gt;=$B$9,$E10=0),"",MAX(Pricing!$U10-$I10-0.01*$B$11,$V10))</f>
        <v>1705</v>
      </c>
      <c r="M10" s="166">
        <f ca="1">IF($E10="","",ROUND(Pricing!Q10+Pricing!R10-SUMPRODUCT(Pricing!G10:G$116,Pricing!L10:L$116)/Pricing!H10-$I10,0))</f>
        <v>6485</v>
      </c>
      <c r="N10" s="166">
        <f t="shared" ca="1" si="3"/>
        <v>2629</v>
      </c>
      <c r="O10" s="166">
        <f>IF(E10="","",IF(AND(Pricing!$K$3,$B$19),SUMIF(F10:F$116,"&gt;=" &amp; 16,Pricing!G10:G$116),SUM(Pricing!$G10:$G$116)))</f>
        <v>1812678.1453491028</v>
      </c>
      <c r="P10" s="429">
        <f>IF(OR($E10="",$E10=0),"",IF(OR(NOT($B$19),$F10&gt;=16,$E10=$B$10),0,((1+2.25%)*$P11*Pricing!$H11+(1+Pricing!$K$3)^0.5*Pricing!$G10)/Pricing!$H10))</f>
        <v>0</v>
      </c>
      <c r="Q10" s="166">
        <f ca="1">IF(OR($E10&gt;=$B$9,$E10=0,AND(NOT($B$19),$F10&lt;16)),"",MAX(Pricing!$I9,Pricing!$U10))</f>
        <v>2313</v>
      </c>
      <c r="R10" s="166">
        <f ca="1">IF($Q10="","",IF($L10=0,E10,COUNTIF($O11:$O$116,"&gt;=" &amp; $O10-$L10*(1-$P10)/$Q10*Pricing!$H10)+$E10))</f>
        <v>45</v>
      </c>
      <c r="S10" s="166">
        <f ca="1">IF($Q10="","",IF($L10=0,0,IF(R10&lt;$B$10,ROUND((L10*(1-P10)-(O10-INDEX(O10:O$116,R10-E10+1))/Pricing!H10*Q10)/(INDEX(Pricing!G10:G$116,R10-E10+1)/Pricing!H10*Q10)*365,0),0)))</f>
        <v>0</v>
      </c>
      <c r="T10" s="235" t="str">
        <f ca="1">IF(OR($Q10="",NOT($B$17)),"",IF($R10&lt;$B$10,0,ROUND(MIN(1,($L10-$O10/Pricing!$H10*$Q10)/(Pricing!$R10-Pricing!$O10)),4)))</f>
        <v/>
      </c>
      <c r="U10" s="166">
        <f ca="1">IF($Q10="","",IF($L10=0,0,IF(OR(R10&lt;$B$10,AND($B$17,$T10&lt;1)),0,$L10*(1-$P10)-$O10/Pricing!$H10*$Q10-IF($B$17,Pricing!$R10-Pricing!$O10,0))*IF($B$18=1,1,Pricing!$H10/IF($B$18=2,INDEX(Pricing!$H$5:$H$116,$B$9+1),INDEX(Pricing!$H$5:$H$116,$B$10+1)))))</f>
        <v>60.045653761218546</v>
      </c>
      <c r="V10" s="425">
        <f ca="1">IF($E10="","",(1-$B$24*($B$10-$E10))*MIN($B$22+(1-$B$22)*$E10/MIN($B$23,$B$9),1)*(Pricing!$U10-$I10))</f>
        <v>1504.1666666666667</v>
      </c>
      <c r="W10" s="35">
        <f>IF($E10="","",IF(F10&gt;16,0,MAX(INDEX($L$6:$L$116,$W$4)*(1+2.25%)^0.5-INDEX($N$6:$N$116,$W$4)/$B$11*Pricing!M10,0)))</f>
        <v>0</v>
      </c>
      <c r="X10" s="428">
        <f>SUMPRODUCT(Reserve!G10:G$116,W10:W$116)/Reserve!H10</f>
        <v>0</v>
      </c>
    </row>
    <row r="11" spans="1:24" x14ac:dyDescent="0.3">
      <c r="A11" s="207" t="s">
        <v>178</v>
      </c>
      <c r="B11" s="149">
        <f>Pricing!B11</f>
        <v>10000</v>
      </c>
      <c r="D11" s="215">
        <v>6</v>
      </c>
      <c r="E11" s="217">
        <f t="shared" si="0"/>
        <v>6</v>
      </c>
      <c r="F11" s="228">
        <f t="shared" si="1"/>
        <v>41</v>
      </c>
      <c r="G11" s="162">
        <f ca="1">IF($E11="","",ROUND((1-$B$24*($B$10-$E11))*MIN($B$22+(1-$B$22)*$E11/MIN($B$23,$B$9),1)*(Pricing!$U11-$I11),0))</f>
        <v>1937</v>
      </c>
      <c r="H11" s="163">
        <f t="shared" si="2"/>
        <v>423</v>
      </c>
      <c r="I11" s="163">
        <f>IF($E11="","",Pricing!$N11+Pricing!$O11)</f>
        <v>0</v>
      </c>
      <c r="J11" s="220">
        <f ca="1">IF(OR($E11=0,$E11=""),"",(NPV($B$13,$I$5:$I11)+$G11*(1+$B$13)^-($E11+1))/NPV($B$13,$H$5:$H10))</f>
        <v>0.69259979461569787</v>
      </c>
      <c r="K11" s="220">
        <f ca="1">IF($E11="","",IFERROR(((G11+I11)/(NPV(K11,H$5:H10)*(1+K11)-NPV(K11,I$5:I10)*(1+K11)))^(1/E11)-1,0))</f>
        <v>-9.3591095247461786E-2</v>
      </c>
      <c r="L11" s="163">
        <f ca="1">IF(OR($E11&gt;=$B$9,$E11=0),"",MAX(Pricing!$U11-$I11-0.01*$B$11,$V11))</f>
        <v>2179</v>
      </c>
      <c r="M11" s="163">
        <f ca="1">IF($E11="","",ROUND(Pricing!Q11+Pricing!R11-SUMPRODUCT(Pricing!G11:G$116,Pricing!L11:L$116)/Pricing!H11-$I11,0))</f>
        <v>6699</v>
      </c>
      <c r="N11" s="163">
        <f t="shared" ca="1" si="3"/>
        <v>3253</v>
      </c>
      <c r="O11" s="163">
        <f>IF(E11="","",IF(AND(Pricing!$K$3,$B$19),SUMIF(F11:F$116,"&gt;=" &amp; 16,Pricing!G11:G$116),SUM(Pricing!$G11:$G$116)))</f>
        <v>1803027.5252850072</v>
      </c>
      <c r="P11" s="427">
        <f>IF(OR($E11="",$E11=0),"",IF(OR(NOT($B$19),$F11&gt;=16,$E11=$B$10),0,((1+2.25%)*$P12*Pricing!$H12+(1+Pricing!$K$3)^0.5*Pricing!$G11)/Pricing!$H11))</f>
        <v>0</v>
      </c>
      <c r="Q11" s="163">
        <f ca="1">IF(OR($E11&gt;=$B$9,$E11=0,AND(NOT($B$19),$F11&lt;16)),"",MAX(Pricing!$I10,Pricing!$U11))</f>
        <v>2790</v>
      </c>
      <c r="R11" s="163">
        <f ca="1">IF($Q11="","",IF($L11=0,E11,COUNTIF($O12:$O$116,"&gt;=" &amp; $O11-$L11*(1-$P11)/$Q11*Pricing!$H11)+$E11))</f>
        <v>45</v>
      </c>
      <c r="S11" s="163">
        <f ca="1">IF($Q11="","",IF($L11=0,0,IF(R11&lt;$B$10,ROUND((L11*(1-P11)-(O11-INDEX(O11:O$116,R11-E11+1))/Pricing!H11*Q11)/(INDEX(Pricing!G11:G$116,R11-E11+1)/Pricing!H11*Q11)*365,0),0)))</f>
        <v>0</v>
      </c>
      <c r="T11" s="220" t="str">
        <f ca="1">IF(OR($Q11="",NOT($B$17)),"",IF($R11&lt;$B$10,0,ROUND(MIN(1,($L11-$O11/Pricing!$H11*$Q11)/(Pricing!$R11-Pricing!$O11)),4)))</f>
        <v/>
      </c>
      <c r="U11" s="163">
        <f ca="1">IF($Q11="","",IF($L11=0,0,IF(OR(R11&lt;$B$10,AND($B$17,$T11&lt;1)),0,$L11*(1-$P11)-$O11/Pricing!$H11*$Q11-IF($B$17,Pricing!$R11-Pricing!$O11,0))*IF($B$18=1,1,Pricing!$H11/IF($B$18=2,INDEX(Pricing!$H$5:$H$116,$B$9+1),INDEX(Pricing!$H$5:$H$116,$B$10+1)))))</f>
        <v>164.27335763625297</v>
      </c>
      <c r="V11" s="425">
        <f ca="1">IF($E11="","",(1-$B$24*($B$10-$E11))*MIN($B$22+(1-$B$22)*$E11/MIN($B$23,$B$9),1)*(Pricing!$U11-$I11))</f>
        <v>1937.1499999999999</v>
      </c>
      <c r="W11" s="35">
        <f>IF($E11="","",IF(F11&gt;16,0,MAX(INDEX($L$6:$L$116,$W$4)*(1+2.25%)^0.5-INDEX($N$6:$N$116,$W$4)/$B$11*Pricing!M11,0)))</f>
        <v>0</v>
      </c>
      <c r="X11" s="428">
        <f>SUMPRODUCT(Reserve!G11:G$116,W11:W$116)/Reserve!H11</f>
        <v>0</v>
      </c>
    </row>
    <row r="12" spans="1:24" x14ac:dyDescent="0.3">
      <c r="A12" s="207" t="s">
        <v>104</v>
      </c>
      <c r="B12" s="149">
        <f>Pricing!B12</f>
        <v>423</v>
      </c>
      <c r="C12" s="216"/>
      <c r="D12" s="215">
        <v>7</v>
      </c>
      <c r="E12" s="217">
        <f t="shared" si="0"/>
        <v>7</v>
      </c>
      <c r="F12" s="228">
        <f t="shared" si="1"/>
        <v>42</v>
      </c>
      <c r="G12" s="162">
        <f ca="1">IF($E12="","",ROUND((1-$B$24*($B$10-$E12))*MIN($B$22+(1-$B$22)*$E12/MIN($B$23,$B$9),1)*(Pricing!$U12-$I12),0))</f>
        <v>2395</v>
      </c>
      <c r="H12" s="163">
        <f t="shared" si="2"/>
        <v>423</v>
      </c>
      <c r="I12" s="163">
        <f>IF($E12="","",Pricing!$N12+Pricing!$O12)</f>
        <v>0</v>
      </c>
      <c r="J12" s="220">
        <f ca="1">IF(OR($E12=0,$E12=""),"",(NPV($B$13,$I$5:$I12)+$G12*(1+$B$13)^-($E12+1))/NPV($B$13,$H$5:$H11))</f>
        <v>0.73008544016386456</v>
      </c>
      <c r="K12" s="220">
        <f ca="1">IF($E12="","",IFERROR(((G12+I12)/(NPV(K12,H$5:H11)*(1+K12)-NPV(K12,I$5:I11)*(1+K12)))^(1/E12)-1,0))</f>
        <v>-6.8000726590822902E-2</v>
      </c>
      <c r="L12" s="163">
        <f ca="1">IF(OR($E12&gt;=$B$9,$E12=0),"",MAX(Pricing!$U12-$I12-0.01*$B$11,$V12))</f>
        <v>2663</v>
      </c>
      <c r="M12" s="163">
        <f ca="1">IF($E12="","",ROUND(Pricing!Q12+Pricing!R12-SUMPRODUCT(Pricing!G12:G$116,Pricing!L12:L$116)/Pricing!H12-$I12,0))</f>
        <v>6920</v>
      </c>
      <c r="N12" s="163">
        <f t="shared" ca="1" si="3"/>
        <v>3848</v>
      </c>
      <c r="O12" s="163">
        <f>IF(E12="","",IF(AND(Pricing!$K$3,$B$19),SUMIF(F12:F$116,"&gt;=" &amp; 16,Pricing!G12:G$116),SUM(Pricing!$G12:$G$116)))</f>
        <v>1792866.0262766294</v>
      </c>
      <c r="P12" s="427">
        <f>IF(OR($E12="",$E12=0),"",IF(OR(NOT($B$19),$F12&gt;=16,$E12=$B$10),0,((1+2.25%)*$P13*Pricing!$H13+(1+Pricing!$K$3)^0.5*Pricing!$G12)/Pricing!$H12))</f>
        <v>0</v>
      </c>
      <c r="Q12" s="163">
        <f ca="1">IF(OR($E12&gt;=$B$9,$E12=0,AND(NOT($B$19),$F12&lt;16)),"",MAX(Pricing!$I11,Pricing!$U12))</f>
        <v>3271</v>
      </c>
      <c r="R12" s="163">
        <f ca="1">IF($Q12="","",IF($L12=0,E12,COUNTIF($O13:$O$116,"&gt;=" &amp; $O12-$L12*(1-$P12)/$Q12*Pricing!$H12)+$E12))</f>
        <v>45</v>
      </c>
      <c r="S12" s="163">
        <f ca="1">IF($Q12="","",IF($L12=0,0,IF(R12&lt;$B$10,ROUND((L12*(1-P12)-(O12-INDEX(O12:O$116,R12-E12+1))/Pricing!H12*Q12)/(INDEX(Pricing!G12:G$116,R12-E12+1)/Pricing!H12*Q12)*365,0),0)))</f>
        <v>0</v>
      </c>
      <c r="T12" s="220" t="str">
        <f ca="1">IF(OR($Q12="",NOT($B$17)),"",IF($R12&lt;$B$10,0,ROUND(MIN(1,($L12-$O12/Pricing!$H12*$Q12)/(Pricing!$R12-Pricing!$O12)),4)))</f>
        <v/>
      </c>
      <c r="U12" s="163">
        <f ca="1">IF($Q12="","",IF($L12=0,0,IF(OR(R12&lt;$B$10,AND($B$17,$T12&lt;1)),0,$L12*(1-$P12)-$O12/Pricing!$H12*$Q12-IF($B$17,Pricing!$R12-Pricing!$O12,0))*IF($B$18=1,1,Pricing!$H12/IF($B$18=2,INDEX(Pricing!$H$5:$H$116,$B$9+1),INDEX(Pricing!$H$5:$H$116,$B$10+1)))))</f>
        <v>265.37499228165098</v>
      </c>
      <c r="V12" s="425">
        <f ca="1">IF($E12="","",(1-$B$24*($B$10-$E12))*MIN($B$22+(1-$B$22)*$E12/MIN($B$23,$B$9),1)*(Pricing!$U12-$I12))</f>
        <v>2394.6</v>
      </c>
      <c r="W12" s="35">
        <f>IF($E12="","",IF(F12&gt;16,0,MAX(INDEX($L$6:$L$116,$W$4)*(1+2.25%)^0.5-INDEX($N$6:$N$116,$W$4)/$B$11*Pricing!M12,0)))</f>
        <v>0</v>
      </c>
      <c r="X12" s="428">
        <f>SUMPRODUCT(Reserve!G12:G$116,W12:W$116)/Reserve!H12</f>
        <v>0</v>
      </c>
    </row>
    <row r="13" spans="1:24" x14ac:dyDescent="0.3">
      <c r="A13" s="207" t="s">
        <v>179</v>
      </c>
      <c r="B13" s="192">
        <v>1.0699999999999999E-2</v>
      </c>
      <c r="D13" s="215">
        <v>8</v>
      </c>
      <c r="E13" s="217">
        <f t="shared" si="0"/>
        <v>8</v>
      </c>
      <c r="F13" s="228">
        <f t="shared" si="1"/>
        <v>43</v>
      </c>
      <c r="G13" s="162">
        <f ca="1">IF($E13="","",ROUND((1-$B$24*($B$10-$E13))*MIN($B$22+(1-$B$22)*$E13/MIN($B$23,$B$9),1)*(Pricing!$U13-$I13),0))</f>
        <v>2877</v>
      </c>
      <c r="H13" s="163">
        <f t="shared" si="2"/>
        <v>423</v>
      </c>
      <c r="I13" s="163">
        <f>IF($E13="","",Pricing!$N13+Pricing!$O13)</f>
        <v>0</v>
      </c>
      <c r="J13" s="220">
        <f ca="1">IF(OR($E13=0,$E13=""),"",(NPV($B$13,$I$5:$I13)+$G13*(1+$B$13)^-($E13+1))/NPV($B$13,$H$5:$H12))</f>
        <v>0.76326299638591932</v>
      </c>
      <c r="K13" s="220">
        <f ca="1">IF($E13="","",IFERROR(((G13+I13)/(NPV(K13,H$5:H12)*(1+K13)-NPV(K13,I$5:I12)*(1+K13)))^(1/E13)-1,0))</f>
        <v>-4.9559495034303569E-2</v>
      </c>
      <c r="L13" s="163">
        <f ca="1">IF(OR($E13&gt;=$B$9,$E13=0),"",MAX(Pricing!$U13-$I13-0.01*$B$11,$V13))</f>
        <v>3157</v>
      </c>
      <c r="M13" s="163">
        <f ca="1">IF($E13="","",ROUND(Pricing!Q13+Pricing!R13-SUMPRODUCT(Pricing!G13:G$116,Pricing!L13:L$116)/Pricing!H13-$I13,0))</f>
        <v>7147</v>
      </c>
      <c r="N13" s="163">
        <f t="shared" ca="1" si="3"/>
        <v>4417</v>
      </c>
      <c r="O13" s="163">
        <f>IF(E13="","",IF(AND(Pricing!$K$3,$B$19),SUMIF(F13:F$116,"&gt;=" &amp; 16,Pricing!G13:G$116),SUM(Pricing!$G13:$G$116)))</f>
        <v>1782156.3261435002</v>
      </c>
      <c r="P13" s="427">
        <f>IF(OR($E13="",$E13=0),"",IF(OR(NOT($B$19),$F13&gt;=16,$E13=$B$10),0,((1+2.25%)*$P14*Pricing!$H14+(1+Pricing!$K$3)^0.5*Pricing!$G13)/Pricing!$H13))</f>
        <v>0</v>
      </c>
      <c r="Q13" s="163">
        <f ca="1">IF(OR($E13&gt;=$B$9,$E13=0,AND(NOT($B$19),$F13&lt;16)),"",MAX(Pricing!$I12,Pricing!$U13))</f>
        <v>3757</v>
      </c>
      <c r="R13" s="163">
        <f ca="1">IF($Q13="","",IF($L13=0,E13,COUNTIF($O14:$O$116,"&gt;=" &amp; $O13-$L13*(1-$P13)/$Q13*Pricing!$H13)+$E13))</f>
        <v>45</v>
      </c>
      <c r="S13" s="163">
        <f ca="1">IF($Q13="","",IF($L13=0,0,IF(R13&lt;$B$10,ROUND((L13*(1-P13)-(O13-INDEX(O13:O$116,R13-E13+1))/Pricing!H13*Q13)/(INDEX(Pricing!G13:G$116,R13-E13+1)/Pricing!H13*Q13)*365,0),0)))</f>
        <v>0</v>
      </c>
      <c r="T13" s="220" t="str">
        <f ca="1">IF(OR($Q13="",NOT($B$17)),"",IF($R13&lt;$B$10,0,ROUND(MIN(1,($L13-$O13/Pricing!$H13*$Q13)/(Pricing!$R13-Pricing!$O13)),4)))</f>
        <v/>
      </c>
      <c r="U13" s="163">
        <f ca="1">IF($Q13="","",IF($L13=0,0,IF(OR(R13&lt;$B$10,AND($B$17,$T13&lt;1)),0,$L13*(1-$P13)-$O13/Pricing!$H13*$Q13-IF($B$17,Pricing!$R13-Pricing!$O13,0))*IF($B$18=1,1,Pricing!$H13/IF($B$18=2,INDEX(Pricing!$H$5:$H$116,$B$9+1),INDEX(Pricing!$H$5:$H$116,$B$10+1)))))</f>
        <v>362.64829629970791</v>
      </c>
      <c r="V13" s="425">
        <f ca="1">IF($E13="","",(1-$B$24*($B$10-$E13))*MIN($B$22+(1-$B$22)*$E13/MIN($B$23,$B$9),1)*(Pricing!$U13-$I13))</f>
        <v>2877.0166666666664</v>
      </c>
      <c r="W13" s="35">
        <f>IF($E13="","",IF(F13&gt;16,0,MAX(INDEX($L$6:$L$116,$W$4)*(1+2.25%)^0.5-INDEX($N$6:$N$116,$W$4)/$B$11*Pricing!M13,0)))</f>
        <v>0</v>
      </c>
      <c r="X13" s="428">
        <f>SUMPRODUCT(Reserve!G13:G$116,W13:W$116)/Reserve!H13</f>
        <v>0</v>
      </c>
    </row>
    <row r="14" spans="1:24" ht="15" thickBot="1" x14ac:dyDescent="0.35">
      <c r="A14" s="208" t="s">
        <v>180</v>
      </c>
      <c r="B14" s="202">
        <v>0.01</v>
      </c>
      <c r="D14" s="215">
        <v>9</v>
      </c>
      <c r="E14" s="217">
        <f t="shared" si="0"/>
        <v>9</v>
      </c>
      <c r="F14" s="228">
        <f t="shared" si="1"/>
        <v>44</v>
      </c>
      <c r="G14" s="162">
        <f ca="1">IF($E14="","",ROUND((1-$B$24*($B$10-$E14))*MIN($B$22+(1-$B$22)*$E14/MIN($B$23,$B$9),1)*(Pricing!$U14-$I14),0))</f>
        <v>3385</v>
      </c>
      <c r="H14" s="163">
        <f t="shared" si="2"/>
        <v>423</v>
      </c>
      <c r="I14" s="163">
        <f>IF($E14="","",Pricing!$N14+Pricing!$O14)</f>
        <v>0</v>
      </c>
      <c r="J14" s="220">
        <f ca="1">IF(OR($E14=0,$E14=""),"",(NPV($B$13,$I$5:$I14)+$G14*(1+$B$13)^-($E14+1))/NPV($B$13,$H$5:$H13))</f>
        <v>0.79395250212623336</v>
      </c>
      <c r="K14" s="220">
        <f ca="1">IF($E14="","",IFERROR(((G14+I14)/(NPV(K14,H$5:H13)*(1+K14)-NPV(K14,I$5:I13)*(1+K14)))^(1/E14)-1,0))</f>
        <v>-3.5654452382680057E-2</v>
      </c>
      <c r="L14" s="163">
        <f ca="1">IF(OR($E14&gt;=$B$9,$E14=0),"",MAX(Pricing!$U14-$I14-0.01*$B$11,$V14))</f>
        <v>3661</v>
      </c>
      <c r="M14" s="163">
        <f ca="1">IF($E14="","",ROUND(Pricing!Q14+Pricing!R14-SUMPRODUCT(Pricing!G14:G$116,Pricing!L14:L$116)/Pricing!H14-$I14,0))</f>
        <v>7380</v>
      </c>
      <c r="N14" s="163">
        <f t="shared" ca="1" si="3"/>
        <v>4961</v>
      </c>
      <c r="O14" s="163">
        <f>IF(E14="","",IF(AND(Pricing!$K$3,$B$19),SUMIF(F14:F$116,"&gt;=" &amp; 16,Pricing!G14:G$116),SUM(Pricing!$G14:$G$116)))</f>
        <v>1770856.434003887</v>
      </c>
      <c r="P14" s="427">
        <f>IF(OR($E14="",$E14=0),"",IF(OR(NOT($B$19),$F14&gt;=16,$E14=$B$10),0,((1+2.25%)*$P15*Pricing!$H15+(1+Pricing!$K$3)^0.5*Pricing!$G14)/Pricing!$H14))</f>
        <v>0</v>
      </c>
      <c r="Q14" s="163">
        <f ca="1">IF(OR($E14&gt;=$B$9,$E14=0,AND(NOT($B$19),$F14&lt;16)),"",MAX(Pricing!$I13,Pricing!$U14))</f>
        <v>4249</v>
      </c>
      <c r="R14" s="163">
        <f ca="1">IF($Q14="","",IF($L14=0,E14,COUNTIF($O15:$O$116,"&gt;=" &amp; $O14-$L14*(1-$P14)/$Q14*Pricing!$H14)+$E14))</f>
        <v>45</v>
      </c>
      <c r="S14" s="163">
        <f ca="1">IF($Q14="","",IF($L14=0,0,IF(R14&lt;$B$10,ROUND((L14*(1-P14)-(O14-INDEX(O14:O$116,R14-E14+1))/Pricing!H14*Q14)/(INDEX(Pricing!G14:G$116,R14-E14+1)/Pricing!H14*Q14)*365,0),0)))</f>
        <v>0</v>
      </c>
      <c r="T14" s="220" t="str">
        <f ca="1">IF(OR($Q14="",NOT($B$17)),"",IF($R14&lt;$B$10,0,ROUND(MIN(1,($L14-$O14/Pricing!$H14*$Q14)/(Pricing!$R14-Pricing!$O14)),4)))</f>
        <v/>
      </c>
      <c r="U14" s="163">
        <f ca="1">IF($Q14="","",IF($L14=0,0,IF(OR(R14&lt;$B$10,AND($B$17,$T14&lt;1)),0,$L14*(1-$P14)-$O14/Pricing!$H14*$Q14-IF($B$17,Pricing!$R14-Pricing!$O14,0))*IF($B$18=1,1,Pricing!$H14/IF($B$18=2,INDEX(Pricing!$H$5:$H$116,$B$9+1),INDEX(Pricing!$H$5:$H$116,$B$10+1)))))</f>
        <v>455.37676336405457</v>
      </c>
      <c r="V14" s="425">
        <f ca="1">IF($E14="","",(1-$B$24*($B$10-$E14))*MIN($B$22+(1-$B$22)*$E14/MIN($B$23,$B$9),1)*(Pricing!$U14-$I14))</f>
        <v>3384.9</v>
      </c>
      <c r="W14" s="35">
        <f>IF($E14="","",IF(F14&gt;16,0,MAX(INDEX($L$6:$L$116,$W$4)*(1+2.25%)^0.5-INDEX($N$6:$N$116,$W$4)/$B$11*Pricing!M14,0)))</f>
        <v>0</v>
      </c>
      <c r="X14" s="428">
        <f>SUMPRODUCT(Reserve!G14:G$116,W14:W$116)/Reserve!H14</f>
        <v>0</v>
      </c>
    </row>
    <row r="15" spans="1:24" ht="15" thickBot="1" x14ac:dyDescent="0.35">
      <c r="D15" s="215">
        <v>10</v>
      </c>
      <c r="E15" s="233">
        <f t="shared" si="0"/>
        <v>10</v>
      </c>
      <c r="F15" s="234">
        <f t="shared" si="1"/>
        <v>45</v>
      </c>
      <c r="G15" s="165">
        <f ca="1">IF($E15="","",ROUND((1-$B$24*($B$10-$E15))*MIN($B$22+(1-$B$22)*$E15/MIN($B$23,$B$9),1)*(Pricing!$U15-$I15),0))</f>
        <v>3919</v>
      </c>
      <c r="H15" s="166">
        <f t="shared" si="2"/>
        <v>423</v>
      </c>
      <c r="I15" s="166">
        <f>IF($E15="","",Pricing!$N15+Pricing!$O15)</f>
        <v>0</v>
      </c>
      <c r="J15" s="235">
        <f ca="1">IF(OR($E15=0,$E15=""),"",(NPV($B$13,$I$5:$I15)+$G15*(1+$B$13)^-($E15+1))/NPV($B$13,$H$5:$H14))</f>
        <v>0.82281755514549137</v>
      </c>
      <c r="K15" s="235">
        <f ca="1">IF($E15="","",IFERROR(((G15+I15)/(NPV(K15,H$5:H14)*(1+K15)-NPV(K15,I$5:I14)*(1+K15)))^(1/E15)-1,0))</f>
        <v>-2.4891454654537348E-2</v>
      </c>
      <c r="L15" s="166">
        <f ca="1">IF(OR($E15&gt;=$B$9,$E15=0),"",MAX(Pricing!$U15-$I15-0.01*$B$11,$V15))</f>
        <v>4175</v>
      </c>
      <c r="M15" s="166">
        <f ca="1">IF($E15="","",ROUND(Pricing!Q15+Pricing!R15-SUMPRODUCT(Pricing!G15:G$116,Pricing!L15:L$116)/Pricing!H15-$I15,0))</f>
        <v>7620</v>
      </c>
      <c r="N15" s="166">
        <f t="shared" ca="1" si="3"/>
        <v>5479</v>
      </c>
      <c r="O15" s="166">
        <f>IF(E15="","",IF(AND(Pricing!$K$3,$B$19),SUMIF(F15:F$116,"&gt;=" &amp; 16,Pricing!G15:G$116),SUM(Pricing!$G15:$G$116)))</f>
        <v>1758932.4938461382</v>
      </c>
      <c r="P15" s="429">
        <f>IF(OR($E15="",$E15=0),"",IF(OR(NOT($B$19),$F15&gt;=16,$E15=$B$10),0,((1+2.25%)*$P16*Pricing!$H16+(1+Pricing!$K$3)^0.5*Pricing!$G15)/Pricing!$H15))</f>
        <v>0</v>
      </c>
      <c r="Q15" s="166">
        <f ca="1">IF(OR($E15&gt;=$B$9,$E15=0,AND(NOT($B$19),$F15&lt;16)),"",MAX(Pricing!$I14,Pricing!$U15))</f>
        <v>4745</v>
      </c>
      <c r="R15" s="166">
        <f ca="1">IF($Q15="","",IF($L15=0,E15,COUNTIF($O16:$O$116,"&gt;=" &amp; $O15-$L15*(1-$P15)/$Q15*Pricing!$H15)+$E15))</f>
        <v>45</v>
      </c>
      <c r="S15" s="166">
        <f ca="1">IF($Q15="","",IF($L15=0,0,IF(R15&lt;$B$10,ROUND((L15*(1-P15)-(O15-INDEX(O15:O$116,R15-E15+1))/Pricing!H15*Q15)/(INDEX(Pricing!G15:G$116,R15-E15+1)/Pricing!H15*Q15)*365,0),0)))</f>
        <v>0</v>
      </c>
      <c r="T15" s="235" t="str">
        <f ca="1">IF(OR($Q15="",NOT($B$17)),"",IF($R15&lt;$B$10,0,ROUND(MIN(1,($L15-$O15/Pricing!$H15*$Q15)/(Pricing!$R15-Pricing!$O15)),4)))</f>
        <v/>
      </c>
      <c r="U15" s="166">
        <f ca="1">IF($Q15="","",IF($L15=0,0,IF(OR(R15&lt;$B$10,AND($B$17,$T15&lt;1)),0,$L15*(1-$P15)-$O15/Pricing!$H15*$Q15-IF($B$17,Pricing!$R15-Pricing!$O15,0))*IF($B$18=1,1,Pricing!$H15/IF($B$18=2,INDEX(Pricing!$H$5:$H$116,$B$9+1),INDEX(Pricing!$H$5:$H$116,$B$10+1)))))</f>
        <v>545.13482206416211</v>
      </c>
      <c r="V15" s="425">
        <f ca="1">IF($E15="","",(1-$B$24*($B$10-$E15))*MIN($B$22+(1-$B$22)*$E15/MIN($B$23,$B$9),1)*(Pricing!$U15-$I15))</f>
        <v>3918.75</v>
      </c>
      <c r="W15" s="35">
        <f>IF($E15="","",IF(F15&gt;16,0,MAX(INDEX($L$6:$L$116,$W$4)*(1+2.25%)^0.5-INDEX($N$6:$N$116,$W$4)/$B$11*Pricing!M15,0)))</f>
        <v>0</v>
      </c>
      <c r="X15" s="428">
        <f>SUMPRODUCT(Reserve!G15:G$116,W15:W$116)/Reserve!H15</f>
        <v>0</v>
      </c>
    </row>
    <row r="16" spans="1:24" ht="15" thickBot="1" x14ac:dyDescent="0.35">
      <c r="A16" s="441" t="s">
        <v>181</v>
      </c>
      <c r="B16" s="442"/>
      <c r="D16" s="215">
        <v>11</v>
      </c>
      <c r="E16" s="217">
        <f t="shared" si="0"/>
        <v>11</v>
      </c>
      <c r="F16" s="228">
        <f t="shared" si="1"/>
        <v>46</v>
      </c>
      <c r="G16" s="162">
        <f ca="1">IF($E16="","",ROUND((1-$B$24*($B$10-$E16))*MIN($B$22+(1-$B$22)*$E16/MIN($B$23,$B$9),1)*(Pricing!$U16-$I16),0))</f>
        <v>4480</v>
      </c>
      <c r="H16" s="163">
        <f t="shared" si="2"/>
        <v>423</v>
      </c>
      <c r="I16" s="163">
        <f>IF($E16="","",Pricing!$N16+Pricing!$O16)</f>
        <v>0</v>
      </c>
      <c r="J16" s="220">
        <f ca="1">IF(OR($E16=0,$E16=""),"",(NPV($B$13,$I$5:$I16)+$G16*(1+$B$13)^-($E16+1))/NPV($B$13,$H$5:$H15))</f>
        <v>0.85047087287472944</v>
      </c>
      <c r="K16" s="220">
        <f ca="1">IF($E16="","",IFERROR(((G16+I16)/(NPV(K16,H$5:H15)*(1+K16)-NPV(K16,I$5:I15)*(1+K16)))^(1/E16)-1,0))</f>
        <v>-1.6347882912113088E-2</v>
      </c>
      <c r="L16" s="163">
        <f ca="1">IF(OR($E16&gt;=$B$9,$E16=0),"",MAX(Pricing!$U16-$I16-0.01*$B$11,$V16))</f>
        <v>4700</v>
      </c>
      <c r="M16" s="163">
        <f ca="1">IF($E16="","",ROUND(Pricing!Q16+Pricing!R16-SUMPRODUCT(Pricing!G16:G$116,Pricing!L16:L$116)/Pricing!H16-$I16,0))</f>
        <v>7866</v>
      </c>
      <c r="N16" s="163">
        <f t="shared" ca="1" si="3"/>
        <v>5975</v>
      </c>
      <c r="O16" s="163">
        <f>IF(E16="","",IF(AND(Pricing!$K$3,$B$19),SUMIF(F16:F$116,"&gt;=" &amp; 16,Pricing!G16:G$116),SUM(Pricing!$G16:$G$116)))</f>
        <v>1746345.8625165597</v>
      </c>
      <c r="P16" s="427">
        <f>IF(OR($E16="",$E16=0),"",IF(OR(NOT($B$19),$F16&gt;=16,$E16=$B$10),0,((1+2.25%)*$P17*Pricing!$H17+(1+Pricing!$K$3)^0.5*Pricing!$G16)/Pricing!$H16))</f>
        <v>0</v>
      </c>
      <c r="Q16" s="163">
        <f ca="1">IF(OR($E16&gt;=$B$9,$E16=0,AND(NOT($B$19),$F16&lt;16)),"",MAX(Pricing!$I15,Pricing!$U16))</f>
        <v>5245</v>
      </c>
      <c r="R16" s="163">
        <f ca="1">IF($Q16="","",IF($L16=0,E16,COUNTIF($O17:$O$116,"&gt;=" &amp; $O16-$L16*(1-$P16)/$Q16*Pricing!$H16)+$E16))</f>
        <v>45</v>
      </c>
      <c r="S16" s="163">
        <f ca="1">IF($Q16="","",IF($L16=0,0,IF(R16&lt;$B$10,ROUND((L16*(1-P16)-(O16-INDEX(O16:O$116,R16-E16+1))/Pricing!H16*Q16)/(INDEX(Pricing!G16:G$116,R16-E16+1)/Pricing!H16*Q16)*365,0),0)))</f>
        <v>0</v>
      </c>
      <c r="T16" s="220" t="str">
        <f ca="1">IF(OR($Q16="",NOT($B$17)),"",IF($R16&lt;$B$10,0,ROUND(MIN(1,($L16-$O16/Pricing!$H16*$Q16)/(Pricing!$R16-Pricing!$O16)),4)))</f>
        <v/>
      </c>
      <c r="U16" s="163">
        <f ca="1">IF($Q16="","",IF($L16=0,0,IF(OR(R16&lt;$B$10,AND($B$17,$T16&lt;1)),0,$L16*(1-$P16)-$O16/Pricing!$H16*$Q16-IF($B$17,Pricing!$R16-Pricing!$O16,0))*IF($B$18=1,1,Pricing!$H16/IF($B$18=2,INDEX(Pricing!$H$5:$H$116,$B$9+1),INDEX(Pricing!$H$5:$H$116,$B$10+1)))))</f>
        <v>633.06935155843485</v>
      </c>
      <c r="V16" s="425">
        <f ca="1">IF($E16="","",(1-$B$24*($B$10-$E16))*MIN($B$22+(1-$B$22)*$E16/MIN($B$23,$B$9),1)*(Pricing!$U16-$I16))</f>
        <v>4480</v>
      </c>
      <c r="W16" s="35">
        <f>IF($E16="","",IF(F16&gt;16,0,MAX(INDEX($L$6:$L$116,$W$4)*(1+2.25%)^0.5-INDEX($N$6:$N$116,$W$4)/$B$11*Pricing!M16,0)))</f>
        <v>0</v>
      </c>
      <c r="X16" s="428">
        <f>SUMPRODUCT(Reserve!G16:G$116,W16:W$116)/Reserve!H16</f>
        <v>0</v>
      </c>
    </row>
    <row r="17" spans="1:24" ht="15" thickTop="1" x14ac:dyDescent="0.3">
      <c r="A17" s="209" t="s">
        <v>182</v>
      </c>
      <c r="B17" s="44" t="b">
        <v>0</v>
      </c>
      <c r="D17" s="215">
        <v>12</v>
      </c>
      <c r="E17" s="217">
        <f t="shared" si="0"/>
        <v>12</v>
      </c>
      <c r="F17" s="228">
        <f t="shared" si="1"/>
        <v>47</v>
      </c>
      <c r="G17" s="162">
        <f ca="1">IF($E17="","",ROUND((1-$B$24*($B$10-$E17))*MIN($B$22+(1-$B$22)*$E17/MIN($B$23,$B$9),1)*(Pricing!$U17-$I17),0))</f>
        <v>5069</v>
      </c>
      <c r="H17" s="163">
        <f t="shared" si="2"/>
        <v>423</v>
      </c>
      <c r="I17" s="163">
        <f>IF($E17="","",Pricing!$N17+Pricing!$O17)</f>
        <v>0</v>
      </c>
      <c r="J17" s="220">
        <f ca="1">IF(OR($E17=0,$E17=""),"",(NPV($B$13,$I$5:$I17)+$G17*(1+$B$13)^-($E17+1))/NPV($B$13,$H$5:$H16))</f>
        <v>0.87731770517787999</v>
      </c>
      <c r="K17" s="220">
        <f ca="1">IF($E17="","",IFERROR(((G17+I17)/(NPV(K17,H$5:H16)*(1+K17)-NPV(K17,I$5:I16)*(1+K17)))^(1/E17)-1,0))</f>
        <v>-9.4268500720920967E-3</v>
      </c>
      <c r="L17" s="163">
        <f ca="1">IF(OR($E17&gt;=$B$9,$E17=0),"",MAX(Pricing!$U17-$I17-0.01*$B$11,$V17))</f>
        <v>5236</v>
      </c>
      <c r="M17" s="163">
        <f ca="1">IF($E17="","",ROUND(Pricing!Q17+Pricing!R17-SUMPRODUCT(Pricing!G17:G$116,Pricing!L17:L$116)/Pricing!H17-$I17,0))</f>
        <v>8116</v>
      </c>
      <c r="N17" s="163">
        <f t="shared" ca="1" si="3"/>
        <v>6451</v>
      </c>
      <c r="O17" s="163">
        <f>IF(E17="","",IF(AND(Pricing!$K$3,$B$19),SUMIF(F17:F$116,"&gt;=" &amp; 16,Pricing!G17:G$116),SUM(Pricing!$G17:$G$116)))</f>
        <v>1733069.2924887543</v>
      </c>
      <c r="P17" s="427">
        <f>IF(OR($E17="",$E17=0),"",IF(OR(NOT($B$19),$F17&gt;=16,$E17=$B$10),0,((1+2.25%)*$P18*Pricing!$H18+(1+Pricing!$K$3)^0.5*Pricing!$G17)/Pricing!$H17))</f>
        <v>0</v>
      </c>
      <c r="Q17" s="163">
        <f ca="1">IF(OR($E17&gt;=$B$9,$E17=0,AND(NOT($B$19),$F17&lt;16)),"",MAX(Pricing!$I16,Pricing!$U17))</f>
        <v>5751</v>
      </c>
      <c r="R17" s="163">
        <f ca="1">IF($Q17="","",IF($L17=0,E17,COUNTIF($O18:$O$116,"&gt;=" &amp; $O17-$L17*(1-$P17)/$Q17*Pricing!$H17)+$E17))</f>
        <v>45</v>
      </c>
      <c r="S17" s="163">
        <f ca="1">IF($Q17="","",IF($L17=0,0,IF(R17&lt;$B$10,ROUND((L17*(1-P17)-(O17-INDEX(O17:O$116,R17-E17+1))/Pricing!H17*Q17)/(INDEX(Pricing!G17:G$116,R17-E17+1)/Pricing!H17*Q17)*365,0),0)))</f>
        <v>0</v>
      </c>
      <c r="T17" s="220" t="str">
        <f ca="1">IF(OR($Q17="",NOT($B$17)),"",IF($R17&lt;$B$10,0,ROUND(MIN(1,($L17-$O17/Pricing!$H17*$Q17)/(Pricing!$R17-Pricing!$O17)),4)))</f>
        <v/>
      </c>
      <c r="U17" s="163">
        <f ca="1">IF($Q17="","",IF($L17=0,0,IF(OR(R17&lt;$B$10,AND($B$17,$T17&lt;1)),0,$L17*(1-$P17)-$O17/Pricing!$H17*$Q17-IF($B$17,Pricing!$R17-Pricing!$O17,0))*IF($B$18=1,1,Pricing!$H17/IF($B$18=2,INDEX(Pricing!$H$5:$H$116,$B$9+1),INDEX(Pricing!$H$5:$H$116,$B$10+1)))))</f>
        <v>717.79092888030391</v>
      </c>
      <c r="V17" s="425">
        <f ca="1">IF($E17="","",(1-$B$24*($B$10-$E17))*MIN($B$22+(1-$B$22)*$E17/MIN($B$23,$B$9),1)*(Pricing!$U17-$I17))</f>
        <v>5069.2</v>
      </c>
      <c r="W17" s="35">
        <f>IF($E17="","",IF(F17&gt;16,0,MAX(INDEX($L$6:$L$116,$W$4)*(1+2.25%)^0.5-INDEX($N$6:$N$116,$W$4)/$B$11*Pricing!M17,0)))</f>
        <v>0</v>
      </c>
      <c r="X17" s="428">
        <f>SUMPRODUCT(Reserve!G17:G$116,W17:W$116)/Reserve!H17</f>
        <v>0</v>
      </c>
    </row>
    <row r="18" spans="1:24" x14ac:dyDescent="0.3">
      <c r="A18" s="210" t="s">
        <v>183</v>
      </c>
      <c r="B18" s="40">
        <v>1</v>
      </c>
      <c r="D18" s="215">
        <v>13</v>
      </c>
      <c r="E18" s="217">
        <f t="shared" si="0"/>
        <v>13</v>
      </c>
      <c r="F18" s="228">
        <f t="shared" si="1"/>
        <v>48</v>
      </c>
      <c r="G18" s="162">
        <f ca="1">IF($E18="","",ROUND((1-$B$24*($B$10-$E18))*MIN($B$22+(1-$B$22)*$E18/MIN($B$23,$B$9),1)*(Pricing!$U18-$I18),0))</f>
        <v>5688</v>
      </c>
      <c r="H18" s="163">
        <f t="shared" si="2"/>
        <v>423</v>
      </c>
      <c r="I18" s="163">
        <f>IF($E18="","",Pricing!$N18+Pricing!$O18)</f>
        <v>0</v>
      </c>
      <c r="J18" s="220">
        <f ca="1">IF(OR($E18=0,$E18=""),"",(NPV($B$13,$I$5:$I18)+$G18*(1+$B$13)^-($E18+1))/NPV($B$13,$H$5:$H17))</f>
        <v>0.90379455625294947</v>
      </c>
      <c r="K18" s="220">
        <f ca="1">IF($E18="","",IFERROR(((G18+I18)/(NPV(K18,H$5:H17)*(1+K18)-NPV(K18,I$5:I17)*(1+K18)))^(1/E18)-1,0))</f>
        <v>-3.7009211641281237E-3</v>
      </c>
      <c r="L18" s="163">
        <f ca="1">IF(OR($E18&gt;=$B$9,$E18=0),"",MAX(Pricing!$U18-$I18-0.01*$B$11,$V18))</f>
        <v>5784</v>
      </c>
      <c r="M18" s="163">
        <f ca="1">IF($E18="","",ROUND(Pricing!Q18+Pricing!R18-SUMPRODUCT(Pricing!G18:G$116,Pricing!L18:L$116)/Pricing!H18-$I18,0))</f>
        <v>8371</v>
      </c>
      <c r="N18" s="163">
        <f t="shared" ca="1" si="3"/>
        <v>6910</v>
      </c>
      <c r="O18" s="163">
        <f>IF(E18="","",IF(AND(Pricing!$K$3,$B$19),SUMIF(F18:F$116,"&gt;=" &amp; 16,Pricing!G18:G$116),SUM(Pricing!$G18:$G$116)))</f>
        <v>1719074.6018475774</v>
      </c>
      <c r="P18" s="427">
        <f>IF(OR($E18="",$E18=0),"",IF(OR(NOT($B$19),$F18&gt;=16,$E18=$B$10),0,((1+2.25%)*$P19*Pricing!$H19+(1+Pricing!$K$3)^0.5*Pricing!$G18)/Pricing!$H18))</f>
        <v>0</v>
      </c>
      <c r="Q18" s="163">
        <f ca="1">IF(OR($E18&gt;=$B$9,$E18=0,AND(NOT($B$19),$F18&lt;16)),"",MAX(Pricing!$I17,Pricing!$U18))</f>
        <v>6262</v>
      </c>
      <c r="R18" s="163">
        <f ca="1">IF($Q18="","",IF($L18=0,E18,COUNTIF($O19:$O$116,"&gt;=" &amp; $O18-$L18*(1-$P18)/$Q18*Pricing!$H18)+$E18))</f>
        <v>45</v>
      </c>
      <c r="S18" s="163">
        <f ca="1">IF($Q18="","",IF($L18=0,0,IF(R18&lt;$B$10,ROUND((L18*(1-P18)-(O18-INDEX(O18:O$116,R18-E18+1))/Pricing!H18*Q18)/(INDEX(Pricing!G18:G$116,R18-E18+1)/Pricing!H18*Q18)*365,0),0)))</f>
        <v>0</v>
      </c>
      <c r="T18" s="220" t="str">
        <f ca="1">IF(OR($Q18="",NOT($B$17)),"",IF($R18&lt;$B$10,0,ROUND(MIN(1,($L18-$O18/Pricing!$H18*$Q18)/(Pricing!$R18-Pricing!$O18)),4)))</f>
        <v/>
      </c>
      <c r="U18" s="163">
        <f ca="1">IF($Q18="","",IF($L18=0,0,IF(OR(R18&lt;$B$10,AND($B$17,$T18&lt;1)),0,$L18*(1-$P18)-$O18/Pricing!$H18*$Q18-IF($B$17,Pricing!$R18-Pricing!$O18,0))*IF($B$18=1,1,Pricing!$H18/IF($B$18=2,INDEX(Pricing!$H$5:$H$116,$B$9+1),INDEX(Pricing!$H$5:$H$116,$B$10+1)))))</f>
        <v>801.25008558199534</v>
      </c>
      <c r="V18" s="425">
        <f ca="1">IF($E18="","",(1-$B$24*($B$10-$E18))*MIN($B$22+(1-$B$22)*$E18/MIN($B$23,$B$9),1)*(Pricing!$U18-$I18))</f>
        <v>5687.8666666666668</v>
      </c>
      <c r="W18" s="35">
        <f>IF($E18="","",IF(F18&gt;16,0,MAX(INDEX($L$6:$L$116,$W$4)*(1+2.25%)^0.5-INDEX($N$6:$N$116,$W$4)/$B$11*Pricing!M18,0)))</f>
        <v>0</v>
      </c>
      <c r="X18" s="428">
        <f>SUMPRODUCT(Reserve!G18:G$116,W18:W$116)/Reserve!H18</f>
        <v>0</v>
      </c>
    </row>
    <row r="19" spans="1:24" ht="15" thickBot="1" x14ac:dyDescent="0.35">
      <c r="A19" s="211" t="s">
        <v>184</v>
      </c>
      <c r="B19" s="42" t="b">
        <v>1</v>
      </c>
      <c r="D19" s="215">
        <v>14</v>
      </c>
      <c r="E19" s="217">
        <f t="shared" si="0"/>
        <v>14</v>
      </c>
      <c r="F19" s="228">
        <f t="shared" si="1"/>
        <v>49</v>
      </c>
      <c r="G19" s="162">
        <f ca="1">IF($E19="","",ROUND((1-$B$24*($B$10-$E19))*MIN($B$22+(1-$B$22)*$E19/MIN($B$23,$B$9),1)*(Pricing!$U19-$I19),0))</f>
        <v>6336</v>
      </c>
      <c r="H19" s="163">
        <f t="shared" si="2"/>
        <v>423</v>
      </c>
      <c r="I19" s="163">
        <f>IF($E19="","",Pricing!$N19+Pricing!$O19)</f>
        <v>0</v>
      </c>
      <c r="J19" s="220">
        <f ca="1">IF(OR($E19=0,$E19=""),"",(NPV($B$13,$I$5:$I19)+$G19*(1+$B$13)^-($E19+1))/NPV($B$13,$H$5:$H18))</f>
        <v>0.92976706870065295</v>
      </c>
      <c r="K19" s="220">
        <f ca="1">IF($E19="","",IFERROR(((G19+I19)/(NPV(K19,H$5:H18)*(1+K19)-NPV(K19,I$5:I18)*(1+K19)))^(1/E19)-1,0))</f>
        <v>1.0557128916894865E-3</v>
      </c>
      <c r="L19" s="163">
        <f ca="1">IF(OR($E19&gt;=$B$9,$E19=0),"",MAX(Pricing!$U19-$I19-0.01*$B$11,$V19))</f>
        <v>6343</v>
      </c>
      <c r="M19" s="163">
        <f ca="1">IF($E19="","",ROUND(Pricing!Q19+Pricing!R19-SUMPRODUCT(Pricing!G19:G$116,Pricing!L19:L$116)/Pricing!H19-$I19,0))</f>
        <v>8628</v>
      </c>
      <c r="N19" s="163">
        <f t="shared" ca="1" si="3"/>
        <v>7352</v>
      </c>
      <c r="O19" s="163">
        <f>IF(E19="","",IF(AND(Pricing!$K$3,$B$19),SUMIF(F19:F$116,"&gt;=" &amp; 16,Pricing!G19:G$116),SUM(Pricing!$G19:$G$116)))</f>
        <v>1704333.2066182911</v>
      </c>
      <c r="P19" s="427">
        <f>IF(OR($E19="",$E19=0),"",IF(OR(NOT($B$19),$F19&gt;=16,$E19=$B$10),0,((1+2.25%)*$P20*Pricing!$H20+(1+Pricing!$K$3)^0.5*Pricing!$G19)/Pricing!$H19))</f>
        <v>0</v>
      </c>
      <c r="Q19" s="163">
        <f ca="1">IF(OR($E19&gt;=$B$9,$E19=0,AND(NOT($B$19),$F19&lt;16)),"",MAX(Pricing!$I18,Pricing!$U19))</f>
        <v>6779</v>
      </c>
      <c r="R19" s="163">
        <f ca="1">IF($Q19="","",IF($L19=0,E19,COUNTIF($O20:$O$116,"&gt;=" &amp; $O19-$L19*(1-$P19)/$Q19*Pricing!$H19)+$E19))</f>
        <v>45</v>
      </c>
      <c r="S19" s="163">
        <f ca="1">IF($Q19="","",IF($L19=0,0,IF(R19&lt;$B$10,ROUND((L19*(1-P19)-(O19-INDEX(O19:O$116,R19-E19+1))/Pricing!H19*Q19)/(INDEX(Pricing!G19:G$116,R19-E19+1)/Pricing!H19*Q19)*365,0),0)))</f>
        <v>0</v>
      </c>
      <c r="T19" s="220" t="str">
        <f ca="1">IF(OR($Q19="",NOT($B$17)),"",IF($R19&lt;$B$10,0,ROUND(MIN(1,($L19-$O19/Pricing!$H19*$Q19)/(Pricing!$R19-Pricing!$O19)),4)))</f>
        <v/>
      </c>
      <c r="U19" s="163">
        <f ca="1">IF($Q19="","",IF($L19=0,0,IF(OR(R19&lt;$B$10,AND($B$17,$T19&lt;1)),0,$L19*(1-$P19)-$O19/Pricing!$H19*$Q19-IF($B$17,Pricing!$R19-Pricing!$O19,0))*IF($B$18=1,1,Pricing!$H19/IF($B$18=2,INDEX(Pricing!$H$5:$H$116,$B$9+1),INDEX(Pricing!$H$5:$H$116,$B$10+1)))))</f>
        <v>881.8576069458386</v>
      </c>
      <c r="V19" s="425">
        <f ca="1">IF($E19="","",(1-$B$24*($B$10-$E19))*MIN($B$22+(1-$B$22)*$E19/MIN($B$23,$B$9),1)*(Pricing!$U19-$I19))</f>
        <v>6335.6166666666668</v>
      </c>
      <c r="W19" s="35">
        <f>IF($E19="","",IF(F19&gt;16,0,MAX(INDEX($L$6:$L$116,$W$4)*(1+2.25%)^0.5-INDEX($N$6:$N$116,$W$4)/$B$11*Pricing!M19,0)))</f>
        <v>0</v>
      </c>
      <c r="X19" s="428">
        <f>SUMPRODUCT(Reserve!G19:G$116,W19:W$116)/Reserve!H19</f>
        <v>0</v>
      </c>
    </row>
    <row r="20" spans="1:24" ht="15" thickBot="1" x14ac:dyDescent="0.35">
      <c r="D20" s="215">
        <v>15</v>
      </c>
      <c r="E20" s="233">
        <f t="shared" si="0"/>
        <v>15</v>
      </c>
      <c r="F20" s="234">
        <f t="shared" si="1"/>
        <v>50</v>
      </c>
      <c r="G20" s="165">
        <f ca="1">IF($E20="","",ROUND((1-$B$24*($B$10-$E20))*MIN($B$22+(1-$B$22)*$E20/MIN($B$23,$B$9),1)*(Pricing!$U20-$I20),0))</f>
        <v>7016</v>
      </c>
      <c r="H20" s="166">
        <f t="shared" si="2"/>
        <v>423</v>
      </c>
      <c r="I20" s="166">
        <f>IF($E20="","",Pricing!$N20+Pricing!$O20)</f>
        <v>0</v>
      </c>
      <c r="J20" s="235">
        <f ca="1">IF(OR($E20=0,$E20=""),"",(NPV($B$13,$I$5:$I20)+$G20*(1+$B$13)^-($E20+1))/NPV($B$13,$H$5:$H19))</f>
        <v>0.95568505480963883</v>
      </c>
      <c r="K20" s="235">
        <f ca="1">IF($E20="","",IFERROR(((G20+I20)/(NPV(K20,H$5:H19)*(1+K20)-NPV(K20,I$5:I19)*(1+K20)))^(1/E20)-1,0))</f>
        <v>5.0922542336313548E-3</v>
      </c>
      <c r="L20" s="166">
        <f ca="1">IF(OR($E20&gt;=$B$9,$E20=0),"",MAX(Pricing!$U20-$I20-0.01*$B$11,$V20))</f>
        <v>7016</v>
      </c>
      <c r="M20" s="166">
        <f ca="1">IF($E20="","",ROUND(Pricing!Q20+Pricing!R20-SUMPRODUCT(Pricing!G20:G$116,Pricing!L20:L$116)/Pricing!H20-$I20,0))</f>
        <v>8887</v>
      </c>
      <c r="N20" s="166">
        <f t="shared" ca="1" si="3"/>
        <v>7895</v>
      </c>
      <c r="O20" s="166">
        <f>IF(E20="","",IF(AND(Pricing!$K$3,$B$19),SUMIF(F20:F$116,"&gt;=" &amp; 16,Pricing!G20:G$116),SUM(Pricing!$G20:$G$116)))</f>
        <v>1688812.9463521133</v>
      </c>
      <c r="P20" s="429">
        <f>IF(OR($E20="",$E20=0),"",IF(OR(NOT($B$19),$F20&gt;=16,$E20=$B$10),0,((1+2.25%)*$P21*Pricing!$H21+(1+Pricing!$K$3)^0.5*Pricing!$G20)/Pricing!$H20))</f>
        <v>0</v>
      </c>
      <c r="Q20" s="166">
        <f ca="1">IF(OR($E20&gt;=$B$9,$E20=0,AND(NOT($B$19),$F20&lt;16)),"",MAX(Pricing!$I19,Pricing!$U20))</f>
        <v>7300</v>
      </c>
      <c r="R20" s="166">
        <f ca="1">IF($Q20="","",IF($L20=0,E20,COUNTIF($O21:$O$116,"&gt;=" &amp; $O20-$L20*(1-$P20)/$Q20*Pricing!$H20)+$E20))</f>
        <v>45</v>
      </c>
      <c r="S20" s="166">
        <f ca="1">IF($Q20="","",IF($L20=0,0,IF(R20&lt;$B$10,ROUND((L20*(1-P20)-(O20-INDEX(O20:O$116,R20-E20+1))/Pricing!H20*Q20)/(INDEX(Pricing!G20:G$116,R20-E20+1)/Pricing!H20*Q20)*365,0),0)))</f>
        <v>0</v>
      </c>
      <c r="T20" s="235" t="str">
        <f ca="1">IF(OR($Q20="",NOT($B$17)),"",IF($R20&lt;$B$10,0,ROUND(MIN(1,($L20-$O20/Pricing!$H20*$Q20)/(Pricing!$R20-Pricing!$O20)),4)))</f>
        <v/>
      </c>
      <c r="U20" s="166">
        <f ca="1">IF($Q20="","",IF($L20=0,0,IF(OR(R20&lt;$B$10,AND($B$17,$T20&lt;1)),0,$L20*(1-$P20)-$O20/Pricing!$H20*$Q20-IF($B$17,Pricing!$R20-Pricing!$O20,0))*IF($B$18=1,1,Pricing!$H20/IF($B$18=2,INDEX(Pricing!$H$5:$H$116,$B$9+1),INDEX(Pricing!$H$5:$H$116,$B$10+1)))))</f>
        <v>1064.4702547860388</v>
      </c>
      <c r="V20" s="425">
        <f ca="1">IF($E20="","",(1-$B$24*($B$10-$E20))*MIN($B$22+(1-$B$22)*$E20/MIN($B$23,$B$9),1)*(Pricing!$U20-$I20))</f>
        <v>7016</v>
      </c>
      <c r="W20" s="35">
        <f>IF($E20="","",IF(F20&gt;16,0,MAX(INDEX($L$6:$L$116,$W$4)*(1+2.25%)^0.5-INDEX($N$6:$N$116,$W$4)/$B$11*Pricing!M20,0)))</f>
        <v>0</v>
      </c>
      <c r="X20" s="428">
        <f>SUMPRODUCT(Reserve!G20:G$116,W20:W$116)/Reserve!H20</f>
        <v>0</v>
      </c>
    </row>
    <row r="21" spans="1:24" ht="15" thickBot="1" x14ac:dyDescent="0.35">
      <c r="A21" s="443" t="s">
        <v>185</v>
      </c>
      <c r="B21" s="444"/>
      <c r="D21" s="215">
        <v>16</v>
      </c>
      <c r="E21" s="217">
        <f t="shared" si="0"/>
        <v>16</v>
      </c>
      <c r="F21" s="228">
        <f t="shared" si="1"/>
        <v>51</v>
      </c>
      <c r="G21" s="162">
        <f ca="1">IF($E21="","",ROUND((1-$B$24*($B$10-$E21))*MIN($B$22+(1-$B$22)*$E21/MIN($B$23,$B$9),1)*(Pricing!$U21-$I21),0))</f>
        <v>7602</v>
      </c>
      <c r="H21" s="163">
        <f t="shared" si="2"/>
        <v>423</v>
      </c>
      <c r="I21" s="163">
        <f>IF($E21="","",Pricing!$N21+Pricing!$O21)</f>
        <v>0</v>
      </c>
      <c r="J21" s="220">
        <f ca="1">IF(OR($E21=0,$E21=""),"",(NPV($B$13,$I$5:$I21)+$G21*(1+$B$13)^-($E21+1))/NPV($B$13,$H$5:$H20))</f>
        <v>0.96549428531098025</v>
      </c>
      <c r="K21" s="220">
        <f ca="1">IF($E21="","",IFERROR(((G21+I21)/(NPV(K21,H$5:H20)*(1+K21)-NPV(K21,I$5:I20)*(1+K21)))^(1/E21)-1,0))</f>
        <v>6.6209259846836677E-3</v>
      </c>
      <c r="L21" s="163">
        <f ca="1">IF(OR($E21&gt;=$B$9,$E21=0),"",MAX(Pricing!$U21-$I21-0.01*$B$11,$V21))</f>
        <v>7602</v>
      </c>
      <c r="M21" s="163">
        <f ca="1">IF($E21="","",ROUND(Pricing!Q21+Pricing!R21-SUMPRODUCT(Pricing!G21:G$116,Pricing!L21:L$116)/Pricing!H21-$I21,0))</f>
        <v>9146</v>
      </c>
      <c r="N21" s="163">
        <f t="shared" ca="1" si="3"/>
        <v>8312</v>
      </c>
      <c r="O21" s="163">
        <f>IF(E21="","",IF(AND(Pricing!$K$3,$B$19),SUMIF(F21:F$116,"&gt;=" &amp; 16,Pricing!G21:G$116),SUM(Pricing!$G21:$G$116)))</f>
        <v>1672472.3389958178</v>
      </c>
      <c r="P21" s="427">
        <f>IF(OR($E21="",$E21=0),"",IF(OR(NOT($B$19),$F21&gt;=16,$E21=$B$10),0,((1+2.25%)*$P22*Pricing!$H22+(1+Pricing!$K$3)^0.5*Pricing!$G21)/Pricing!$H21))</f>
        <v>0</v>
      </c>
      <c r="Q21" s="163">
        <f ca="1">IF(OR($E21&gt;=$B$9,$E21=0,AND(NOT($B$19),$F21&lt;16)),"",MAX(Pricing!$I20,Pricing!$U21))</f>
        <v>7826</v>
      </c>
      <c r="R21" s="163">
        <f ca="1">IF($Q21="","",IF($L21=0,E21,COUNTIF($O22:$O$116,"&gt;=" &amp; $O21-$L21*(1-$P21)/$Q21*Pricing!$H21)+$E21))</f>
        <v>45</v>
      </c>
      <c r="S21" s="163">
        <f ca="1">IF($Q21="","",IF($L21=0,0,IF(R21&lt;$B$10,ROUND((L21*(1-P21)-(O21-INDEX(O21:O$116,R21-E21+1))/Pricing!H21*Q21)/(INDEX(Pricing!G21:G$116,R21-E21+1)/Pricing!H21*Q21)*365,0),0)))</f>
        <v>0</v>
      </c>
      <c r="T21" s="220" t="str">
        <f ca="1">IF(OR($Q21="",NOT($B$17)),"",IF($R21&lt;$B$10,0,ROUND(MIN(1,($L21-$O21/Pricing!$H21*$Q21)/(Pricing!$R21-Pricing!$O21)),4)))</f>
        <v/>
      </c>
      <c r="U21" s="163">
        <f ca="1">IF($Q21="","",IF($L21=0,0,IF(OR(R21&lt;$B$10,AND($B$17,$T21&lt;1)),0,$L21*(1-$P21)-$O21/Pricing!$H21*$Q21-IF($B$17,Pricing!$R21-Pricing!$O21,0))*IF($B$18=1,1,Pricing!$H21/IF($B$18=2,INDEX(Pricing!$H$5:$H$116,$B$9+1),INDEX(Pricing!$H$5:$H$116,$B$10+1)))))</f>
        <v>1147.5873450808995</v>
      </c>
      <c r="V21" s="425">
        <f ca="1">IF($E21="","",(1-$B$24*($B$10-$E21))*MIN($B$22+(1-$B$22)*$E21/MIN($B$23,$B$9),1)*(Pricing!$U21-$I21))</f>
        <v>7602</v>
      </c>
      <c r="W21" s="35">
        <f>IF($E21="","",IF(F21&gt;16,0,MAX(INDEX($L$6:$L$116,$W$4)*(1+2.25%)^0.5-INDEX($N$6:$N$116,$W$4)/$B$11*Pricing!M21,0)))</f>
        <v>0</v>
      </c>
      <c r="X21" s="428">
        <f>SUMPRODUCT(Reserve!G21:G$116,W21:W$116)/Reserve!H21</f>
        <v>0</v>
      </c>
    </row>
    <row r="22" spans="1:24" ht="15" thickTop="1" x14ac:dyDescent="0.3">
      <c r="A22" s="212" t="s">
        <v>186</v>
      </c>
      <c r="B22" s="191">
        <v>0.75</v>
      </c>
      <c r="D22" s="215">
        <v>17</v>
      </c>
      <c r="E22" s="217">
        <f t="shared" si="0"/>
        <v>17</v>
      </c>
      <c r="F22" s="228">
        <f t="shared" si="1"/>
        <v>52</v>
      </c>
      <c r="G22" s="162">
        <f ca="1">IF($E22="","",ROUND((1-$B$24*($B$10-$E22))*MIN($B$22+(1-$B$22)*$E22/MIN($B$23,$B$9),1)*(Pricing!$U22-$I22),0))</f>
        <v>8203</v>
      </c>
      <c r="H22" s="163">
        <f t="shared" si="2"/>
        <v>423</v>
      </c>
      <c r="I22" s="163">
        <f>IF($E22="","",Pricing!$N22+Pricing!$O22)</f>
        <v>0</v>
      </c>
      <c r="J22" s="220">
        <f ca="1">IF(OR($E22=0,$E22=""),"",(NPV($B$13,$I$5:$I22)+$G22*(1+$B$13)^-($E22+1))/NPV($B$13,$H$5:$H21))</f>
        <v>0.97518468731035102</v>
      </c>
      <c r="K22" s="220">
        <f ca="1">IF($E22="","",IFERROR(((G22+I22)/(NPV(K22,H$5:H21)*(1+K22)-NPV(K22,I$5:I21)*(1+K22)))^(1/E22)-1,0))</f>
        <v>7.9499529270898872E-3</v>
      </c>
      <c r="L22" s="163">
        <f ca="1">IF(OR($E22&gt;=$B$9,$E22=0),"",MAX(Pricing!$U22-$I22-0.01*$B$11,$V22))</f>
        <v>8203</v>
      </c>
      <c r="M22" s="163">
        <f ca="1">IF($E22="","",ROUND(Pricing!Q22+Pricing!R22-SUMPRODUCT(Pricing!G22:G$116,Pricing!L22:L$116)/Pricing!H22-$I22,0))</f>
        <v>9402</v>
      </c>
      <c r="N22" s="163">
        <f t="shared" ca="1" si="3"/>
        <v>8725</v>
      </c>
      <c r="O22" s="163">
        <f>IF(E22="","",IF(AND(Pricing!$K$3,$B$19),SUMIF(F22:F$116,"&gt;=" &amp; 16,Pricing!G22:G$116),SUM(Pricing!$G22:$G$116)))</f>
        <v>1655260.8940455839</v>
      </c>
      <c r="P22" s="427">
        <f>IF(OR($E22="",$E22=0),"",IF(OR(NOT($B$19),$F22&gt;=16,$E22=$B$10),0,((1+2.25%)*$P23*Pricing!$H23+(1+Pricing!$K$3)^0.5*Pricing!$G22)/Pricing!$H22))</f>
        <v>0</v>
      </c>
      <c r="Q22" s="163">
        <f ca="1">IF(OR($E22&gt;=$B$9,$E22=0,AND(NOT($B$19),$F22&lt;16)),"",MAX(Pricing!$I21,Pricing!$U22))</f>
        <v>8358</v>
      </c>
      <c r="R22" s="163">
        <f ca="1">IF($Q22="","",IF($L22=0,E22,COUNTIF($O23:$O$116,"&gt;=" &amp; $O22-$L22*(1-$P22)/$Q22*Pricing!$H22)+$E22))</f>
        <v>45</v>
      </c>
      <c r="S22" s="163">
        <f ca="1">IF($Q22="","",IF($L22=0,0,IF(R22&lt;$B$10,ROUND((L22*(1-P22)-(O22-INDEX(O22:O$116,R22-E22+1))/Pricing!H22*Q22)/(INDEX(Pricing!G22:G$116,R22-E22+1)/Pricing!H22*Q22)*365,0),0)))</f>
        <v>0</v>
      </c>
      <c r="T22" s="220" t="str">
        <f ca="1">IF(OR($Q22="",NOT($B$17)),"",IF($R22&lt;$B$10,0,ROUND(MIN(1,($L22-$O22/Pricing!$H22*$Q22)/(Pricing!$R22-Pricing!$O22)),4)))</f>
        <v/>
      </c>
      <c r="U22" s="163">
        <f ca="1">IF($Q22="","",IF($L22=0,0,IF(OR(R22&lt;$B$10,AND($B$17,$T22&lt;1)),0,$L22*(1-$P22)-$O22/Pricing!$H22*$Q22-IF($B$17,Pricing!$R22-Pricing!$O22,0))*IF($B$18=1,1,Pricing!$H22/IF($B$18=2,INDEX(Pricing!$H$5:$H$116,$B$9+1),INDEX(Pricing!$H$5:$H$116,$B$10+1)))))</f>
        <v>1232.7003108034378</v>
      </c>
      <c r="V22" s="425">
        <f ca="1">IF($E22="","",(1-$B$24*($B$10-$E22))*MIN($B$22+(1-$B$22)*$E22/MIN($B$23,$B$9),1)*(Pricing!$U22-$I22))</f>
        <v>8203</v>
      </c>
      <c r="W22" s="35">
        <f>IF($E22="","",IF(F22&gt;16,0,MAX(INDEX($L$6:$L$116,$W$4)*(1+2.25%)^0.5-INDEX($N$6:$N$116,$W$4)/$B$11*Pricing!M22,0)))</f>
        <v>0</v>
      </c>
      <c r="X22" s="428">
        <f>SUMPRODUCT(Reserve!G22:G$116,W22:W$116)/Reserve!H22</f>
        <v>0</v>
      </c>
    </row>
    <row r="23" spans="1:24" x14ac:dyDescent="0.3">
      <c r="A23" s="213" t="s">
        <v>187</v>
      </c>
      <c r="B23" s="40">
        <v>15</v>
      </c>
      <c r="D23" s="215">
        <v>18</v>
      </c>
      <c r="E23" s="217">
        <f t="shared" si="0"/>
        <v>18</v>
      </c>
      <c r="F23" s="228">
        <f t="shared" si="1"/>
        <v>53</v>
      </c>
      <c r="G23" s="162">
        <f ca="1">IF($E23="","",ROUND((1-$B$24*($B$10-$E23))*MIN($B$22+(1-$B$22)*$E23/MIN($B$23,$B$9),1)*(Pricing!$U23-$I23),0))</f>
        <v>8821</v>
      </c>
      <c r="H23" s="163">
        <f t="shared" si="2"/>
        <v>423</v>
      </c>
      <c r="I23" s="163">
        <f>IF($E23="","",Pricing!$N23+Pricing!$O23)</f>
        <v>0</v>
      </c>
      <c r="J23" s="220">
        <f ca="1">IF(OR($E23=0,$E23=""),"",(NPV($B$13,$I$5:$I23)+$G23*(1+$B$13)^-($E23+1))/NPV($B$13,$H$5:$H22))</f>
        <v>0.98497581089626018</v>
      </c>
      <c r="K23" s="220">
        <f ca="1">IF($E23="","",IFERROR(((G23+I23)/(NPV(K23,H$5:H22)*(1+K23)-NPV(K23,I$5:I22)*(1+K23)))^(1/E23)-1,0))</f>
        <v>9.1344517854015095E-3</v>
      </c>
      <c r="L23" s="163">
        <f ca="1">IF(OR($E23&gt;=$B$9,$E23=0),"",MAX(Pricing!$U23-$I23-0.01*$B$11,$V23))</f>
        <v>8821</v>
      </c>
      <c r="M23" s="163">
        <f ca="1">IF($E23="","",ROUND(Pricing!Q23+Pricing!R23-SUMPRODUCT(Pricing!G23:G$116,Pricing!L23:L$116)/Pricing!H23-$I23,0))</f>
        <v>9651</v>
      </c>
      <c r="N23" s="163">
        <f t="shared" ca="1" si="3"/>
        <v>9140</v>
      </c>
      <c r="O23" s="163">
        <f>IF(E23="","",IF(AND(Pricing!$K$3,$B$19),SUMIF(F23:F$116,"&gt;=" &amp; 16,Pricing!G23:G$116),SUM(Pricing!$G23:$G$116)))</f>
        <v>1637124.1048494678</v>
      </c>
      <c r="P23" s="427">
        <f>IF(OR($E23="",$E23=0),"",IF(OR(NOT($B$19),$F23&gt;=16,$E23=$B$10),0,((1+2.25%)*$P24*Pricing!$H24+(1+Pricing!$K$3)^0.5*Pricing!$G23)/Pricing!$H23))</f>
        <v>0</v>
      </c>
      <c r="Q23" s="163">
        <f ca="1">IF(OR($E23&gt;=$B$9,$E23=0,AND(NOT($B$19),$F23&lt;16)),"",MAX(Pricing!$I22,Pricing!$U23))</f>
        <v>8895</v>
      </c>
      <c r="R23" s="163">
        <f ca="1">IF($Q23="","",IF($L23=0,E23,COUNTIF($O24:$O$116,"&gt;=" &amp; $O23-$L23*(1-$P23)/$Q23*Pricing!$H23)+$E23))</f>
        <v>45</v>
      </c>
      <c r="S23" s="163">
        <f ca="1">IF($Q23="","",IF($L23=0,0,IF(R23&lt;$B$10,ROUND((L23*(1-P23)-(O23-INDEX(O23:O$116,R23-E23+1))/Pricing!H23*Q23)/(INDEX(Pricing!G23:G$116,R23-E23+1)/Pricing!H23*Q23)*365,0),0)))</f>
        <v>0</v>
      </c>
      <c r="T23" s="220" t="str">
        <f ca="1">IF(OR($Q23="",NOT($B$17)),"",IF($R23&lt;$B$10,0,ROUND(MIN(1,($L23-$O23/Pricing!$H23*$Q23)/(Pricing!$R23-Pricing!$O23)),4)))</f>
        <v/>
      </c>
      <c r="U23" s="163">
        <f ca="1">IF($Q23="","",IF($L23=0,0,IF(OR(R23&lt;$B$10,AND($B$17,$T23&lt;1)),0,$L23*(1-$P23)-$O23/Pricing!$H23*$Q23-IF($B$17,Pricing!$R23-Pricing!$O23,0))*IF($B$18=1,1,Pricing!$H23/IF($B$18=2,INDEX(Pricing!$H$5:$H$116,$B$9+1),INDEX(Pricing!$H$5:$H$116,$B$10+1)))))</f>
        <v>1322.9764284332468</v>
      </c>
      <c r="V23" s="425">
        <f ca="1">IF($E23="","",(1-$B$24*($B$10-$E23))*MIN($B$22+(1-$B$22)*$E23/MIN($B$23,$B$9),1)*(Pricing!$U23-$I23))</f>
        <v>8821</v>
      </c>
      <c r="W23" s="35">
        <f>IF($E23="","",IF(F23&gt;16,0,MAX(INDEX($L$6:$L$116,$W$4)*(1+2.25%)^0.5-INDEX($N$6:$N$116,$W$4)/$B$11*Pricing!M23,0)))</f>
        <v>0</v>
      </c>
      <c r="X23" s="428">
        <f>SUMPRODUCT(Reserve!G23:G$116,W23:W$116)/Reserve!H23</f>
        <v>0</v>
      </c>
    </row>
    <row r="24" spans="1:24" ht="15" thickBot="1" x14ac:dyDescent="0.35">
      <c r="A24" s="214" t="s">
        <v>188</v>
      </c>
      <c r="B24" s="202">
        <v>0</v>
      </c>
      <c r="D24" s="215">
        <v>19</v>
      </c>
      <c r="E24" s="217">
        <f t="shared" si="0"/>
        <v>19</v>
      </c>
      <c r="F24" s="228">
        <f t="shared" si="1"/>
        <v>54</v>
      </c>
      <c r="G24" s="162">
        <f ca="1">IF($E24="","",ROUND((1-$B$24*($B$10-$E24))*MIN($B$22+(1-$B$22)*$E24/MIN($B$23,$B$9),1)*(Pricing!$U24-$I24),0))</f>
        <v>9457</v>
      </c>
      <c r="H24" s="163">
        <f t="shared" si="2"/>
        <v>423</v>
      </c>
      <c r="I24" s="163">
        <f>IF($E24="","",Pricing!$N24+Pricing!$O24)</f>
        <v>0</v>
      </c>
      <c r="J24" s="220">
        <f ca="1">IF(OR($E24=0,$E24=""),"",(NPV($B$13,$I$5:$I24)+$G24*(1+$B$13)^-($E24+1))/NPV($B$13,$H$5:$H23))</f>
        <v>0.9949313357753361</v>
      </c>
      <c r="K24" s="220">
        <f ca="1">IF($E24="","",IFERROR(((G24+I24)/(NPV(K24,H$5:H23)*(1+K24)-NPV(K24,I$5:I23)*(1+K24)))^(1/E24)-1,0))</f>
        <v>1.0202054815968031E-2</v>
      </c>
      <c r="L24" s="163">
        <f ca="1">IF(OR($E24&gt;=$B$9,$E24=0),"",MAX(Pricing!$U24-$I24-0.01*$B$11,$V24))</f>
        <v>9457</v>
      </c>
      <c r="M24" s="163">
        <f ca="1">IF($E24="","",ROUND(Pricing!Q24+Pricing!R24-SUMPRODUCT(Pricing!G24:G$116,Pricing!L24:L$116)/Pricing!H24-$I24,0))</f>
        <v>9891</v>
      </c>
      <c r="N24" s="163">
        <f t="shared" ca="1" si="3"/>
        <v>9561</v>
      </c>
      <c r="O24" s="163">
        <f>IF(E24="","",IF(AND(Pricing!$K$3,$B$19),SUMIF(F24:F$116,"&gt;=" &amp; 16,Pricing!G24:G$116),SUM(Pricing!$G24:$G$116)))</f>
        <v>1617999.7300369448</v>
      </c>
      <c r="P24" s="427">
        <f>IF(OR($E24="",$E24=0),"",IF(OR(NOT($B$19),$F24&gt;=16,$E24=$B$10),0,((1+2.25%)*$P25*Pricing!$H25+(1+Pricing!$K$3)^0.5*Pricing!$G24)/Pricing!$H24))</f>
        <v>0</v>
      </c>
      <c r="Q24" s="163">
        <f ca="1">IF(OR($E24&gt;=$B$9,$E24=0,AND(NOT($B$19),$F24&lt;16)),"",MAX(Pricing!$I23,Pricing!$U24))</f>
        <v>9457</v>
      </c>
      <c r="R24" s="163">
        <f ca="1">IF($Q24="","",IF($L24=0,E24,COUNTIF($O25:$O$116,"&gt;=" &amp; $O24-$L24*(1-$P24)/$Q24*Pricing!$H24)+$E24))</f>
        <v>45</v>
      </c>
      <c r="S24" s="163">
        <f ca="1">IF($Q24="","",IF($L24=0,0,IF(R24&lt;$B$10,ROUND((L24*(1-P24)-(O24-INDEX(O24:O$116,R24-E24+1))/Pricing!H24*Q24)/(INDEX(Pricing!G24:G$116,R24-E24+1)/Pricing!H24*Q24)*365,0),0)))</f>
        <v>0</v>
      </c>
      <c r="T24" s="220" t="str">
        <f ca="1">IF(OR($Q24="",NOT($B$17)),"",IF($R24&lt;$B$10,0,ROUND(MIN(1,($L24-$O24/Pricing!$H24*$Q24)/(Pricing!$R24-Pricing!$O24)),4)))</f>
        <v/>
      </c>
      <c r="U24" s="163">
        <f ca="1">IF($Q24="","",IF($L24=0,0,IF(OR(R24&lt;$B$10,AND($B$17,$T24&lt;1)),0,$L24*(1-$P24)-$O24/Pricing!$H24*$Q24-IF($B$17,Pricing!$R24-Pricing!$O24,0))*IF($B$18=1,1,Pricing!$H24/IF($B$18=2,INDEX(Pricing!$H$5:$H$116,$B$9+1),INDEX(Pricing!$H$5:$H$116,$B$10+1)))))</f>
        <v>1402.7548082617395</v>
      </c>
      <c r="V24" s="425">
        <f ca="1">IF($E24="","",(1-$B$24*($B$10-$E24))*MIN($B$22+(1-$B$22)*$E24/MIN($B$23,$B$9),1)*(Pricing!$U24-$I24))</f>
        <v>9457</v>
      </c>
      <c r="W24" s="35">
        <f>IF($E24="","",IF(F24&gt;16,0,MAX(INDEX($L$6:$L$116,$W$4)*(1+2.25%)^0.5-INDEX($N$6:$N$116,$W$4)/$B$11*Pricing!M24,0)))</f>
        <v>0</v>
      </c>
      <c r="X24" s="428">
        <f>SUMPRODUCT(Reserve!G24:G$116,W24:W$116)/Reserve!H24</f>
        <v>0</v>
      </c>
    </row>
    <row r="25" spans="1:24" x14ac:dyDescent="0.3">
      <c r="D25" s="215">
        <v>20</v>
      </c>
      <c r="E25" s="233">
        <f t="shared" si="0"/>
        <v>20</v>
      </c>
      <c r="F25" s="234">
        <f t="shared" si="1"/>
        <v>55</v>
      </c>
      <c r="G25" s="165">
        <f ca="1">IF($E25="","",ROUND((1-$B$24*($B$10-$E25))*MIN($B$22+(1-$B$22)*$E25/MIN($B$23,$B$9),1)*(Pricing!$U25-$I25),0))</f>
        <v>10113</v>
      </c>
      <c r="H25" s="166">
        <f t="shared" si="2"/>
        <v>0</v>
      </c>
      <c r="I25" s="166">
        <f>IF($E25="","",Pricing!$N25+Pricing!$O25)</f>
        <v>0</v>
      </c>
      <c r="J25" s="235">
        <f ca="1">IF(OR($E25=0,$E25=""),"",(NPV($B$13,$I$5:$I25)+$G25*(1+$B$13)^-($E25+1))/NPV($B$13,$H$5:$H24))</f>
        <v>1.0051996175128646</v>
      </c>
      <c r="K25" s="235">
        <f ca="1">IF($E25="","",IFERROR(((G25+I25)/(NPV(K25,H$5:H24)*(1+K25)-NPV(K25,I$5:I24)*(1+K25)))^(1/E25)-1,0))</f>
        <v>1.1182702306165693E-2</v>
      </c>
      <c r="L25" s="166" t="str">
        <f>IF(OR($E25&gt;=$B$9,$E25=0),"",MAX(Pricing!$U25-$I25-0.01*$B$11,$V25))</f>
        <v/>
      </c>
      <c r="M25" s="166">
        <f ca="1">IF($E25="","",ROUND(Pricing!Q25+Pricing!R25-SUMPRODUCT(Pricing!G25:G$116,Pricing!L25:L$116)/Pricing!H25-$I25,0))</f>
        <v>10113</v>
      </c>
      <c r="N25" s="166" t="str">
        <f t="shared" si="3"/>
        <v/>
      </c>
      <c r="O25" s="166">
        <f>IF(E25="","",IF(AND(Pricing!$K$3,$B$19),SUMIF(F25:F$116,"&gt;=" &amp; 16,Pricing!G25:G$116),SUM(Pricing!$G25:$G$116)))</f>
        <v>1597819.8632525387</v>
      </c>
      <c r="P25" s="429">
        <f>IF(OR($E25="",$E25=0),"",IF(OR(NOT($B$19),$F25&gt;=16,$E25=$B$10),0,((1+2.25%)*$P26*Pricing!$H26+(1+Pricing!$K$3)^0.5*Pricing!$G25)/Pricing!$H25))</f>
        <v>0</v>
      </c>
      <c r="Q25" s="166" t="str">
        <f>IF(OR($E25&gt;=$B$9,$E25=0,AND(NOT($B$19),$F25&lt;16)),"",MAX(Pricing!$I24,Pricing!$U25))</f>
        <v/>
      </c>
      <c r="R25" s="166" t="str">
        <f>IF($Q25="","",IF($L25=0,E25,COUNTIF($O26:$O$116,"&gt;=" &amp; $O25-$L25*(1-$P25)/$Q25*Pricing!$H25)+$E25))</f>
        <v/>
      </c>
      <c r="S25" s="166" t="str">
        <f>IF($Q25="","",IF($L25=0,0,IF(R25&lt;$B$10,ROUND((L25*(1-P25)-(O25-INDEX(O25:O$116,R25-E25+1))/Pricing!H25*Q25)/(INDEX(Pricing!G25:G$116,R25-E25+1)/Pricing!H25*Q25)*365,0),0)))</f>
        <v/>
      </c>
      <c r="T25" s="235" t="str">
        <f>IF(OR($Q25="",NOT($B$17)),"",IF($R25&lt;$B$10,0,ROUND(MIN(1,($L25-$O25/Pricing!$H25*$Q25)/(Pricing!$R25-Pricing!$O25)),4)))</f>
        <v/>
      </c>
      <c r="U25" s="166" t="str">
        <f>IF($Q25="","",IF($L25=0,0,IF(OR(R25&lt;$B$10,AND($B$17,$T25&lt;1)),0,$L25*(1-$P25)-$O25/Pricing!$H25*$Q25-IF($B$17,Pricing!$R25-Pricing!$O25,0))*IF($B$18=1,1,Pricing!$H25/IF($B$18=2,INDEX(Pricing!$H$5:$H$116,$B$9+1),INDEX(Pricing!$H$5:$H$116,$B$10+1)))))</f>
        <v/>
      </c>
      <c r="V25" s="425">
        <f ca="1">IF($E25="","",(1-$B$24*($B$10-$E25))*MIN($B$22+(1-$B$22)*$E25/MIN($B$23,$B$9),1)*(Pricing!$U25-$I25))</f>
        <v>10113</v>
      </c>
      <c r="W25" s="35">
        <f>IF($E25="","",IF(F25&gt;16,0,MAX(INDEX($L$6:$L$116,$W$4)*(1+2.25%)^0.5-INDEX($N$6:$N$116,$W$4)/$B$11*Pricing!M25,0)))</f>
        <v>0</v>
      </c>
      <c r="X25" s="428">
        <f>SUMPRODUCT(Reserve!G25:G$116,W25:W$116)/Reserve!H25</f>
        <v>0</v>
      </c>
    </row>
    <row r="26" spans="1:24" x14ac:dyDescent="0.3">
      <c r="D26" s="215">
        <v>21</v>
      </c>
      <c r="E26" s="217">
        <f t="shared" si="0"/>
        <v>21</v>
      </c>
      <c r="F26" s="228">
        <f t="shared" si="1"/>
        <v>56</v>
      </c>
      <c r="G26" s="162">
        <f ca="1">IF($E26="","",ROUND((1-$B$24*($B$10-$E26))*MIN($B$22+(1-$B$22)*$E26/MIN($B$23,$B$9),1)*(Pricing!$U26-$I26),0))</f>
        <v>10341</v>
      </c>
      <c r="H26" s="163">
        <f t="shared" si="2"/>
        <v>0</v>
      </c>
      <c r="I26" s="163">
        <f>IF($E26="","",Pricing!$N26+Pricing!$O26)</f>
        <v>0</v>
      </c>
      <c r="J26" s="220">
        <f ca="1">IF(OR($E26=0,$E26=""),"",(NPV($B$13,$I$5:$I26)+$G26*(1+$B$13)^-($E26+1))/NPV($B$13,$H$5:$H25))</f>
        <v>1.0169803927306926</v>
      </c>
      <c r="K26" s="220">
        <f ca="1">IF($E26="","",IFERROR(((G26+I26)/(NPV(K26,H$5:H25)*(1+K26)-NPV(K26,I$5:I25)*(1+K26)))^(1/E26)-1,0))</f>
        <v>1.2133854300423019E-2</v>
      </c>
      <c r="L26" s="163" t="str">
        <f>IF(OR($E26&gt;=$B$9,$E26=0),"",MAX(Pricing!$U26-$I26-0.01*$B$11,$V26))</f>
        <v/>
      </c>
      <c r="M26" s="163">
        <f ca="1">IF($E26="","",ROUND(Pricing!Q26+Pricing!R26-SUMPRODUCT(Pricing!G26:G$116,Pricing!L26:L$116)/Pricing!H26-$I26,0))</f>
        <v>10341</v>
      </c>
      <c r="N26" s="163" t="str">
        <f t="shared" si="3"/>
        <v/>
      </c>
      <c r="O26" s="163">
        <f>IF(E26="","",IF(AND(Pricing!$K$3,$B$19),SUMIF(F26:F$116,"&gt;=" &amp; 16,Pricing!G26:G$116),SUM(Pricing!$G26:$G$116)))</f>
        <v>1576507.8748918667</v>
      </c>
      <c r="P26" s="427">
        <f>IF(OR($E26="",$E26=0),"",IF(OR(NOT($B$19),$F26&gt;=16,$E26=$B$10),0,((1+2.25%)*$P27*Pricing!$H27+(1+Pricing!$K$3)^0.5*Pricing!$G26)/Pricing!$H26))</f>
        <v>0</v>
      </c>
      <c r="Q26" s="163" t="str">
        <f>IF(OR($E26&gt;=$B$9,$E26=0,AND(NOT($B$19),$F26&lt;16)),"",MAX(Pricing!$I25,Pricing!$U26))</f>
        <v/>
      </c>
      <c r="R26" s="163" t="str">
        <f>IF($Q26="","",IF($L26=0,E26,COUNTIF($O27:$O$116,"&gt;=" &amp; $O26-$L26*(1-$P26)/$Q26*Pricing!$H26)+$E26))</f>
        <v/>
      </c>
      <c r="S26" s="163" t="str">
        <f>IF($Q26="","",IF($L26=0,0,IF(R26&lt;$B$10,ROUND((L26*(1-P26)-(O26-INDEX(O26:O$116,R26-E26+1))/Pricing!H26*Q26)/(INDEX(Pricing!G26:G$116,R26-E26+1)/Pricing!H26*Q26)*365,0),0)))</f>
        <v/>
      </c>
      <c r="T26" s="220" t="str">
        <f>IF(OR($Q26="",NOT($B$17)),"",IF($R26&lt;$B$10,0,ROUND(MIN(1,($L26-$O26/Pricing!$H26*$Q26)/(Pricing!$R26-Pricing!$O26)),4)))</f>
        <v/>
      </c>
      <c r="U26" s="163" t="str">
        <f>IF($Q26="","",IF($L26=0,0,IF(OR(R26&lt;$B$10,AND($B$17,$T26&lt;1)),0,$L26*(1-$P26)-$O26/Pricing!$H26*$Q26-IF($B$17,Pricing!$R26-Pricing!$O26,0))*IF($B$18=1,1,Pricing!$H26/IF($B$18=2,INDEX(Pricing!$H$5:$H$116,$B$9+1),INDEX(Pricing!$H$5:$H$116,$B$10+1)))))</f>
        <v/>
      </c>
      <c r="V26" s="425">
        <f ca="1">IF($E26="","",(1-$B$24*($B$10-$E26))*MIN($B$22+(1-$B$22)*$E26/MIN($B$23,$B$9),1)*(Pricing!$U26-$I26))</f>
        <v>10341</v>
      </c>
      <c r="W26" s="35">
        <f>IF($E26="","",IF(F26&gt;16,0,MAX(INDEX($L$6:$L$116,$W$4)*(1+2.25%)^0.5-INDEX($N$6:$N$116,$W$4)/$B$11*Pricing!M26,0)))</f>
        <v>0</v>
      </c>
      <c r="X26" s="428">
        <f>SUMPRODUCT(Reserve!G26:G$116,W26:W$116)/Reserve!H26</f>
        <v>0</v>
      </c>
    </row>
    <row r="27" spans="1:24" x14ac:dyDescent="0.3">
      <c r="D27" s="215">
        <v>22</v>
      </c>
      <c r="E27" s="217">
        <f t="shared" si="0"/>
        <v>22</v>
      </c>
      <c r="F27" s="228">
        <f t="shared" si="1"/>
        <v>57</v>
      </c>
      <c r="G27" s="162">
        <f ca="1">IF($E27="","",ROUND((1-$B$24*($B$10-$E27))*MIN($B$22+(1-$B$22)*$E27/MIN($B$23,$B$9),1)*(Pricing!$U27-$I27),0))</f>
        <v>10573</v>
      </c>
      <c r="H27" s="163">
        <f t="shared" si="2"/>
        <v>0</v>
      </c>
      <c r="I27" s="163">
        <f>IF($E27="","",Pricing!$N27+Pricing!$O27)</f>
        <v>0</v>
      </c>
      <c r="J27" s="220">
        <f ca="1">IF(OR($E27=0,$E27=""),"",(NPV($B$13,$I$5:$I27)+$G27*(1+$B$13)^-($E27+1))/NPV($B$13,$H$5:$H26))</f>
        <v>1.028788280297023</v>
      </c>
      <c r="K27" s="220">
        <f ca="1">IF($E27="","",IFERROR(((G27+I27)/(NPV(K27,H$5:H26)*(1+K27)-NPV(K27,I$5:I26)*(1+K27)))^(1/E27)-1,0))</f>
        <v>1.2927826657331609E-2</v>
      </c>
      <c r="L27" s="163" t="str">
        <f>IF(OR($E27&gt;=$B$9,$E27=0),"",MAX(Pricing!$U27-$I27-0.01*$B$11,$V27))</f>
        <v/>
      </c>
      <c r="M27" s="163">
        <f ca="1">IF($E27="","",ROUND(Pricing!Q27+Pricing!R27-SUMPRODUCT(Pricing!G27:G$116,Pricing!L27:L$116)/Pricing!H27-$I27,0))</f>
        <v>10573</v>
      </c>
      <c r="N27" s="163" t="str">
        <f t="shared" si="3"/>
        <v/>
      </c>
      <c r="O27" s="163">
        <f>IF(E27="","",IF(AND(Pricing!$K$3,$B$19),SUMIF(F27:F$116,"&gt;=" &amp; 16,Pricing!G27:G$116),SUM(Pricing!$G27:$G$116)))</f>
        <v>1553983.6904634044</v>
      </c>
      <c r="P27" s="427">
        <f>IF(OR($E27="",$E27=0),"",IF(OR(NOT($B$19),$F27&gt;=16,$E27=$B$10),0,((1+2.25%)*$P28*Pricing!$H28+(1+Pricing!$K$3)^0.5*Pricing!$G27)/Pricing!$H27))</f>
        <v>0</v>
      </c>
      <c r="Q27" s="163" t="str">
        <f>IF(OR($E27&gt;=$B$9,$E27=0,AND(NOT($B$19),$F27&lt;16)),"",MAX(Pricing!$I26,Pricing!$U27))</f>
        <v/>
      </c>
      <c r="R27" s="163" t="str">
        <f>IF($Q27="","",IF($L27=0,E27,COUNTIF($O28:$O$116,"&gt;=" &amp; $O27-$L27*(1-$P27)/$Q27*Pricing!$H27)+$E27))</f>
        <v/>
      </c>
      <c r="S27" s="163" t="str">
        <f>IF($Q27="","",IF($L27=0,0,IF(R27&lt;$B$10,ROUND((L27*(1-P27)-(O27-INDEX(O27:O$116,R27-E27+1))/Pricing!H27*Q27)/(INDEX(Pricing!G27:G$116,R27-E27+1)/Pricing!H27*Q27)*365,0),0)))</f>
        <v/>
      </c>
      <c r="T27" s="220" t="str">
        <f>IF(OR($Q27="",NOT($B$17)),"",IF($R27&lt;$B$10,0,ROUND(MIN(1,($L27-$O27/Pricing!$H27*$Q27)/(Pricing!$R27-Pricing!$O27)),4)))</f>
        <v/>
      </c>
      <c r="U27" s="163" t="str">
        <f>IF($Q27="","",IF($L27=0,0,IF(OR(R27&lt;$B$10,AND($B$17,$T27&lt;1)),0,$L27*(1-$P27)-$O27/Pricing!$H27*$Q27-IF($B$17,Pricing!$R27-Pricing!$O27,0))*IF($B$18=1,1,Pricing!$H27/IF($B$18=2,INDEX(Pricing!$H$5:$H$116,$B$9+1),INDEX(Pricing!$H$5:$H$116,$B$10+1)))))</f>
        <v/>
      </c>
      <c r="V27" s="425">
        <f ca="1">IF($E27="","",(1-$B$24*($B$10-$E27))*MIN($B$22+(1-$B$22)*$E27/MIN($B$23,$B$9),1)*(Pricing!$U27-$I27))</f>
        <v>10573</v>
      </c>
      <c r="W27" s="35">
        <f>IF($E27="","",IF(F27&gt;16,0,MAX(INDEX($L$6:$L$116,$W$4)*(1+2.25%)^0.5-INDEX($N$6:$N$116,$W$4)/$B$11*Pricing!M27,0)))</f>
        <v>0</v>
      </c>
      <c r="X27" s="428">
        <f>SUMPRODUCT(Reserve!G27:G$116,W27:W$116)/Reserve!H27</f>
        <v>0</v>
      </c>
    </row>
    <row r="28" spans="1:24" x14ac:dyDescent="0.3">
      <c r="D28" s="215">
        <v>23</v>
      </c>
      <c r="E28" s="217">
        <f t="shared" si="0"/>
        <v>23</v>
      </c>
      <c r="F28" s="228">
        <f t="shared" si="1"/>
        <v>58</v>
      </c>
      <c r="G28" s="162">
        <f ca="1">IF($E28="","",ROUND((1-$B$24*($B$10-$E28))*MIN($B$22+(1-$B$22)*$E28/MIN($B$23,$B$9),1)*(Pricing!$U28-$I28),0))</f>
        <v>10811</v>
      </c>
      <c r="H28" s="163">
        <f t="shared" si="2"/>
        <v>0</v>
      </c>
      <c r="I28" s="163">
        <f>IF($E28="","",Pricing!$N28+Pricing!$O28)</f>
        <v>0</v>
      </c>
      <c r="J28" s="220">
        <f ca="1">IF(OR($E28=0,$E28=""),"",(NPV($B$13,$I$5:$I28)+$G28*(1+$B$13)^-($E28+1))/NPV($B$13,$H$5:$H27))</f>
        <v>1.0408098117279432</v>
      </c>
      <c r="K28" s="220">
        <f ca="1">IF($E28="","",IFERROR(((G28+I28)/(NPV(K28,H$5:H27)*(1+K28)-NPV(K28,I$5:I27)*(1+K28)))^(1/E28)-1,0))</f>
        <v>1.3612332814734174E-2</v>
      </c>
      <c r="L28" s="163" t="str">
        <f>IF(OR($E28&gt;=$B$9,$E28=0),"",MAX(Pricing!$U28-$I28-0.01*$B$11,$V28))</f>
        <v/>
      </c>
      <c r="M28" s="163">
        <f ca="1">IF($E28="","",ROUND(Pricing!Q28+Pricing!R28-SUMPRODUCT(Pricing!G28:G$116,Pricing!L28:L$116)/Pricing!H28-$I28,0))</f>
        <v>10811</v>
      </c>
      <c r="N28" s="163" t="str">
        <f t="shared" si="3"/>
        <v/>
      </c>
      <c r="O28" s="163">
        <f>IF(E28="","",IF(AND(Pricing!$K$3,$B$19),SUMIF(F28:F$116,"&gt;=" &amp; 16,Pricing!G28:G$116),SUM(Pricing!$G28:$G$116)))</f>
        <v>1530165.7569136606</v>
      </c>
      <c r="P28" s="427">
        <f>IF(OR($E28="",$E28=0),"",IF(OR(NOT($B$19),$F28&gt;=16,$E28=$B$10),0,((1+2.25%)*$P29*Pricing!$H29+(1+Pricing!$K$3)^0.5*Pricing!$G28)/Pricing!$H28))</f>
        <v>0</v>
      </c>
      <c r="Q28" s="163" t="str">
        <f>IF(OR($E28&gt;=$B$9,$E28=0,AND(NOT($B$19),$F28&lt;16)),"",MAX(Pricing!$I27,Pricing!$U28))</f>
        <v/>
      </c>
      <c r="R28" s="163" t="str">
        <f>IF($Q28="","",IF($L28=0,E28,COUNTIF($O29:$O$116,"&gt;=" &amp; $O28-$L28*(1-$P28)/$Q28*Pricing!$H28)+$E28))</f>
        <v/>
      </c>
      <c r="S28" s="163" t="str">
        <f>IF($Q28="","",IF($L28=0,0,IF(R28&lt;$B$10,ROUND((L28*(1-P28)-(O28-INDEX(O28:O$116,R28-E28+1))/Pricing!H28*Q28)/(INDEX(Pricing!G28:G$116,R28-E28+1)/Pricing!H28*Q28)*365,0),0)))</f>
        <v/>
      </c>
      <c r="T28" s="220" t="str">
        <f>IF(OR($Q28="",NOT($B$17)),"",IF($R28&lt;$B$10,0,ROUND(MIN(1,($L28-$O28/Pricing!$H28*$Q28)/(Pricing!$R28-Pricing!$O28)),4)))</f>
        <v/>
      </c>
      <c r="U28" s="163" t="str">
        <f>IF($Q28="","",IF($L28=0,0,IF(OR(R28&lt;$B$10,AND($B$17,$T28&lt;1)),0,$L28*(1-$P28)-$O28/Pricing!$H28*$Q28-IF($B$17,Pricing!$R28-Pricing!$O28,0))*IF($B$18=1,1,Pricing!$H28/IF($B$18=2,INDEX(Pricing!$H$5:$H$116,$B$9+1),INDEX(Pricing!$H$5:$H$116,$B$10+1)))))</f>
        <v/>
      </c>
      <c r="V28" s="425">
        <f ca="1">IF($E28="","",(1-$B$24*($B$10-$E28))*MIN($B$22+(1-$B$22)*$E28/MIN($B$23,$B$9),1)*(Pricing!$U28-$I28))</f>
        <v>10811</v>
      </c>
      <c r="W28" s="35">
        <f>IF($E28="","",IF(F28&gt;16,0,MAX(INDEX($L$6:$L$116,$W$4)*(1+2.25%)^0.5-INDEX($N$6:$N$116,$W$4)/$B$11*Pricing!M28,0)))</f>
        <v>0</v>
      </c>
      <c r="X28" s="428">
        <f>SUMPRODUCT(Reserve!G28:G$116,W28:W$116)/Reserve!H28</f>
        <v>0</v>
      </c>
    </row>
    <row r="29" spans="1:24" x14ac:dyDescent="0.3">
      <c r="D29" s="215">
        <v>24</v>
      </c>
      <c r="E29" s="217">
        <f t="shared" si="0"/>
        <v>24</v>
      </c>
      <c r="F29" s="228">
        <f t="shared" si="1"/>
        <v>59</v>
      </c>
      <c r="G29" s="162">
        <f ca="1">IF($E29="","",ROUND((1-$B$24*($B$10-$E29))*MIN($B$22+(1-$B$22)*$E29/MIN($B$23,$B$9),1)*(Pricing!$U29-$I29),0))</f>
        <v>11054</v>
      </c>
      <c r="H29" s="163">
        <f t="shared" si="2"/>
        <v>0</v>
      </c>
      <c r="I29" s="163">
        <f>IF($E29="","",Pricing!$N29+Pricing!$O29)</f>
        <v>0</v>
      </c>
      <c r="J29" s="220">
        <f ca="1">IF(OR($E29=0,$E29=""),"",(NPV($B$13,$I$5:$I29)+$G29*(1+$B$13)^-($E29+1))/NPV($B$13,$H$5:$H28))</f>
        <v>1.0529377707224479</v>
      </c>
      <c r="K29" s="220">
        <f ca="1">IF($E29="","",IFERROR(((G29+I29)/(NPV(K29,H$5:H28)*(1+K29)-NPV(K29,I$5:I28)*(1+K29)))^(1/E29)-1,0))</f>
        <v>1.4202546721854503E-2</v>
      </c>
      <c r="L29" s="163" t="str">
        <f>IF(OR($E29&gt;=$B$9,$E29=0),"",MAX(Pricing!$U29-$I29-0.01*$B$11,$V29))</f>
        <v/>
      </c>
      <c r="M29" s="163">
        <f ca="1">IF($E29="","",ROUND(Pricing!Q29+Pricing!R29-SUMPRODUCT(Pricing!G29:G$116,Pricing!L29:L$116)/Pricing!H29-$I29,0))</f>
        <v>11054</v>
      </c>
      <c r="N29" s="163" t="str">
        <f t="shared" si="3"/>
        <v/>
      </c>
      <c r="O29" s="163">
        <f>IF(E29="","",IF(AND(Pricing!$K$3,$B$19),SUMIF(F29:F$116,"&gt;=" &amp; 16,Pricing!G29:G$116),SUM(Pricing!$G29:$G$116)))</f>
        <v>1504969.0096758348</v>
      </c>
      <c r="P29" s="427">
        <f>IF(OR($E29="",$E29=0),"",IF(OR(NOT($B$19),$F29&gt;=16,$E29=$B$10),0,((1+2.25%)*$P30*Pricing!$H30+(1+Pricing!$K$3)^0.5*Pricing!$G29)/Pricing!$H29))</f>
        <v>0</v>
      </c>
      <c r="Q29" s="163" t="str">
        <f>IF(OR($E29&gt;=$B$9,$E29=0,AND(NOT($B$19),$F29&lt;16)),"",MAX(Pricing!$I28,Pricing!$U29))</f>
        <v/>
      </c>
      <c r="R29" s="163" t="str">
        <f>IF($Q29="","",IF($L29=0,E29,COUNTIF($O30:$O$116,"&gt;=" &amp; $O29-$L29*(1-$P29)/$Q29*Pricing!$H29)+$E29))</f>
        <v/>
      </c>
      <c r="S29" s="163" t="str">
        <f>IF($Q29="","",IF($L29=0,0,IF(R29&lt;$B$10,ROUND((L29*(1-P29)-(O29-INDEX(O29:O$116,R29-E29+1))/Pricing!H29*Q29)/(INDEX(Pricing!G29:G$116,R29-E29+1)/Pricing!H29*Q29)*365,0),0)))</f>
        <v/>
      </c>
      <c r="T29" s="220" t="str">
        <f>IF(OR($Q29="",NOT($B$17)),"",IF($R29&lt;$B$10,0,ROUND(MIN(1,($L29-$O29/Pricing!$H29*$Q29)/(Pricing!$R29-Pricing!$O29)),4)))</f>
        <v/>
      </c>
      <c r="U29" s="163" t="str">
        <f>IF($Q29="","",IF($L29=0,0,IF(OR(R29&lt;$B$10,AND($B$17,$T29&lt;1)),0,$L29*(1-$P29)-$O29/Pricing!$H29*$Q29-IF($B$17,Pricing!$R29-Pricing!$O29,0))*IF($B$18=1,1,Pricing!$H29/IF($B$18=2,INDEX(Pricing!$H$5:$H$116,$B$9+1),INDEX(Pricing!$H$5:$H$116,$B$10+1)))))</f>
        <v/>
      </c>
      <c r="V29" s="425">
        <f ca="1">IF($E29="","",(1-$B$24*($B$10-$E29))*MIN($B$22+(1-$B$22)*$E29/MIN($B$23,$B$9),1)*(Pricing!$U29-$I29))</f>
        <v>11054</v>
      </c>
      <c r="W29" s="35">
        <f>IF($E29="","",IF(F29&gt;16,0,MAX(INDEX($L$6:$L$116,$W$4)*(1+2.25%)^0.5-INDEX($N$6:$N$116,$W$4)/$B$11*Pricing!M29,0)))</f>
        <v>0</v>
      </c>
      <c r="X29" s="428">
        <f>SUMPRODUCT(Reserve!G29:G$116,W29:W$116)/Reserve!H29</f>
        <v>0</v>
      </c>
    </row>
    <row r="30" spans="1:24" x14ac:dyDescent="0.3">
      <c r="D30" s="215">
        <v>25</v>
      </c>
      <c r="E30" s="233">
        <f t="shared" si="0"/>
        <v>25</v>
      </c>
      <c r="F30" s="234">
        <f t="shared" si="1"/>
        <v>60</v>
      </c>
      <c r="G30" s="165">
        <f ca="1">IF($E30="","",ROUND((1-$B$24*($B$10-$E30))*MIN($B$22+(1-$B$22)*$E30/MIN($B$23,$B$9),1)*(Pricing!$U30-$I30),0))</f>
        <v>11303</v>
      </c>
      <c r="H30" s="166">
        <f t="shared" si="2"/>
        <v>0</v>
      </c>
      <c r="I30" s="166">
        <f>IF($E30="","",Pricing!$N30+Pricing!$O30)</f>
        <v>0</v>
      </c>
      <c r="J30" s="235">
        <f ca="1">IF(OR($E30=0,$E30=""),"",(NPV($B$13,$I$5:$I30)+$G30*(1+$B$13)^-($E30+1))/NPV($B$13,$H$5:$H29))</f>
        <v>1.0652577599239279</v>
      </c>
      <c r="K30" s="235">
        <f ca="1">IF($E30="","",IFERROR(((G30+I30)/(NPV(K30,H$5:H29)*(1+K30)-NPV(K30,I$5:I29)*(1+K30)))^(1/E30)-1,0))</f>
        <v>1.4721512313396801E-2</v>
      </c>
      <c r="L30" s="166" t="str">
        <f>IF(OR($E30&gt;=$B$9,$E30=0),"",MAX(Pricing!$U30-$I30-0.01*$B$11,$V30))</f>
        <v/>
      </c>
      <c r="M30" s="166">
        <f ca="1">IF($E30="","",ROUND(Pricing!Q30+Pricing!R30-SUMPRODUCT(Pricing!G30:G$116,Pricing!L30:L$116)/Pricing!H30-$I30,0))</f>
        <v>11303</v>
      </c>
      <c r="N30" s="166" t="str">
        <f t="shared" si="3"/>
        <v/>
      </c>
      <c r="O30" s="166">
        <f>IF(E30="","",IF(AND(Pricing!$K$3,$B$19),SUMIF(F30:F$116,"&gt;=" &amp; 16,Pricing!G30:G$116),SUM(Pricing!$G30:$G$116)))</f>
        <v>1478315.8529562913</v>
      </c>
      <c r="P30" s="429">
        <f>IF(OR($E30="",$E30=0),"",IF(OR(NOT($B$19),$F30&gt;=16,$E30=$B$10),0,((1+2.25%)*$P31*Pricing!$H31+(1+Pricing!$K$3)^0.5*Pricing!$G30)/Pricing!$H30))</f>
        <v>0</v>
      </c>
      <c r="Q30" s="166" t="str">
        <f>IF(OR($E30&gt;=$B$9,$E30=0,AND(NOT($B$19),$F30&lt;16)),"",MAX(Pricing!$I29,Pricing!$U30))</f>
        <v/>
      </c>
      <c r="R30" s="166" t="str">
        <f>IF($Q30="","",IF($L30=0,E30,COUNTIF($O31:$O$116,"&gt;=" &amp; $O30-$L30*(1-$P30)/$Q30*Pricing!$H30)+$E30))</f>
        <v/>
      </c>
      <c r="S30" s="166" t="str">
        <f>IF($Q30="","",IF($L30=0,0,IF(R30&lt;$B$10,ROUND((L30*(1-P30)-(O30-INDEX(O30:O$116,R30-E30+1))/Pricing!H30*Q30)/(INDEX(Pricing!G30:G$116,R30-E30+1)/Pricing!H30*Q30)*365,0),0)))</f>
        <v/>
      </c>
      <c r="T30" s="235" t="str">
        <f>IF(OR($Q30="",NOT($B$17)),"",IF($R30&lt;$B$10,0,ROUND(MIN(1,($L30-$O30/Pricing!$H30*$Q30)/(Pricing!$R30-Pricing!$O30)),4)))</f>
        <v/>
      </c>
      <c r="U30" s="166" t="str">
        <f>IF($Q30="","",IF($L30=0,0,IF(OR(R30&lt;$B$10,AND($B$17,$T30&lt;1)),0,$L30*(1-$P30)-$O30/Pricing!$H30*$Q30-IF($B$17,Pricing!$R30-Pricing!$O30,0))*IF($B$18=1,1,Pricing!$H30/IF($B$18=2,INDEX(Pricing!$H$5:$H$116,$B$9+1),INDEX(Pricing!$H$5:$H$116,$B$10+1)))))</f>
        <v/>
      </c>
      <c r="V30" s="425">
        <f ca="1">IF($E30="","",(1-$B$24*($B$10-$E30))*MIN($B$22+(1-$B$22)*$E30/MIN($B$23,$B$9),1)*(Pricing!$U30-$I30))</f>
        <v>11303</v>
      </c>
      <c r="W30" s="35">
        <f>IF($E30="","",IF(F30&gt;16,0,MAX(INDEX($L$6:$L$116,$W$4)*(1+2.25%)^0.5-INDEX($N$6:$N$116,$W$4)/$B$11*Pricing!M30,0)))</f>
        <v>0</v>
      </c>
      <c r="X30" s="428">
        <f>SUMPRODUCT(Reserve!G30:G$116,W30:W$116)/Reserve!H30</f>
        <v>0</v>
      </c>
    </row>
    <row r="31" spans="1:24" x14ac:dyDescent="0.3">
      <c r="D31" s="215">
        <v>26</v>
      </c>
      <c r="E31" s="217">
        <f t="shared" si="0"/>
        <v>26</v>
      </c>
      <c r="F31" s="228">
        <f t="shared" si="1"/>
        <v>61</v>
      </c>
      <c r="G31" s="162">
        <f ca="1">IF($E31="","",ROUND((1-$B$24*($B$10-$E31))*MIN($B$22+(1-$B$22)*$E31/MIN($B$23,$B$9),1)*(Pricing!$U31-$I31),0))</f>
        <v>11557</v>
      </c>
      <c r="H31" s="163">
        <f t="shared" si="2"/>
        <v>0</v>
      </c>
      <c r="I31" s="163">
        <f>IF($E31="","",Pricing!$N31+Pricing!$O31)</f>
        <v>0</v>
      </c>
      <c r="J31" s="220">
        <f ca="1">IF(OR($E31=0,$E31=""),"",(NPV($B$13,$I$5:$I31)+$G31*(1+$B$13)^-($E31+1))/NPV($B$13,$H$5:$H30))</f>
        <v>1.0776651197698939</v>
      </c>
      <c r="K31" s="220">
        <f ca="1">IF($E31="","",IFERROR(((G31+I31)/(NPV(K31,H$5:H30)*(1+K31)-NPV(K31,I$5:I30)*(1+K31)))^(1/E31)-1,0))</f>
        <v>1.5175984194917502E-2</v>
      </c>
      <c r="L31" s="163" t="str">
        <f>IF(OR($E31&gt;=$B$9,$E31=0),"",MAX(Pricing!$U31-$I31-0.01*$B$11,$V31))</f>
        <v/>
      </c>
      <c r="M31" s="163">
        <f ca="1">IF($E31="","",ROUND(Pricing!Q31+Pricing!R31-SUMPRODUCT(Pricing!G31:G$116,Pricing!L31:L$116)/Pricing!H31-$I31,0))</f>
        <v>11557</v>
      </c>
      <c r="N31" s="163" t="str">
        <f t="shared" si="3"/>
        <v/>
      </c>
      <c r="O31" s="163">
        <f>IF(E31="","",IF(AND(Pricing!$K$3,$B$19),SUMIF(F31:F$116,"&gt;=" &amp; 16,Pricing!G31:G$116),SUM(Pricing!$G31:$G$116)))</f>
        <v>1450136.59060653</v>
      </c>
      <c r="P31" s="427">
        <f>IF(OR($E31="",$E31=0),"",IF(OR(NOT($B$19),$F31&gt;=16,$E31=$B$10),0,((1+2.25%)*$P32*Pricing!$H32+(1+Pricing!$K$3)^0.5*Pricing!$G31)/Pricing!$H31))</f>
        <v>0</v>
      </c>
      <c r="Q31" s="163" t="str">
        <f>IF(OR($E31&gt;=$B$9,$E31=0,AND(NOT($B$19),$F31&lt;16)),"",MAX(Pricing!$I30,Pricing!$U31))</f>
        <v/>
      </c>
      <c r="R31" s="163" t="str">
        <f>IF($Q31="","",IF($L31=0,E31,COUNTIF($O32:$O$116,"&gt;=" &amp; $O31-$L31*(1-$P31)/$Q31*Pricing!$H31)+$E31))</f>
        <v/>
      </c>
      <c r="S31" s="163" t="str">
        <f>IF($Q31="","",IF($L31=0,0,IF(R31&lt;$B$10,ROUND((L31*(1-P31)-(O31-INDEX(O31:O$116,R31-E31+1))/Pricing!H31*Q31)/(INDEX(Pricing!G31:G$116,R31-E31+1)/Pricing!H31*Q31)*365,0),0)))</f>
        <v/>
      </c>
      <c r="T31" s="220" t="str">
        <f>IF(OR($Q31="",NOT($B$17)),"",IF($R31&lt;$B$10,0,ROUND(MIN(1,($L31-$O31/Pricing!$H31*$Q31)/(Pricing!$R31-Pricing!$O31)),4)))</f>
        <v/>
      </c>
      <c r="U31" s="163" t="str">
        <f>IF($Q31="","",IF($L31=0,0,IF(OR(R31&lt;$B$10,AND($B$17,$T31&lt;1)),0,$L31*(1-$P31)-$O31/Pricing!$H31*$Q31-IF($B$17,Pricing!$R31-Pricing!$O31,0))*IF($B$18=1,1,Pricing!$H31/IF($B$18=2,INDEX(Pricing!$H$5:$H$116,$B$9+1),INDEX(Pricing!$H$5:$H$116,$B$10+1)))))</f>
        <v/>
      </c>
      <c r="V31" s="425">
        <f ca="1">IF($E31="","",(1-$B$24*($B$10-$E31))*MIN($B$22+(1-$B$22)*$E31/MIN($B$23,$B$9),1)*(Pricing!$U31-$I31))</f>
        <v>11557</v>
      </c>
      <c r="W31" s="35">
        <f>IF($E31="","",IF(F31&gt;16,0,MAX(INDEX($L$6:$L$116,$W$4)*(1+2.25%)^0.5-INDEX($N$6:$N$116,$W$4)/$B$11*Pricing!M31,0)))</f>
        <v>0</v>
      </c>
      <c r="X31" s="428">
        <f>SUMPRODUCT(Reserve!G31:G$116,W31:W$116)/Reserve!H31</f>
        <v>0</v>
      </c>
    </row>
    <row r="32" spans="1:24" x14ac:dyDescent="0.3">
      <c r="D32" s="215">
        <v>27</v>
      </c>
      <c r="E32" s="217">
        <f t="shared" si="0"/>
        <v>27</v>
      </c>
      <c r="F32" s="228">
        <f t="shared" si="1"/>
        <v>62</v>
      </c>
      <c r="G32" s="162">
        <f ca="1">IF($E32="","",ROUND((1-$B$24*($B$10-$E32))*MIN($B$22+(1-$B$22)*$E32/MIN($B$23,$B$9),1)*(Pricing!$U32-$I32),0))</f>
        <v>11817</v>
      </c>
      <c r="H32" s="163">
        <f t="shared" si="2"/>
        <v>0</v>
      </c>
      <c r="I32" s="163">
        <f>IF($E32="","",Pricing!$N32+Pricing!$O32)</f>
        <v>0</v>
      </c>
      <c r="J32" s="220">
        <f ca="1">IF(OR($E32=0,$E32=""),"",(NPV($B$13,$I$5:$I32)+$G32*(1+$B$13)^-($E32+1))/NPV($B$13,$H$5:$H31))</f>
        <v>1.0902439442073675</v>
      </c>
      <c r="K32" s="220">
        <f ca="1">IF($E32="","",IFERROR(((G32+I32)/(NPV(K32,H$5:H31)*(1+K32)-NPV(K32,I$5:I31)*(1+K32)))^(1/E32)-1,0))</f>
        <v>1.5581189129600048E-2</v>
      </c>
      <c r="L32" s="163" t="str">
        <f>IF(OR($E32&gt;=$B$9,$E32=0),"",MAX(Pricing!$U32-$I32-0.01*$B$11,$V32))</f>
        <v/>
      </c>
      <c r="M32" s="163">
        <f ca="1">IF($E32="","",ROUND(Pricing!Q32+Pricing!R32-SUMPRODUCT(Pricing!G32:G$116,Pricing!L32:L$116)/Pricing!H32-$I32,0))</f>
        <v>11817</v>
      </c>
      <c r="N32" s="163" t="str">
        <f t="shared" si="3"/>
        <v/>
      </c>
      <c r="O32" s="163">
        <f>IF(E32="","",IF(AND(Pricing!$K$3,$B$19),SUMIF(F32:F$116,"&gt;=" &amp; 16,Pricing!G32:G$116),SUM(Pricing!$G32:$G$116)))</f>
        <v>1420372.838248634</v>
      </c>
      <c r="P32" s="427">
        <f>IF(OR($E32="",$E32=0),"",IF(OR(NOT($B$19),$F32&gt;=16,$E32=$B$10),0,((1+2.25%)*$P33*Pricing!$H33+(1+Pricing!$K$3)^0.5*Pricing!$G32)/Pricing!$H32))</f>
        <v>0</v>
      </c>
      <c r="Q32" s="163" t="str">
        <f>IF(OR($E32&gt;=$B$9,$E32=0,AND(NOT($B$19),$F32&lt;16)),"",MAX(Pricing!$I31,Pricing!$U32))</f>
        <v/>
      </c>
      <c r="R32" s="163" t="str">
        <f>IF($Q32="","",IF($L32=0,E32,COUNTIF($O33:$O$116,"&gt;=" &amp; $O32-$L32*(1-$P32)/$Q32*Pricing!$H32)+$E32))</f>
        <v/>
      </c>
      <c r="S32" s="163" t="str">
        <f>IF($Q32="","",IF($L32=0,0,IF(R32&lt;$B$10,ROUND((L32*(1-P32)-(O32-INDEX(O32:O$116,R32-E32+1))/Pricing!H32*Q32)/(INDEX(Pricing!G32:G$116,R32-E32+1)/Pricing!H32*Q32)*365,0),0)))</f>
        <v/>
      </c>
      <c r="T32" s="220" t="str">
        <f>IF(OR($Q32="",NOT($B$17)),"",IF($R32&lt;$B$10,0,ROUND(MIN(1,($L32-$O32/Pricing!$H32*$Q32)/(Pricing!$R32-Pricing!$O32)),4)))</f>
        <v/>
      </c>
      <c r="U32" s="163" t="str">
        <f>IF($Q32="","",IF($L32=0,0,IF(OR(R32&lt;$B$10,AND($B$17,$T32&lt;1)),0,$L32*(1-$P32)-$O32/Pricing!$H32*$Q32-IF($B$17,Pricing!$R32-Pricing!$O32,0))*IF($B$18=1,1,Pricing!$H32/IF($B$18=2,INDEX(Pricing!$H$5:$H$116,$B$9+1),INDEX(Pricing!$H$5:$H$116,$B$10+1)))))</f>
        <v/>
      </c>
      <c r="V32" s="425">
        <f ca="1">IF($E32="","",(1-$B$24*($B$10-$E32))*MIN($B$22+(1-$B$22)*$E32/MIN($B$23,$B$9),1)*(Pricing!$U32-$I32))</f>
        <v>11817</v>
      </c>
      <c r="W32" s="35">
        <f>IF($E32="","",IF(F32&gt;16,0,MAX(INDEX($L$6:$L$116,$W$4)*(1+2.25%)^0.5-INDEX($N$6:$N$116,$W$4)/$B$11*Pricing!M32,0)))</f>
        <v>0</v>
      </c>
      <c r="X32" s="428">
        <f>SUMPRODUCT(Reserve!G32:G$116,W32:W$116)/Reserve!H32</f>
        <v>0</v>
      </c>
    </row>
    <row r="33" spans="4:24" x14ac:dyDescent="0.3">
      <c r="D33" s="215">
        <v>28</v>
      </c>
      <c r="E33" s="217">
        <f t="shared" si="0"/>
        <v>28</v>
      </c>
      <c r="F33" s="228">
        <f t="shared" si="1"/>
        <v>63</v>
      </c>
      <c r="G33" s="162">
        <f ca="1">IF($E33="","",ROUND((1-$B$24*($B$10-$E33))*MIN($B$22+(1-$B$22)*$E33/MIN($B$23,$B$9),1)*(Pricing!$U33-$I33),0))</f>
        <v>12083</v>
      </c>
      <c r="H33" s="163">
        <f t="shared" si="2"/>
        <v>0</v>
      </c>
      <c r="I33" s="163">
        <f>IF($E33="","",Pricing!$N33+Pricing!$O33)</f>
        <v>0</v>
      </c>
      <c r="J33" s="220">
        <f ca="1">IF(OR($E33=0,$E33=""),"",(NPV($B$13,$I$5:$I33)+$G33*(1+$B$13)^-($E33+1))/NPV($B$13,$H$5:$H32))</f>
        <v>1.1029833517135146</v>
      </c>
      <c r="K33" s="220">
        <f ca="1">IF($E33="","",IFERROR(((G33+I33)/(NPV(K33,H$5:H32)*(1+K33)-NPV(K33,I$5:I32)*(1+K33)))^(1/E33)-1,0))</f>
        <v>1.5944320549568181E-2</v>
      </c>
      <c r="L33" s="163" t="str">
        <f>IF(OR($E33&gt;=$B$9,$E33=0),"",MAX(Pricing!$U33-$I33-0.01*$B$11,$V33))</f>
        <v/>
      </c>
      <c r="M33" s="163">
        <f ca="1">IF($E33="","",ROUND(Pricing!Q33+Pricing!R33-SUMPRODUCT(Pricing!G33:G$116,Pricing!L33:L$116)/Pricing!H33-$I33,0))</f>
        <v>12083</v>
      </c>
      <c r="N33" s="163" t="str">
        <f t="shared" si="3"/>
        <v/>
      </c>
      <c r="O33" s="163">
        <f>IF(E33="","",IF(AND(Pricing!$K$3,$B$19),SUMIF(F33:F$116,"&gt;=" &amp; 16,Pricing!G33:G$116),SUM(Pricing!$G33:$G$116)))</f>
        <v>1388975.0557148526</v>
      </c>
      <c r="P33" s="427">
        <f>IF(OR($E33="",$E33=0),"",IF(OR(NOT($B$19),$F33&gt;=16,$E33=$B$10),0,((1+2.25%)*$P34*Pricing!$H34+(1+Pricing!$K$3)^0.5*Pricing!$G33)/Pricing!$H33))</f>
        <v>0</v>
      </c>
      <c r="Q33" s="163" t="str">
        <f>IF(OR($E33&gt;=$B$9,$E33=0,AND(NOT($B$19),$F33&lt;16)),"",MAX(Pricing!$I32,Pricing!$U33))</f>
        <v/>
      </c>
      <c r="R33" s="163" t="str">
        <f>IF($Q33="","",IF($L33=0,E33,COUNTIF($O34:$O$116,"&gt;=" &amp; $O33-$L33*(1-$P33)/$Q33*Pricing!$H33)+$E33))</f>
        <v/>
      </c>
      <c r="S33" s="163" t="str">
        <f>IF($Q33="","",IF($L33=0,0,IF(R33&lt;$B$10,ROUND((L33*(1-P33)-(O33-INDEX(O33:O$116,R33-E33+1))/Pricing!H33*Q33)/(INDEX(Pricing!G33:G$116,R33-E33+1)/Pricing!H33*Q33)*365,0),0)))</f>
        <v/>
      </c>
      <c r="T33" s="220" t="str">
        <f>IF(OR($Q33="",NOT($B$17)),"",IF($R33&lt;$B$10,0,ROUND(MIN(1,($L33-$O33/Pricing!$H33*$Q33)/(Pricing!$R33-Pricing!$O33)),4)))</f>
        <v/>
      </c>
      <c r="U33" s="163" t="str">
        <f>IF($Q33="","",IF($L33=0,0,IF(OR(R33&lt;$B$10,AND($B$17,$T33&lt;1)),0,$L33*(1-$P33)-$O33/Pricing!$H33*$Q33-IF($B$17,Pricing!$R33-Pricing!$O33,0))*IF($B$18=1,1,Pricing!$H33/IF($B$18=2,INDEX(Pricing!$H$5:$H$116,$B$9+1),INDEX(Pricing!$H$5:$H$116,$B$10+1)))))</f>
        <v/>
      </c>
      <c r="V33" s="425">
        <f ca="1">IF($E33="","",(1-$B$24*($B$10-$E33))*MIN($B$22+(1-$B$22)*$E33/MIN($B$23,$B$9),1)*(Pricing!$U33-$I33))</f>
        <v>12083</v>
      </c>
      <c r="W33" s="35">
        <f>IF($E33="","",IF(F33&gt;16,0,MAX(INDEX($L$6:$L$116,$W$4)*(1+2.25%)^0.5-INDEX($N$6:$N$116,$W$4)/$B$11*Pricing!M33,0)))</f>
        <v>0</v>
      </c>
      <c r="X33" s="428">
        <f>SUMPRODUCT(Reserve!G33:G$116,W33:W$116)/Reserve!H33</f>
        <v>0</v>
      </c>
    </row>
    <row r="34" spans="4:24" x14ac:dyDescent="0.3">
      <c r="D34" s="215">
        <v>29</v>
      </c>
      <c r="E34" s="217">
        <f t="shared" si="0"/>
        <v>29</v>
      </c>
      <c r="F34" s="228">
        <f t="shared" si="1"/>
        <v>64</v>
      </c>
      <c r="G34" s="162">
        <f ca="1">IF($E34="","",ROUND((1-$B$24*($B$10-$E34))*MIN($B$22+(1-$B$22)*$E34/MIN($B$23,$B$9),1)*(Pricing!$U34-$I34),0))</f>
        <v>12355</v>
      </c>
      <c r="H34" s="163">
        <f t="shared" si="2"/>
        <v>0</v>
      </c>
      <c r="I34" s="163">
        <f>IF($E34="","",Pricing!$N34+Pricing!$O34)</f>
        <v>0</v>
      </c>
      <c r="J34" s="220">
        <f ca="1">IF(OR($E34=0,$E34=""),"",(NPV($B$13,$I$5:$I34)+$G34*(1+$B$13)^-($E34+1))/NPV($B$13,$H$5:$H33))</f>
        <v>1.1158727339899941</v>
      </c>
      <c r="K34" s="220">
        <f ca="1">IF($E34="","",IFERROR(((G34+I34)/(NPV(K34,H$5:H33)*(1+K34)-NPV(K34,I$5:I33)*(1+K34)))^(1/E34)-1,0))</f>
        <v>1.6271151962528707E-2</v>
      </c>
      <c r="L34" s="163" t="str">
        <f>IF(OR($E34&gt;=$B$9,$E34=0),"",MAX(Pricing!$U34-$I34-0.01*$B$11,$V34))</f>
        <v/>
      </c>
      <c r="M34" s="163">
        <f ca="1">IF($E34="","",ROUND(Pricing!Q34+Pricing!R34-SUMPRODUCT(Pricing!G34:G$116,Pricing!L34:L$116)/Pricing!H34-$I34,0))</f>
        <v>12355</v>
      </c>
      <c r="N34" s="163" t="str">
        <f t="shared" si="3"/>
        <v/>
      </c>
      <c r="O34" s="163">
        <f>IF(E34="","",IF(AND(Pricing!$K$3,$B$19),SUMIF(F34:F$116,"&gt;=" &amp; 16,Pricing!G34:G$116),SUM(Pricing!$G34:$G$116)))</f>
        <v>1355905.6609946776</v>
      </c>
      <c r="P34" s="427">
        <f>IF(OR($E34="",$E34=0),"",IF(OR(NOT($B$19),$F34&gt;=16,$E34=$B$10),0,((1+2.25%)*$P35*Pricing!$H35+(1+Pricing!$K$3)^0.5*Pricing!$G34)/Pricing!$H34))</f>
        <v>0</v>
      </c>
      <c r="Q34" s="163" t="str">
        <f>IF(OR($E34&gt;=$B$9,$E34=0,AND(NOT($B$19),$F34&lt;16)),"",MAX(Pricing!$I33,Pricing!$U34))</f>
        <v/>
      </c>
      <c r="R34" s="163" t="str">
        <f>IF($Q34="","",IF($L34=0,E34,COUNTIF($O35:$O$116,"&gt;=" &amp; $O34-$L34*(1-$P34)/$Q34*Pricing!$H34)+$E34))</f>
        <v/>
      </c>
      <c r="S34" s="163" t="str">
        <f>IF($Q34="","",IF($L34=0,0,IF(R34&lt;$B$10,ROUND((L34*(1-P34)-(O34-INDEX(O34:O$116,R34-E34+1))/Pricing!H34*Q34)/(INDEX(Pricing!G34:G$116,R34-E34+1)/Pricing!H34*Q34)*365,0),0)))</f>
        <v/>
      </c>
      <c r="T34" s="220" t="str">
        <f>IF(OR($Q34="",NOT($B$17)),"",IF($R34&lt;$B$10,0,ROUND(MIN(1,($L34-$O34/Pricing!$H34*$Q34)/(Pricing!$R34-Pricing!$O34)),4)))</f>
        <v/>
      </c>
      <c r="U34" s="163" t="str">
        <f>IF($Q34="","",IF($L34=0,0,IF(OR(R34&lt;$B$10,AND($B$17,$T34&lt;1)),0,$L34*(1-$P34)-$O34/Pricing!$H34*$Q34-IF($B$17,Pricing!$R34-Pricing!$O34,0))*IF($B$18=1,1,Pricing!$H34/IF($B$18=2,INDEX(Pricing!$H$5:$H$116,$B$9+1),INDEX(Pricing!$H$5:$H$116,$B$10+1)))))</f>
        <v/>
      </c>
      <c r="V34" s="425">
        <f ca="1">IF($E34="","",(1-$B$24*($B$10-$E34))*MIN($B$22+(1-$B$22)*$E34/MIN($B$23,$B$9),1)*(Pricing!$U34-$I34))</f>
        <v>12355</v>
      </c>
      <c r="W34" s="35">
        <f>IF($E34="","",IF(F34&gt;16,0,MAX(INDEX($L$6:$L$116,$W$4)*(1+2.25%)^0.5-INDEX($N$6:$N$116,$W$4)/$B$11*Pricing!M34,0)))</f>
        <v>0</v>
      </c>
      <c r="X34" s="428">
        <f>SUMPRODUCT(Reserve!G34:G$116,W34:W$116)/Reserve!H34</f>
        <v>0</v>
      </c>
    </row>
    <row r="35" spans="4:24" x14ac:dyDescent="0.3">
      <c r="D35" s="215">
        <v>30</v>
      </c>
      <c r="E35" s="233">
        <f t="shared" si="0"/>
        <v>30</v>
      </c>
      <c r="F35" s="234">
        <f t="shared" si="1"/>
        <v>65</v>
      </c>
      <c r="G35" s="165">
        <f ca="1">IF($E35="","",ROUND((1-$B$24*($B$10-$E35))*MIN($B$22+(1-$B$22)*$E35/MIN($B$23,$B$9),1)*(Pricing!$U35-$I35),0))</f>
        <v>12633</v>
      </c>
      <c r="H35" s="166">
        <f t="shared" si="2"/>
        <v>0</v>
      </c>
      <c r="I35" s="166">
        <f>IF($E35="","",Pricing!$N35+Pricing!$O35)</f>
        <v>0</v>
      </c>
      <c r="J35" s="235">
        <f ca="1">IF(OR($E35=0,$E35=""),"",(NPV($B$13,$I$5:$I35)+$G35*(1+$B$13)^-($E35+1))/NPV($B$13,$H$5:$H34))</f>
        <v>1.1289017507406158</v>
      </c>
      <c r="K35" s="235">
        <f ca="1">IF($E35="","",IFERROR(((G35+I35)/(NPV(K35,H$5:H34)*(1+K35)-NPV(K35,I$5:I34)*(1+K35)))^(1/E35)-1,0))</f>
        <v>1.6566379497013894E-2</v>
      </c>
      <c r="L35" s="166" t="str">
        <f>IF(OR($E35&gt;=$B$9,$E35=0),"",MAX(Pricing!$U35-$I35-0.01*$B$11,$V35))</f>
        <v/>
      </c>
      <c r="M35" s="166">
        <f ca="1">IF($E35="","",ROUND(Pricing!Q35+Pricing!R35-SUMPRODUCT(Pricing!G35:G$116,Pricing!L35:L$116)/Pricing!H35-$I35,0))</f>
        <v>12633</v>
      </c>
      <c r="N35" s="166" t="str">
        <f t="shared" si="3"/>
        <v/>
      </c>
      <c r="O35" s="166">
        <f>IF(E35="","",IF(AND(Pricing!$K$3,$B$19),SUMIF(F35:F$116,"&gt;=" &amp; 16,Pricing!G35:G$116),SUM(Pricing!$G35:$G$116)))</f>
        <v>1321128.6727003346</v>
      </c>
      <c r="P35" s="429">
        <f>IF(OR($E35="",$E35=0),"",IF(OR(NOT($B$19),$F35&gt;=16,$E35=$B$10),0,((1+2.25%)*$P36*Pricing!$H36+(1+Pricing!$K$3)^0.5*Pricing!$G35)/Pricing!$H35))</f>
        <v>0</v>
      </c>
      <c r="Q35" s="166" t="str">
        <f>IF(OR($E35&gt;=$B$9,$E35=0,AND(NOT($B$19),$F35&lt;16)),"",MAX(Pricing!$I34,Pricing!$U35))</f>
        <v/>
      </c>
      <c r="R35" s="166" t="str">
        <f>IF($Q35="","",IF($L35=0,E35,COUNTIF($O36:$O$116,"&gt;=" &amp; $O35-$L35*(1-$P35)/$Q35*Pricing!$H35)+$E35))</f>
        <v/>
      </c>
      <c r="S35" s="166" t="str">
        <f>IF($Q35="","",IF($L35=0,0,IF(R35&lt;$B$10,ROUND((L35*(1-P35)-(O35-INDEX(O35:O$116,R35-E35+1))/Pricing!H35*Q35)/(INDEX(Pricing!G35:G$116,R35-E35+1)/Pricing!H35*Q35)*365,0),0)))</f>
        <v/>
      </c>
      <c r="T35" s="235" t="str">
        <f>IF(OR($Q35="",NOT($B$17)),"",IF($R35&lt;$B$10,0,ROUND(MIN(1,($L35-$O35/Pricing!$H35*$Q35)/(Pricing!$R35-Pricing!$O35)),4)))</f>
        <v/>
      </c>
      <c r="U35" s="166" t="str">
        <f>IF($Q35="","",IF($L35=0,0,IF(OR(R35&lt;$B$10,AND($B$17,$T35&lt;1)),0,$L35*(1-$P35)-$O35/Pricing!$H35*$Q35-IF($B$17,Pricing!$R35-Pricing!$O35,0))*IF($B$18=1,1,Pricing!$H35/IF($B$18=2,INDEX(Pricing!$H$5:$H$116,$B$9+1),INDEX(Pricing!$H$5:$H$116,$B$10+1)))))</f>
        <v/>
      </c>
      <c r="V35" s="425">
        <f ca="1">IF($E35="","",(1-$B$24*($B$10-$E35))*MIN($B$22+(1-$B$22)*$E35/MIN($B$23,$B$9),1)*(Pricing!$U35-$I35))</f>
        <v>12633</v>
      </c>
      <c r="W35" s="35">
        <f>IF($E35="","",IF(F35&gt;16,0,MAX(INDEX($L$6:$L$116,$W$4)*(1+2.25%)^0.5-INDEX($N$6:$N$116,$W$4)/$B$11*Pricing!M35,0)))</f>
        <v>0</v>
      </c>
      <c r="X35" s="428">
        <f>SUMPRODUCT(Reserve!G35:G$116,W35:W$116)/Reserve!H35</f>
        <v>0</v>
      </c>
    </row>
    <row r="36" spans="4:24" x14ac:dyDescent="0.3">
      <c r="D36" s="215">
        <v>31</v>
      </c>
      <c r="E36" s="217">
        <f t="shared" si="0"/>
        <v>31</v>
      </c>
      <c r="F36" s="228">
        <f t="shared" si="1"/>
        <v>66</v>
      </c>
      <c r="G36" s="162">
        <f ca="1">IF($E36="","",ROUND((1-$B$24*($B$10-$E36))*MIN($B$22+(1-$B$22)*$E36/MIN($B$23,$B$9),1)*(Pricing!$U36-$I36),0))</f>
        <v>12917</v>
      </c>
      <c r="H36" s="163">
        <f t="shared" si="2"/>
        <v>0</v>
      </c>
      <c r="I36" s="163">
        <f>IF($E36="","",Pricing!$N36+Pricing!$O36)</f>
        <v>0</v>
      </c>
      <c r="J36" s="220">
        <f ca="1">IF(OR($E36=0,$E36=""),"",(NPV($B$13,$I$5:$I36)+$G36*(1+$B$13)^-($E36+1))/NPV($B$13,$H$5:$H35))</f>
        <v>1.1420603245358993</v>
      </c>
      <c r="K36" s="220">
        <f ca="1">IF($E36="","",IFERROR(((G36+I36)/(NPV(K36,H$5:H35)*(1+K36)-NPV(K36,I$5:I35)*(1+K36)))^(1/E36)-1,0))</f>
        <v>1.6833869101914534E-2</v>
      </c>
      <c r="L36" s="163" t="str">
        <f>IF(OR($E36&gt;=$B$9,$E36=0),"",MAX(Pricing!$U36-$I36-0.01*$B$11,$V36))</f>
        <v/>
      </c>
      <c r="M36" s="163">
        <f ca="1">IF($E36="","",ROUND(Pricing!Q36+Pricing!R36-SUMPRODUCT(Pricing!G36:G$116,Pricing!L36:L$116)/Pricing!H36-$I36,0))</f>
        <v>12917</v>
      </c>
      <c r="N36" s="163" t="str">
        <f t="shared" si="3"/>
        <v/>
      </c>
      <c r="O36" s="163">
        <f>IF(E36="","",IF(AND(Pricing!$K$3,$B$19),SUMIF(F36:F$116,"&gt;=" &amp; 16,Pricing!G36:G$116),SUM(Pricing!$G36:$G$116)))</f>
        <v>1284612.3162004228</v>
      </c>
      <c r="P36" s="427">
        <f>IF(OR($E36="",$E36=0),"",IF(OR(NOT($B$19),$F36&gt;=16,$E36=$B$10),0,((1+2.25%)*$P37*Pricing!$H37+(1+Pricing!$K$3)^0.5*Pricing!$G36)/Pricing!$H36))</f>
        <v>0</v>
      </c>
      <c r="Q36" s="163" t="str">
        <f>IF(OR($E36&gt;=$B$9,$E36=0,AND(NOT($B$19),$F36&lt;16)),"",MAX(Pricing!$I35,Pricing!$U36))</f>
        <v/>
      </c>
      <c r="R36" s="163" t="str">
        <f>IF($Q36="","",IF($L36=0,E36,COUNTIF($O37:$O$116,"&gt;=" &amp; $O36-$L36*(1-$P36)/$Q36*Pricing!$H36)+$E36))</f>
        <v/>
      </c>
      <c r="S36" s="163" t="str">
        <f>IF($Q36="","",IF($L36=0,0,IF(R36&lt;$B$10,ROUND((L36*(1-P36)-(O36-INDEX(O36:O$116,R36-E36+1))/Pricing!H36*Q36)/(INDEX(Pricing!G36:G$116,R36-E36+1)/Pricing!H36*Q36)*365,0),0)))</f>
        <v/>
      </c>
      <c r="T36" s="220" t="str">
        <f>IF(OR($Q36="",NOT($B$17)),"",IF($R36&lt;$B$10,0,ROUND(MIN(1,($L36-$O36/Pricing!$H36*$Q36)/(Pricing!$R36-Pricing!$O36)),4)))</f>
        <v/>
      </c>
      <c r="U36" s="163" t="str">
        <f>IF($Q36="","",IF($L36=0,0,IF(OR(R36&lt;$B$10,AND($B$17,$T36&lt;1)),0,$L36*(1-$P36)-$O36/Pricing!$H36*$Q36-IF($B$17,Pricing!$R36-Pricing!$O36,0))*IF($B$18=1,1,Pricing!$H36/IF($B$18=2,INDEX(Pricing!$H$5:$H$116,$B$9+1),INDEX(Pricing!$H$5:$H$116,$B$10+1)))))</f>
        <v/>
      </c>
      <c r="V36" s="425">
        <f ca="1">IF($E36="","",(1-$B$24*($B$10-$E36))*MIN($B$22+(1-$B$22)*$E36/MIN($B$23,$B$9),1)*(Pricing!$U36-$I36))</f>
        <v>12917</v>
      </c>
      <c r="W36" s="35">
        <f>IF($E36="","",IF(F36&gt;16,0,MAX(INDEX($L$6:$L$116,$W$4)*(1+2.25%)^0.5-INDEX($N$6:$N$116,$W$4)/$B$11*Pricing!M36,0)))</f>
        <v>0</v>
      </c>
      <c r="X36" s="428">
        <f>SUMPRODUCT(Reserve!G36:G$116,W36:W$116)/Reserve!H36</f>
        <v>0</v>
      </c>
    </row>
    <row r="37" spans="4:24" x14ac:dyDescent="0.3">
      <c r="D37" s="215">
        <v>32</v>
      </c>
      <c r="E37" s="217">
        <f t="shared" ref="E37:E68" si="4">IF(D37&lt;=$B$10,D37,"")</f>
        <v>32</v>
      </c>
      <c r="F37" s="228">
        <f t="shared" ref="F37:F68" si="5">IF(E37="","",E37+$B$7)</f>
        <v>67</v>
      </c>
      <c r="G37" s="162">
        <f ca="1">IF($E37="","",ROUND((1-$B$24*($B$10-$E37))*MIN($B$22+(1-$B$22)*$E37/MIN($B$23,$B$9),1)*(Pricing!$U37-$I37),0))</f>
        <v>13207</v>
      </c>
      <c r="H37" s="163">
        <f t="shared" si="2"/>
        <v>0</v>
      </c>
      <c r="I37" s="163">
        <f>IF($E37="","",Pricing!$N37+Pricing!$O37)</f>
        <v>0</v>
      </c>
      <c r="J37" s="220">
        <f ca="1">IF(OR($E37=0,$E37=""),"",(NPV($B$13,$I$5:$I37)+$G37*(1+$B$13)^-($E37+1))/NPV($B$13,$H$5:$H36))</f>
        <v>1.1553386357632101</v>
      </c>
      <c r="K37" s="220">
        <f ca="1">IF($E37="","",IFERROR(((G37+I37)/(NPV(K37,H$5:H36)*(1+K37)-NPV(K37,I$5:I36)*(1+K37)))^(1/E37)-1,0))</f>
        <v>1.7076838089309598E-2</v>
      </c>
      <c r="L37" s="163" t="str">
        <f>IF(OR($E37&gt;=$B$9,$E37=0),"",MAX(Pricing!$U37-$I37-0.01*$B$11,$V37))</f>
        <v/>
      </c>
      <c r="M37" s="163">
        <f ca="1">IF($E37="","",ROUND(Pricing!Q37+Pricing!R37-SUMPRODUCT(Pricing!G37:G$116,Pricing!L37:L$116)/Pricing!H37-$I37,0))</f>
        <v>13207</v>
      </c>
      <c r="N37" s="163" t="str">
        <f t="shared" si="3"/>
        <v/>
      </c>
      <c r="O37" s="163">
        <f>IF(E37="","",IF(AND(Pricing!$K$3,$B$19),SUMIF(F37:F$116,"&gt;=" &amp; 16,Pricing!G37:G$116),SUM(Pricing!$G37:$G$116)))</f>
        <v>1246332.2521936377</v>
      </c>
      <c r="P37" s="427">
        <f>IF(OR($E37="",$E37=0),"",IF(OR(NOT($B$19),$F37&gt;=16,$E37=$B$10),0,((1+2.25%)*$P38*Pricing!$H38+(1+Pricing!$K$3)^0.5*Pricing!$G37)/Pricing!$H37))</f>
        <v>0</v>
      </c>
      <c r="Q37" s="163" t="str">
        <f>IF(OR($E37&gt;=$B$9,$E37=0,AND(NOT($B$19),$F37&lt;16)),"",MAX(Pricing!$I36,Pricing!$U37))</f>
        <v/>
      </c>
      <c r="R37" s="163" t="str">
        <f>IF($Q37="","",IF($L37=0,E37,COUNTIF($O38:$O$116,"&gt;=" &amp; $O37-$L37*(1-$P37)/$Q37*Pricing!$H37)+$E37))</f>
        <v/>
      </c>
      <c r="S37" s="163" t="str">
        <f>IF($Q37="","",IF($L37=0,0,IF(R37&lt;$B$10,ROUND((L37*(1-P37)-(O37-INDEX(O37:O$116,R37-E37+1))/Pricing!H37*Q37)/(INDEX(Pricing!G37:G$116,R37-E37+1)/Pricing!H37*Q37)*365,0),0)))</f>
        <v/>
      </c>
      <c r="T37" s="220" t="str">
        <f>IF(OR($Q37="",NOT($B$17)),"",IF($R37&lt;$B$10,0,ROUND(MIN(1,($L37-$O37/Pricing!$H37*$Q37)/(Pricing!$R37-Pricing!$O37)),4)))</f>
        <v/>
      </c>
      <c r="U37" s="163" t="str">
        <f>IF($Q37="","",IF($L37=0,0,IF(OR(R37&lt;$B$10,AND($B$17,$T37&lt;1)),0,$L37*(1-$P37)-$O37/Pricing!$H37*$Q37-IF($B$17,Pricing!$R37-Pricing!$O37,0))*IF($B$18=1,1,Pricing!$H37/IF($B$18=2,INDEX(Pricing!$H$5:$H$116,$B$9+1),INDEX(Pricing!$H$5:$H$116,$B$10+1)))))</f>
        <v/>
      </c>
      <c r="V37" s="425">
        <f ca="1">IF($E37="","",(1-$B$24*($B$10-$E37))*MIN($B$22+(1-$B$22)*$E37/MIN($B$23,$B$9),1)*(Pricing!$U37-$I37))</f>
        <v>13207</v>
      </c>
      <c r="W37" s="35">
        <f>IF($E37="","",IF(F37&gt;16,0,MAX(INDEX($L$6:$L$116,$W$4)*(1+2.25%)^0.5-INDEX($N$6:$N$116,$W$4)/$B$11*Pricing!M37,0)))</f>
        <v>0</v>
      </c>
      <c r="X37" s="428">
        <f>SUMPRODUCT(Reserve!G37:G$116,W37:W$116)/Reserve!H37</f>
        <v>0</v>
      </c>
    </row>
    <row r="38" spans="4:24" x14ac:dyDescent="0.3">
      <c r="D38" s="215">
        <v>33</v>
      </c>
      <c r="E38" s="217">
        <f t="shared" si="4"/>
        <v>33</v>
      </c>
      <c r="F38" s="228">
        <f t="shared" si="5"/>
        <v>68</v>
      </c>
      <c r="G38" s="162">
        <f ca="1">IF($E38="","",ROUND((1-$B$24*($B$10-$E38))*MIN($B$22+(1-$B$22)*$E38/MIN($B$23,$B$9),1)*(Pricing!$U38-$I38),0))</f>
        <v>13504</v>
      </c>
      <c r="H38" s="163">
        <f t="shared" si="2"/>
        <v>0</v>
      </c>
      <c r="I38" s="163">
        <f>IF($E38="","",Pricing!$N38+Pricing!$O38)</f>
        <v>0</v>
      </c>
      <c r="J38" s="220">
        <f ca="1">IF(OR($E38=0,$E38=""),"",(NPV($B$13,$I$5:$I38)+$G38*(1+$B$13)^-($E38+1))/NPV($B$13,$H$5:$H37))</f>
        <v>1.168813670806222</v>
      </c>
      <c r="K38" s="220">
        <f ca="1">IF($E38="","",IFERROR(((G38+I38)/(NPV(K38,H$5:H37)*(1+K38)-NPV(K38,I$5:I37)*(1+K38)))^(1/E38)-1,0))</f>
        <v>1.7301120546736382E-2</v>
      </c>
      <c r="L38" s="163" t="str">
        <f>IF(OR($E38&gt;=$B$9,$E38=0),"",MAX(Pricing!$U38-$I38-0.01*$B$11,$V38))</f>
        <v/>
      </c>
      <c r="M38" s="163">
        <f ca="1">IF($E38="","",ROUND(Pricing!Q38+Pricing!R38-SUMPRODUCT(Pricing!G38:G$116,Pricing!L38:L$116)/Pricing!H38-$I38,0))</f>
        <v>13504</v>
      </c>
      <c r="N38" s="163" t="str">
        <f t="shared" si="3"/>
        <v/>
      </c>
      <c r="O38" s="163">
        <f>IF(E38="","",IF(AND(Pricing!$K$3,$B$19),SUMIF(F38:F$116,"&gt;=" &amp; 16,Pricing!G38:G$116),SUM(Pricing!$G38:$G$116)))</f>
        <v>1206277.7761916416</v>
      </c>
      <c r="P38" s="427">
        <f>IF(OR($E38="",$E38=0),"",IF(OR(NOT($B$19),$F38&gt;=16,$E38=$B$10),0,((1+2.25%)*$P39*Pricing!$H39+(1+Pricing!$K$3)^0.5*Pricing!$G38)/Pricing!$H38))</f>
        <v>0</v>
      </c>
      <c r="Q38" s="163" t="str">
        <f>IF(OR($E38&gt;=$B$9,$E38=0,AND(NOT($B$19),$F38&lt;16)),"",MAX(Pricing!$I37,Pricing!$U38))</f>
        <v/>
      </c>
      <c r="R38" s="163" t="str">
        <f>IF($Q38="","",IF($L38=0,E38,COUNTIF($O39:$O$116,"&gt;=" &amp; $O38-$L38*(1-$P38)/$Q38*Pricing!$H38)+$E38))</f>
        <v/>
      </c>
      <c r="S38" s="163" t="str">
        <f>IF($Q38="","",IF($L38=0,0,IF(R38&lt;$B$10,ROUND((L38*(1-P38)-(O38-INDEX(O38:O$116,R38-E38+1))/Pricing!H38*Q38)/(INDEX(Pricing!G38:G$116,R38-E38+1)/Pricing!H38*Q38)*365,0),0)))</f>
        <v/>
      </c>
      <c r="T38" s="220" t="str">
        <f>IF(OR($Q38="",NOT($B$17)),"",IF($R38&lt;$B$10,0,ROUND(MIN(1,($L38-$O38/Pricing!$H38*$Q38)/(Pricing!$R38-Pricing!$O38)),4)))</f>
        <v/>
      </c>
      <c r="U38" s="163" t="str">
        <f>IF($Q38="","",IF($L38=0,0,IF(OR(R38&lt;$B$10,AND($B$17,$T38&lt;1)),0,$L38*(1-$P38)-$O38/Pricing!$H38*$Q38-IF($B$17,Pricing!$R38-Pricing!$O38,0))*IF($B$18=1,1,Pricing!$H38/IF($B$18=2,INDEX(Pricing!$H$5:$H$116,$B$9+1),INDEX(Pricing!$H$5:$H$116,$B$10+1)))))</f>
        <v/>
      </c>
      <c r="V38" s="425">
        <f ca="1">IF($E38="","",(1-$B$24*($B$10-$E38))*MIN($B$22+(1-$B$22)*$E38/MIN($B$23,$B$9),1)*(Pricing!$U38-$I38))</f>
        <v>13504</v>
      </c>
      <c r="W38" s="35">
        <f>IF($E38="","",IF(F38&gt;16,0,MAX(INDEX($L$6:$L$116,$W$4)*(1+2.25%)^0.5-INDEX($N$6:$N$116,$W$4)/$B$11*Pricing!M38,0)))</f>
        <v>0</v>
      </c>
      <c r="X38" s="428">
        <f>SUMPRODUCT(Reserve!G38:G$116,W38:W$116)/Reserve!H38</f>
        <v>0</v>
      </c>
    </row>
    <row r="39" spans="4:24" x14ac:dyDescent="0.3">
      <c r="D39" s="215">
        <v>34</v>
      </c>
      <c r="E39" s="217">
        <f t="shared" si="4"/>
        <v>34</v>
      </c>
      <c r="F39" s="228">
        <f t="shared" si="5"/>
        <v>69</v>
      </c>
      <c r="G39" s="162">
        <f ca="1">IF($E39="","",ROUND((1-$B$24*($B$10-$E39))*MIN($B$22+(1-$B$22)*$E39/MIN($B$23,$B$9),1)*(Pricing!$U39-$I39),0))</f>
        <v>13808</v>
      </c>
      <c r="H39" s="163">
        <f t="shared" si="2"/>
        <v>0</v>
      </c>
      <c r="I39" s="163">
        <f>IF($E39="","",Pricing!$N39+Pricing!$O39)</f>
        <v>0</v>
      </c>
      <c r="J39" s="220">
        <f ca="1">IF(OR($E39=0,$E39=""),"",(NPV($B$13,$I$5:$I39)+$G39*(1+$B$13)^-($E39+1))/NPV($B$13,$H$5:$H38))</f>
        <v>1.1824733619299201</v>
      </c>
      <c r="K39" s="220">
        <f ca="1">IF($E39="","",IFERROR(((G39+I39)/(NPV(K39,H$5:H38)*(1+K39)-NPV(K39,I$5:I38)*(1+K39)))^(1/E39)-1,0))</f>
        <v>1.7508436880410372E-2</v>
      </c>
      <c r="L39" s="163" t="str">
        <f>IF(OR($E39&gt;=$B$9,$E39=0),"",MAX(Pricing!$U39-$I39-0.01*$B$11,$V39))</f>
        <v/>
      </c>
      <c r="M39" s="163">
        <f ca="1">IF($E39="","",ROUND(Pricing!Q39+Pricing!R39-SUMPRODUCT(Pricing!G39:G$116,Pricing!L39:L$116)/Pricing!H39-$I39,0))</f>
        <v>13808</v>
      </c>
      <c r="N39" s="163" t="str">
        <f t="shared" si="3"/>
        <v/>
      </c>
      <c r="O39" s="163">
        <f>IF(E39="","",IF(AND(Pricing!$K$3,$B$19),SUMIF(F39:F$116,"&gt;=" &amp; 16,Pricing!G39:G$116),SUM(Pricing!$G39:$G$116)))</f>
        <v>1164450.9891906017</v>
      </c>
      <c r="P39" s="427">
        <f>IF(OR($E39="",$E39=0),"",IF(OR(NOT($B$19),$F39&gt;=16,$E39=$B$10),0,((1+2.25%)*$P40*Pricing!$H40+(1+Pricing!$K$3)^0.5*Pricing!$G39)/Pricing!$H39))</f>
        <v>0</v>
      </c>
      <c r="Q39" s="163" t="str">
        <f>IF(OR($E39&gt;=$B$9,$E39=0,AND(NOT($B$19),$F39&lt;16)),"",MAX(Pricing!$I38,Pricing!$U39))</f>
        <v/>
      </c>
      <c r="R39" s="163" t="str">
        <f>IF($Q39="","",IF($L39=0,E39,COUNTIF($O40:$O$116,"&gt;=" &amp; $O39-$L39*(1-$P39)/$Q39*Pricing!$H39)+$E39))</f>
        <v/>
      </c>
      <c r="S39" s="163" t="str">
        <f>IF($Q39="","",IF($L39=0,0,IF(R39&lt;$B$10,ROUND((L39*(1-P39)-(O39-INDEX(O39:O$116,R39-E39+1))/Pricing!H39*Q39)/(INDEX(Pricing!G39:G$116,R39-E39+1)/Pricing!H39*Q39)*365,0),0)))</f>
        <v/>
      </c>
      <c r="T39" s="220" t="str">
        <f>IF(OR($Q39="",NOT($B$17)),"",IF($R39&lt;$B$10,0,ROUND(MIN(1,($L39-$O39/Pricing!$H39*$Q39)/(Pricing!$R39-Pricing!$O39)),4)))</f>
        <v/>
      </c>
      <c r="U39" s="163" t="str">
        <f>IF($Q39="","",IF($L39=0,0,IF(OR(R39&lt;$B$10,AND($B$17,$T39&lt;1)),0,$L39*(1-$P39)-$O39/Pricing!$H39*$Q39-IF($B$17,Pricing!$R39-Pricing!$O39,0))*IF($B$18=1,1,Pricing!$H39/IF($B$18=2,INDEX(Pricing!$H$5:$H$116,$B$9+1),INDEX(Pricing!$H$5:$H$116,$B$10+1)))))</f>
        <v/>
      </c>
      <c r="V39" s="425">
        <f ca="1">IF($E39="","",(1-$B$24*($B$10-$E39))*MIN($B$22+(1-$B$22)*$E39/MIN($B$23,$B$9),1)*(Pricing!$U39-$I39))</f>
        <v>13808</v>
      </c>
      <c r="W39" s="35">
        <f>IF($E39="","",IF(F39&gt;16,0,MAX(INDEX($L$6:$L$116,$W$4)*(1+2.25%)^0.5-INDEX($N$6:$N$116,$W$4)/$B$11*Pricing!M39,0)))</f>
        <v>0</v>
      </c>
      <c r="X39" s="428">
        <f>SUMPRODUCT(Reserve!G39:G$116,W39:W$116)/Reserve!H39</f>
        <v>0</v>
      </c>
    </row>
    <row r="40" spans="4:24" x14ac:dyDescent="0.3">
      <c r="D40" s="215">
        <v>35</v>
      </c>
      <c r="E40" s="233">
        <f t="shared" si="4"/>
        <v>35</v>
      </c>
      <c r="F40" s="234">
        <f t="shared" si="5"/>
        <v>70</v>
      </c>
      <c r="G40" s="165">
        <f ca="1">IF($E40="","",ROUND((1-$B$24*($B$10-$E40))*MIN($B$22+(1-$B$22)*$E40/MIN($B$23,$B$9),1)*(Pricing!$U40-$I40),0))</f>
        <v>14118</v>
      </c>
      <c r="H40" s="166">
        <f t="shared" si="2"/>
        <v>0</v>
      </c>
      <c r="I40" s="166">
        <f>IF($E40="","",Pricing!$N40+Pricing!$O40)</f>
        <v>0</v>
      </c>
      <c r="J40" s="235">
        <f ca="1">IF(OR($E40=0,$E40=""),"",(NPV($B$13,$I$5:$I40)+$G40*(1+$B$13)^-($E40+1))/NPV($B$13,$H$5:$H39))</f>
        <v>1.1962212125539617</v>
      </c>
      <c r="K40" s="235">
        <f ca="1">IF($E40="","",IFERROR(((G40+I40)/(NPV(K40,H$5:H39)*(1+K40)-NPV(K40,I$5:I39)*(1+K40)))^(1/E40)-1,0))</f>
        <v>1.7697508717020138E-2</v>
      </c>
      <c r="L40" s="166" t="str">
        <f>IF(OR($E40&gt;=$B$9,$E40=0),"",MAX(Pricing!$U40-$I40-0.01*$B$11,$V40))</f>
        <v/>
      </c>
      <c r="M40" s="166">
        <f ca="1">IF($E40="","",ROUND(Pricing!Q40+Pricing!R40-SUMPRODUCT(Pricing!G40:G$116,Pricing!L40:L$116)/Pricing!H40-$I40,0))</f>
        <v>14118</v>
      </c>
      <c r="N40" s="166" t="str">
        <f t="shared" si="3"/>
        <v/>
      </c>
      <c r="O40" s="166">
        <f>IF(E40="","",IF(AND(Pricing!$K$3,$B$19),SUMIF(F40:F$116,"&gt;=" &amp; 16,Pricing!G40:G$116),SUM(Pricing!$G40:$G$116)))</f>
        <v>1120870.2585742839</v>
      </c>
      <c r="P40" s="429">
        <f>IF(OR($E40="",$E40=0),"",IF(OR(NOT($B$19),$F40&gt;=16,$E40=$B$10),0,((1+2.25%)*$P41*Pricing!$H41+(1+Pricing!$K$3)^0.5*Pricing!$G40)/Pricing!$H40))</f>
        <v>0</v>
      </c>
      <c r="Q40" s="166" t="str">
        <f>IF(OR($E40&gt;=$B$9,$E40=0,AND(NOT($B$19),$F40&lt;16)),"",MAX(Pricing!$I39,Pricing!$U40))</f>
        <v/>
      </c>
      <c r="R40" s="166" t="str">
        <f>IF($Q40="","",IF($L40=0,E40,COUNTIF($O41:$O$116,"&gt;=" &amp; $O40-$L40*(1-$P40)/$Q40*Pricing!$H40)+$E40))</f>
        <v/>
      </c>
      <c r="S40" s="166" t="str">
        <f>IF($Q40="","",IF($L40=0,0,IF(R40&lt;$B$10,ROUND((L40*(1-P40)-(O40-INDEX(O40:O$116,R40-E40+1))/Pricing!H40*Q40)/(INDEX(Pricing!G40:G$116,R40-E40+1)/Pricing!H40*Q40)*365,0),0)))</f>
        <v/>
      </c>
      <c r="T40" s="235" t="str">
        <f>IF(OR($Q40="",NOT($B$17)),"",IF($R40&lt;$B$10,0,ROUND(MIN(1,($L40-$O40/Pricing!$H40*$Q40)/(Pricing!$R40-Pricing!$O40)),4)))</f>
        <v/>
      </c>
      <c r="U40" s="166" t="str">
        <f>IF($Q40="","",IF($L40=0,0,IF(OR(R40&lt;$B$10,AND($B$17,$T40&lt;1)),0,$L40*(1-$P40)-$O40/Pricing!$H40*$Q40-IF($B$17,Pricing!$R40-Pricing!$O40,0))*IF($B$18=1,1,Pricing!$H40/IF($B$18=2,INDEX(Pricing!$H$5:$H$116,$B$9+1),INDEX(Pricing!$H$5:$H$116,$B$10+1)))))</f>
        <v/>
      </c>
      <c r="V40" s="425">
        <f ca="1">IF($E40="","",(1-$B$24*($B$10-$E40))*MIN($B$22+(1-$B$22)*$E40/MIN($B$23,$B$9),1)*(Pricing!$U40-$I40))</f>
        <v>14118</v>
      </c>
      <c r="W40" s="35">
        <f>IF($E40="","",IF(F40&gt;16,0,MAX(INDEX($L$6:$L$116,$W$4)*(1+2.25%)^0.5-INDEX($N$6:$N$116,$W$4)/$B$11*Pricing!M40,0)))</f>
        <v>0</v>
      </c>
      <c r="X40" s="428">
        <f>SUMPRODUCT(Reserve!G40:G$116,W40:W$116)/Reserve!H40</f>
        <v>0</v>
      </c>
    </row>
    <row r="41" spans="4:24" x14ac:dyDescent="0.3">
      <c r="D41" s="215">
        <v>36</v>
      </c>
      <c r="E41" s="217">
        <f t="shared" si="4"/>
        <v>36</v>
      </c>
      <c r="F41" s="228">
        <f t="shared" si="5"/>
        <v>71</v>
      </c>
      <c r="G41" s="162">
        <f ca="1">IF($E41="","",ROUND((1-$B$24*($B$10-$E41))*MIN($B$22+(1-$B$22)*$E41/MIN($B$23,$B$9),1)*(Pricing!$U41-$I41),0))</f>
        <v>14435</v>
      </c>
      <c r="H41" s="163">
        <f t="shared" si="2"/>
        <v>0</v>
      </c>
      <c r="I41" s="163">
        <f>IF($E41="","",Pricing!$N41+Pricing!$O41)</f>
        <v>0</v>
      </c>
      <c r="J41" s="220">
        <f ca="1">IF(OR($E41=0,$E41=""),"",(NPV($B$13,$I$5:$I41)+$G41*(1+$B$13)^-($E41+1))/NPV($B$13,$H$5:$H40))</f>
        <v>1.2101322761886573</v>
      </c>
      <c r="K41" s="220">
        <f ca="1">IF($E41="","",IFERROR(((G41+I41)/(NPV(K41,H$5:H40)*(1+K41)-NPV(K41,I$5:I40)*(1+K41)))^(1/E41)-1,0))</f>
        <v>1.7872714028039693E-2</v>
      </c>
      <c r="L41" s="163" t="str">
        <f>IF(OR($E41&gt;=$B$9,$E41=0),"",MAX(Pricing!$U41-$I41-0.01*$B$11,$V41))</f>
        <v/>
      </c>
      <c r="M41" s="163">
        <f ca="1">IF($E41="","",ROUND(Pricing!Q41+Pricing!R41-SUMPRODUCT(Pricing!G41:G$116,Pricing!L41:L$116)/Pricing!H41-$I41,0))</f>
        <v>14435</v>
      </c>
      <c r="N41" s="163" t="str">
        <f t="shared" si="3"/>
        <v/>
      </c>
      <c r="O41" s="163">
        <f>IF(E41="","",IF(AND(Pricing!$K$3,$B$19),SUMIF(F41:F$116,"&gt;=" &amp; 16,Pricing!G41:G$116),SUM(Pricing!$G41:$G$116)))</f>
        <v>1075570.739753721</v>
      </c>
      <c r="P41" s="427">
        <f>IF(OR($E41="",$E41=0),"",IF(OR(NOT($B$19),$F41&gt;=16,$E41=$B$10),0,((1+2.25%)*$P42*Pricing!$H42+(1+Pricing!$K$3)^0.5*Pricing!$G41)/Pricing!$H41))</f>
        <v>0</v>
      </c>
      <c r="Q41" s="163" t="str">
        <f>IF(OR($E41&gt;=$B$9,$E41=0,AND(NOT($B$19),$F41&lt;16)),"",MAX(Pricing!$I40,Pricing!$U41))</f>
        <v/>
      </c>
      <c r="R41" s="163" t="str">
        <f>IF($Q41="","",IF($L41=0,E41,COUNTIF($O42:$O$116,"&gt;=" &amp; $O41-$L41*(1-$P41)/$Q41*Pricing!$H41)+$E41))</f>
        <v/>
      </c>
      <c r="S41" s="163" t="str">
        <f>IF($Q41="","",IF($L41=0,0,IF(R41&lt;$B$10,ROUND((L41*(1-P41)-(O41-INDEX(O41:O$116,R41-E41+1))/Pricing!H41*Q41)/(INDEX(Pricing!G41:G$116,R41-E41+1)/Pricing!H41*Q41)*365,0),0)))</f>
        <v/>
      </c>
      <c r="T41" s="220" t="str">
        <f>IF(OR($Q41="",NOT($B$17)),"",IF($R41&lt;$B$10,0,ROUND(MIN(1,($L41-$O41/Pricing!$H41*$Q41)/(Pricing!$R41-Pricing!$O41)),4)))</f>
        <v/>
      </c>
      <c r="U41" s="163" t="str">
        <f>IF($Q41="","",IF($L41=0,0,IF(OR(R41&lt;$B$10,AND($B$17,$T41&lt;1)),0,$L41*(1-$P41)-$O41/Pricing!$H41*$Q41-IF($B$17,Pricing!$R41-Pricing!$O41,0))*IF($B$18=1,1,Pricing!$H41/IF($B$18=2,INDEX(Pricing!$H$5:$H$116,$B$9+1),INDEX(Pricing!$H$5:$H$116,$B$10+1)))))</f>
        <v/>
      </c>
      <c r="V41" s="425">
        <f ca="1">IF($E41="","",(1-$B$24*($B$10-$E41))*MIN($B$22+(1-$B$22)*$E41/MIN($B$23,$B$9),1)*(Pricing!$U41-$I41))</f>
        <v>14435</v>
      </c>
      <c r="W41" s="35">
        <f>IF($E41="","",IF(F41&gt;16,0,MAX(INDEX($L$6:$L$116,$W$4)*(1+2.25%)^0.5-INDEX($N$6:$N$116,$W$4)/$B$11*Pricing!M41,0)))</f>
        <v>0</v>
      </c>
      <c r="X41" s="428">
        <f>SUMPRODUCT(Reserve!G41:G$116,W41:W$116)/Reserve!H41</f>
        <v>0</v>
      </c>
    </row>
    <row r="42" spans="4:24" x14ac:dyDescent="0.3">
      <c r="D42" s="215">
        <v>37</v>
      </c>
      <c r="E42" s="217">
        <f t="shared" si="4"/>
        <v>37</v>
      </c>
      <c r="F42" s="228">
        <f t="shared" si="5"/>
        <v>72</v>
      </c>
      <c r="G42" s="162">
        <f ca="1">IF($E42="","",ROUND((1-$B$24*($B$10-$E42))*MIN($B$22+(1-$B$22)*$E42/MIN($B$23,$B$9),1)*(Pricing!$U42-$I42),0))</f>
        <v>14760</v>
      </c>
      <c r="H42" s="163">
        <f t="shared" si="2"/>
        <v>0</v>
      </c>
      <c r="I42" s="163">
        <f>IF($E42="","",Pricing!$N42+Pricing!$O42)</f>
        <v>0</v>
      </c>
      <c r="J42" s="220">
        <f ca="1">IF(OR($E42=0,$E42=""),"",(NPV($B$13,$I$5:$I42)+$G42*(1+$B$13)^-($E42+1))/NPV($B$13,$H$5:$H41))</f>
        <v>1.2242782892632882</v>
      </c>
      <c r="K42" s="220">
        <f ca="1">IF($E42="","",IFERROR(((G42+I42)/(NPV(K42,H$5:H41)*(1+K42)-NPV(K42,I$5:I41)*(1+K42)))^(1/E42)-1,0))</f>
        <v>1.8037603772104838E-2</v>
      </c>
      <c r="L42" s="163" t="str">
        <f>IF(OR($E42&gt;=$B$9,$E42=0),"",MAX(Pricing!$U42-$I42-0.01*$B$11,$V42))</f>
        <v/>
      </c>
      <c r="M42" s="163">
        <f ca="1">IF($E42="","",ROUND(Pricing!Q42+Pricing!R42-SUMPRODUCT(Pricing!G42:G$116,Pricing!L42:L$116)/Pricing!H42-$I42,0))</f>
        <v>14760</v>
      </c>
      <c r="N42" s="163" t="str">
        <f t="shared" si="3"/>
        <v/>
      </c>
      <c r="O42" s="163">
        <f>IF(E42="","",IF(AND(Pricing!$K$3,$B$19),SUMIF(F42:F$116,"&gt;=" &amp; 16,Pricing!G42:G$116),SUM(Pricing!$G42:$G$116)))</f>
        <v>1028612.9132386303</v>
      </c>
      <c r="P42" s="427">
        <f>IF(OR($E42="",$E42=0),"",IF(OR(NOT($B$19),$F42&gt;=16,$E42=$B$10),0,((1+2.25%)*$P43*Pricing!$H43+(1+Pricing!$K$3)^0.5*Pricing!$G42)/Pricing!$H42))</f>
        <v>0</v>
      </c>
      <c r="Q42" s="163" t="str">
        <f>IF(OR($E42&gt;=$B$9,$E42=0,AND(NOT($B$19),$F42&lt;16)),"",MAX(Pricing!$I41,Pricing!$U42))</f>
        <v/>
      </c>
      <c r="R42" s="163" t="str">
        <f>IF($Q42="","",IF($L42=0,E42,COUNTIF($O43:$O$116,"&gt;=" &amp; $O42-$L42*(1-$P42)/$Q42*Pricing!$H42)+$E42))</f>
        <v/>
      </c>
      <c r="S42" s="163" t="str">
        <f>IF($Q42="","",IF($L42=0,0,IF(R42&lt;$B$10,ROUND((L42*(1-P42)-(O42-INDEX(O42:O$116,R42-E42+1))/Pricing!H42*Q42)/(INDEX(Pricing!G42:G$116,R42-E42+1)/Pricing!H42*Q42)*365,0),0)))</f>
        <v/>
      </c>
      <c r="T42" s="220" t="str">
        <f>IF(OR($Q42="",NOT($B$17)),"",IF($R42&lt;$B$10,0,ROUND(MIN(1,($L42-$O42/Pricing!$H42*$Q42)/(Pricing!$R42-Pricing!$O42)),4)))</f>
        <v/>
      </c>
      <c r="U42" s="163" t="str">
        <f>IF($Q42="","",IF($L42=0,0,IF(OR(R42&lt;$B$10,AND($B$17,$T42&lt;1)),0,$L42*(1-$P42)-$O42/Pricing!$H42*$Q42-IF($B$17,Pricing!$R42-Pricing!$O42,0))*IF($B$18=1,1,Pricing!$H42/IF($B$18=2,INDEX(Pricing!$H$5:$H$116,$B$9+1),INDEX(Pricing!$H$5:$H$116,$B$10+1)))))</f>
        <v/>
      </c>
      <c r="V42" s="425">
        <f ca="1">IF($E42="","",(1-$B$24*($B$10-$E42))*MIN($B$22+(1-$B$22)*$E42/MIN($B$23,$B$9),1)*(Pricing!$U42-$I42))</f>
        <v>14760</v>
      </c>
      <c r="W42" s="35">
        <f>IF($E42="","",IF(F42&gt;16,0,MAX(INDEX($L$6:$L$116,$W$4)*(1+2.25%)^0.5-INDEX($N$6:$N$116,$W$4)/$B$11*Pricing!M42,0)))</f>
        <v>0</v>
      </c>
      <c r="X42" s="428">
        <f>SUMPRODUCT(Reserve!G42:G$116,W42:W$116)/Reserve!H42</f>
        <v>0</v>
      </c>
    </row>
    <row r="43" spans="4:24" x14ac:dyDescent="0.3">
      <c r="D43" s="215">
        <v>38</v>
      </c>
      <c r="E43" s="217">
        <f t="shared" si="4"/>
        <v>38</v>
      </c>
      <c r="F43" s="228">
        <f t="shared" si="5"/>
        <v>73</v>
      </c>
      <c r="G43" s="162">
        <f ca="1">IF($E43="","",ROUND((1-$B$24*($B$10-$E43))*MIN($B$22+(1-$B$22)*$E43/MIN($B$23,$B$9),1)*(Pricing!$U43-$I43),0))</f>
        <v>15092</v>
      </c>
      <c r="H43" s="163">
        <f t="shared" si="2"/>
        <v>0</v>
      </c>
      <c r="I43" s="163">
        <f>IF($E43="","",Pricing!$N43+Pricing!$O43)</f>
        <v>0</v>
      </c>
      <c r="J43" s="220">
        <f ca="1">IF(OR($E43=0,$E43=""),"",(NPV($B$13,$I$5:$I43)+$G43*(1+$B$13)^-($E43+1))/NPV($B$13,$H$5:$H42))</f>
        <v>1.2385636254114538</v>
      </c>
      <c r="K43" s="220">
        <f ca="1">IF($E43="","",IFERROR(((G43+I43)/(NPV(K43,H$5:H42)*(1+K43)-NPV(K43,I$5:I42)*(1+K43)))^(1/E43)-1,0))</f>
        <v>1.8190418282365783E-2</v>
      </c>
      <c r="L43" s="163" t="str">
        <f>IF(OR($E43&gt;=$B$9,$E43=0),"",MAX(Pricing!$U43-$I43-0.01*$B$11,$V43))</f>
        <v/>
      </c>
      <c r="M43" s="163">
        <f ca="1">IF($E43="","",ROUND(Pricing!Q43+Pricing!R43-SUMPRODUCT(Pricing!G43:G$116,Pricing!L43:L$116)/Pricing!H43-$I43,0))</f>
        <v>15092</v>
      </c>
      <c r="N43" s="163" t="str">
        <f t="shared" si="3"/>
        <v/>
      </c>
      <c r="O43" s="163">
        <f>IF(E43="","",IF(AND(Pricing!$K$3,$B$19),SUMIF(F43:F$116,"&gt;=" &amp; 16,Pricing!G43:G$116),SUM(Pricing!$G43:$G$116)))</f>
        <v>980083.9245499348</v>
      </c>
      <c r="P43" s="427">
        <f>IF(OR($E43="",$E43=0),"",IF(OR(NOT($B$19),$F43&gt;=16,$E43=$B$10),0,((1+2.25%)*$P44*Pricing!$H44+(1+Pricing!$K$3)^0.5*Pricing!$G43)/Pricing!$H43))</f>
        <v>0</v>
      </c>
      <c r="Q43" s="163" t="str">
        <f>IF(OR($E43&gt;=$B$9,$E43=0,AND(NOT($B$19),$F43&lt;16)),"",MAX(Pricing!$I42,Pricing!$U43))</f>
        <v/>
      </c>
      <c r="R43" s="163" t="str">
        <f>IF($Q43="","",IF($L43=0,E43,COUNTIF($O44:$O$116,"&gt;=" &amp; $O43-$L43*(1-$P43)/$Q43*Pricing!$H43)+$E43))</f>
        <v/>
      </c>
      <c r="S43" s="163" t="str">
        <f>IF($Q43="","",IF($L43=0,0,IF(R43&lt;$B$10,ROUND((L43*(1-P43)-(O43-INDEX(O43:O$116,R43-E43+1))/Pricing!H43*Q43)/(INDEX(Pricing!G43:G$116,R43-E43+1)/Pricing!H43*Q43)*365,0),0)))</f>
        <v/>
      </c>
      <c r="T43" s="220" t="str">
        <f>IF(OR($Q43="",NOT($B$17)),"",IF($R43&lt;$B$10,0,ROUND(MIN(1,($L43-$O43/Pricing!$H43*$Q43)/(Pricing!$R43-Pricing!$O43)),4)))</f>
        <v/>
      </c>
      <c r="U43" s="163" t="str">
        <f>IF($Q43="","",IF($L43=0,0,IF(OR(R43&lt;$B$10,AND($B$17,$T43&lt;1)),0,$L43*(1-$P43)-$O43/Pricing!$H43*$Q43-IF($B$17,Pricing!$R43-Pricing!$O43,0))*IF($B$18=1,1,Pricing!$H43/IF($B$18=2,INDEX(Pricing!$H$5:$H$116,$B$9+1),INDEX(Pricing!$H$5:$H$116,$B$10+1)))))</f>
        <v/>
      </c>
      <c r="V43" s="425">
        <f ca="1">IF($E43="","",(1-$B$24*($B$10-$E43))*MIN($B$22+(1-$B$22)*$E43/MIN($B$23,$B$9),1)*(Pricing!$U43-$I43))</f>
        <v>15092</v>
      </c>
      <c r="W43" s="35">
        <f>IF($E43="","",IF(F43&gt;16,0,MAX(INDEX($L$6:$L$116,$W$4)*(1+2.25%)^0.5-INDEX($N$6:$N$116,$W$4)/$B$11*Pricing!M43,0)))</f>
        <v>0</v>
      </c>
      <c r="X43" s="428">
        <f>SUMPRODUCT(Reserve!G43:G$116,W43:W$116)/Reserve!H43</f>
        <v>0</v>
      </c>
    </row>
    <row r="44" spans="4:24" x14ac:dyDescent="0.3">
      <c r="D44" s="215">
        <v>39</v>
      </c>
      <c r="E44" s="217">
        <f t="shared" si="4"/>
        <v>39</v>
      </c>
      <c r="F44" s="228">
        <f t="shared" si="5"/>
        <v>74</v>
      </c>
      <c r="G44" s="162">
        <f ca="1">IF($E44="","",ROUND((1-$B$24*($B$10-$E44))*MIN($B$22+(1-$B$22)*$E44/MIN($B$23,$B$9),1)*(Pricing!$U44-$I44),0))</f>
        <v>15430</v>
      </c>
      <c r="H44" s="163">
        <f t="shared" si="2"/>
        <v>0</v>
      </c>
      <c r="I44" s="163">
        <f>IF($E44="","",Pricing!$N44+Pricing!$O44)</f>
        <v>0</v>
      </c>
      <c r="J44" s="220">
        <f ca="1">IF(OR($E44=0,$E44=""),"",(NPV($B$13,$I$5:$I44)+$G44*(1+$B$13)^-($E44+1))/NPV($B$13,$H$5:$H43))</f>
        <v>1.2528964686979152</v>
      </c>
      <c r="K44" s="220">
        <f ca="1">IF($E44="","",IFERROR(((G44+I44)/(NPV(K44,H$5:H43)*(1+K44)-NPV(K44,I$5:I43)*(1+K44)))^(1/E44)-1,0))</f>
        <v>1.8329857775504443E-2</v>
      </c>
      <c r="L44" s="163" t="str">
        <f>IF(OR($E44&gt;=$B$9,$E44=0),"",MAX(Pricing!$U44-$I44-0.01*$B$11,$V44))</f>
        <v/>
      </c>
      <c r="M44" s="163">
        <f ca="1">IF($E44="","",ROUND(Pricing!Q44+Pricing!R44-SUMPRODUCT(Pricing!G44:G$116,Pricing!L44:L$116)/Pricing!H44-$I44,0))</f>
        <v>15430</v>
      </c>
      <c r="N44" s="163" t="str">
        <f t="shared" si="3"/>
        <v/>
      </c>
      <c r="O44" s="163">
        <f>IF(E44="","",IF(AND(Pricing!$K$3,$B$19),SUMIF(F44:F$116,"&gt;=" &amp; 16,Pricing!G44:G$116),SUM(Pricing!$G44:$G$116)))</f>
        <v>930106.05768843507</v>
      </c>
      <c r="P44" s="427">
        <f>IF(OR($E44="",$E44=0),"",IF(OR(NOT($B$19),$F44&gt;=16,$E44=$B$10),0,((1+2.25%)*$P45*Pricing!$H45+(1+Pricing!$K$3)^0.5*Pricing!$G44)/Pricing!$H44))</f>
        <v>0</v>
      </c>
      <c r="Q44" s="163" t="str">
        <f>IF(OR($E44&gt;=$B$9,$E44=0,AND(NOT($B$19),$F44&lt;16)),"",MAX(Pricing!$I43,Pricing!$U44))</f>
        <v/>
      </c>
      <c r="R44" s="163" t="str">
        <f>IF($Q44="","",IF($L44=0,E44,COUNTIF($O45:$O$116,"&gt;=" &amp; $O44-$L44*(1-$P44)/$Q44*Pricing!$H44)+$E44))</f>
        <v/>
      </c>
      <c r="S44" s="163" t="str">
        <f>IF($Q44="","",IF($L44=0,0,IF(R44&lt;$B$10,ROUND((L44*(1-P44)-(O44-INDEX(O44:O$116,R44-E44+1))/Pricing!H44*Q44)/(INDEX(Pricing!G44:G$116,R44-E44+1)/Pricing!H44*Q44)*365,0),0)))</f>
        <v/>
      </c>
      <c r="T44" s="220" t="str">
        <f>IF(OR($Q44="",NOT($B$17)),"",IF($R44&lt;$B$10,0,ROUND(MIN(1,($L44-$O44/Pricing!$H44*$Q44)/(Pricing!$R44-Pricing!$O44)),4)))</f>
        <v/>
      </c>
      <c r="U44" s="163" t="str">
        <f>IF($Q44="","",IF($L44=0,0,IF(OR(R44&lt;$B$10,AND($B$17,$T44&lt;1)),0,$L44*(1-$P44)-$O44/Pricing!$H44*$Q44-IF($B$17,Pricing!$R44-Pricing!$O44,0))*IF($B$18=1,1,Pricing!$H44/IF($B$18=2,INDEX(Pricing!$H$5:$H$116,$B$9+1),INDEX(Pricing!$H$5:$H$116,$B$10+1)))))</f>
        <v/>
      </c>
      <c r="V44" s="425">
        <f ca="1">IF($E44="","",(1-$B$24*($B$10-$E44))*MIN($B$22+(1-$B$22)*$E44/MIN($B$23,$B$9),1)*(Pricing!$U44-$I44))</f>
        <v>15430</v>
      </c>
      <c r="W44" s="35">
        <f>IF($E44="","",IF(F44&gt;16,0,MAX(INDEX($L$6:$L$116,$W$4)*(1+2.25%)^0.5-INDEX($N$6:$N$116,$W$4)/$B$11*Pricing!M44,0)))</f>
        <v>0</v>
      </c>
      <c r="X44" s="428">
        <f>SUMPRODUCT(Reserve!G44:G$116,W44:W$116)/Reserve!H44</f>
        <v>0</v>
      </c>
    </row>
    <row r="45" spans="4:24" x14ac:dyDescent="0.3">
      <c r="D45" s="215">
        <v>40</v>
      </c>
      <c r="E45" s="233">
        <f t="shared" si="4"/>
        <v>40</v>
      </c>
      <c r="F45" s="234">
        <f t="shared" si="5"/>
        <v>75</v>
      </c>
      <c r="G45" s="165">
        <f ca="1">IF($E45="","",ROUND((1-$B$24*($B$10-$E45))*MIN($B$22+(1-$B$22)*$E45/MIN($B$23,$B$9),1)*(Pricing!$U45-$I45),0))</f>
        <v>15775</v>
      </c>
      <c r="H45" s="166">
        <f t="shared" si="2"/>
        <v>0</v>
      </c>
      <c r="I45" s="166">
        <f>IF($E45="","",Pricing!$N45+Pricing!$O45)</f>
        <v>0</v>
      </c>
      <c r="J45" s="235">
        <f ca="1">IF(OR($E45=0,$E45=""),"",(NPV($B$13,$I$5:$I45)+$G45*(1+$B$13)^-($E45+1))/NPV($B$13,$H$5:$H44))</f>
        <v>1.2673493934864297</v>
      </c>
      <c r="K45" s="235">
        <f ca="1">IF($E45="","",IFERROR(((G45+I45)/(NPV(K45,H$5:H44)*(1+K45)-NPV(K45,I$5:I44)*(1+K45)))^(1/E45)-1,0))</f>
        <v>1.8459146463207565E-2</v>
      </c>
      <c r="L45" s="166" t="str">
        <f>IF(OR($E45&gt;=$B$9,$E45=0),"",MAX(Pricing!$U45-$I45-0.01*$B$11,$V45))</f>
        <v/>
      </c>
      <c r="M45" s="166">
        <f ca="1">IF($E45="","",ROUND(Pricing!Q45+Pricing!R45-SUMPRODUCT(Pricing!G45:G$116,Pricing!L45:L$116)/Pricing!H45-$I45,0))</f>
        <v>15775</v>
      </c>
      <c r="N45" s="166" t="str">
        <f t="shared" si="3"/>
        <v/>
      </c>
      <c r="O45" s="166">
        <f>IF(E45="","",IF(AND(Pricing!$K$3,$B$19),SUMIF(F45:F$116,"&gt;=" &amp; 16,Pricing!G45:G$116),SUM(Pricing!$G45:$G$116)))</f>
        <v>878826.22824391187</v>
      </c>
      <c r="P45" s="429">
        <f>IF(OR($E45="",$E45=0),"",IF(OR(NOT($B$19),$F45&gt;=16,$E45=$B$10),0,((1+2.25%)*$P46*Pricing!$H46+(1+Pricing!$K$3)^0.5*Pricing!$G45)/Pricing!$H45))</f>
        <v>0</v>
      </c>
      <c r="Q45" s="166" t="str">
        <f>IF(OR($E45&gt;=$B$9,$E45=0,AND(NOT($B$19),$F45&lt;16)),"",MAX(Pricing!$I44,Pricing!$U45))</f>
        <v/>
      </c>
      <c r="R45" s="166" t="str">
        <f>IF($Q45="","",IF($L45=0,E45,COUNTIF($O46:$O$116,"&gt;=" &amp; $O45-$L45*(1-$P45)/$Q45*Pricing!$H45)+$E45))</f>
        <v/>
      </c>
      <c r="S45" s="166" t="str">
        <f>IF($Q45="","",IF($L45=0,0,IF(R45&lt;$B$10,ROUND((L45*(1-P45)-(O45-INDEX(O45:O$116,R45-E45+1))/Pricing!H45*Q45)/(INDEX(Pricing!G45:G$116,R45-E45+1)/Pricing!H45*Q45)*365,0),0)))</f>
        <v/>
      </c>
      <c r="T45" s="235" t="str">
        <f>IF(OR($Q45="",NOT($B$17)),"",IF($R45&lt;$B$10,0,ROUND(MIN(1,($L45-$O45/Pricing!$H45*$Q45)/(Pricing!$R45-Pricing!$O45)),4)))</f>
        <v/>
      </c>
      <c r="U45" s="166" t="str">
        <f>IF($Q45="","",IF($L45=0,0,IF(OR(R45&lt;$B$10,AND($B$17,$T45&lt;1)),0,$L45*(1-$P45)-$O45/Pricing!$H45*$Q45-IF($B$17,Pricing!$R45-Pricing!$O45,0))*IF($B$18=1,1,Pricing!$H45/IF($B$18=2,INDEX(Pricing!$H$5:$H$116,$B$9+1),INDEX(Pricing!$H$5:$H$116,$B$10+1)))))</f>
        <v/>
      </c>
      <c r="V45" s="425">
        <f ca="1">IF($E45="","",(1-$B$24*($B$10-$E45))*MIN($B$22+(1-$B$22)*$E45/MIN($B$23,$B$9),1)*(Pricing!$U45-$I45))</f>
        <v>15775</v>
      </c>
      <c r="W45" s="35">
        <f>IF($E45="","",IF(F45&gt;16,0,MAX(INDEX($L$6:$L$116,$W$4)*(1+2.25%)^0.5-INDEX($N$6:$N$116,$W$4)/$B$11*Pricing!M45,0)))</f>
        <v>0</v>
      </c>
      <c r="X45" s="428">
        <f>SUMPRODUCT(Reserve!G45:G$116,W45:W$116)/Reserve!H45</f>
        <v>0</v>
      </c>
    </row>
    <row r="46" spans="4:24" x14ac:dyDescent="0.3">
      <c r="D46" s="215">
        <v>41</v>
      </c>
      <c r="E46" s="217">
        <f t="shared" si="4"/>
        <v>41</v>
      </c>
      <c r="F46" s="228">
        <f t="shared" si="5"/>
        <v>76</v>
      </c>
      <c r="G46" s="162">
        <f ca="1">IF($E46="","",ROUND((1-$B$24*($B$10-$E46))*MIN($B$22+(1-$B$22)*$E46/MIN($B$23,$B$9),1)*(Pricing!$U46-$I46),0))</f>
        <v>16127</v>
      </c>
      <c r="H46" s="163">
        <f t="shared" si="2"/>
        <v>0</v>
      </c>
      <c r="I46" s="163">
        <f>IF($E46="","",Pricing!$N46+Pricing!$O46)</f>
        <v>0</v>
      </c>
      <c r="J46" s="220">
        <f ca="1">IF(OR($E46=0,$E46=""),"",(NPV($B$13,$I$5:$I46)+$G46*(1+$B$13)^-($E46+1))/NPV($B$13,$H$5:$H45))</f>
        <v>1.2819122971373123</v>
      </c>
      <c r="K46" s="220">
        <f ca="1">IF($E46="","",IFERROR(((G46+I46)/(NPV(K46,H$5:H45)*(1+K46)-NPV(K46,I$5:I45)*(1+K46)))^(1/E46)-1,0))</f>
        <v>1.8578976429632466E-2</v>
      </c>
      <c r="L46" s="163" t="str">
        <f>IF(OR($E46&gt;=$B$9,$E46=0),"",MAX(Pricing!$U46-$I46-0.01*$B$11,$V46))</f>
        <v/>
      </c>
      <c r="M46" s="163">
        <f ca="1">IF($E46="","",ROUND(Pricing!Q46+Pricing!R46-SUMPRODUCT(Pricing!G46:G$116,Pricing!L46:L$116)/Pricing!H46-$I46,0))</f>
        <v>16127</v>
      </c>
      <c r="N46" s="163" t="str">
        <f t="shared" si="3"/>
        <v/>
      </c>
      <c r="O46" s="163">
        <f>IF(E46="","",IF(AND(Pricing!$K$3,$B$19),SUMIF(F46:F$116,"&gt;=" &amp; 16,Pricing!G46:G$116),SUM(Pricing!$G46:$G$116)))</f>
        <v>826424.16219257284</v>
      </c>
      <c r="P46" s="427">
        <f>IF(OR($E46="",$E46=0),"",IF(OR(NOT($B$19),$F46&gt;=16,$E46=$B$10),0,((1+2.25%)*$P47*Pricing!$H47+(1+Pricing!$K$3)^0.5*Pricing!$G46)/Pricing!$H46))</f>
        <v>0</v>
      </c>
      <c r="Q46" s="163" t="str">
        <f>IF(OR($E46&gt;=$B$9,$E46=0,AND(NOT($B$19),$F46&lt;16)),"",MAX(Pricing!$I45,Pricing!$U46))</f>
        <v/>
      </c>
      <c r="R46" s="163" t="str">
        <f>IF($Q46="","",IF($L46=0,E46,COUNTIF($O47:$O$116,"&gt;=" &amp; $O46-$L46*(1-$P46)/$Q46*Pricing!$H46)+$E46))</f>
        <v/>
      </c>
      <c r="S46" s="163" t="str">
        <f>IF($Q46="","",IF($L46=0,0,IF(R46&lt;$B$10,ROUND((L46*(1-P46)-(O46-INDEX(O46:O$116,R46-E46+1))/Pricing!H46*Q46)/(INDEX(Pricing!G46:G$116,R46-E46+1)/Pricing!H46*Q46)*365,0),0)))</f>
        <v/>
      </c>
      <c r="T46" s="220" t="str">
        <f>IF(OR($Q46="",NOT($B$17)),"",IF($R46&lt;$B$10,0,ROUND(MIN(1,($L46-$O46/Pricing!$H46*$Q46)/(Pricing!$R46-Pricing!$O46)),4)))</f>
        <v/>
      </c>
      <c r="U46" s="163" t="str">
        <f>IF($Q46="","",IF($L46=0,0,IF(OR(R46&lt;$B$10,AND($B$17,$T46&lt;1)),0,$L46*(1-$P46)-$O46/Pricing!$H46*$Q46-IF($B$17,Pricing!$R46-Pricing!$O46,0))*IF($B$18=1,1,Pricing!$H46/IF($B$18=2,INDEX(Pricing!$H$5:$H$116,$B$9+1),INDEX(Pricing!$H$5:$H$116,$B$10+1)))))</f>
        <v/>
      </c>
      <c r="V46" s="425">
        <f ca="1">IF($E46="","",(1-$B$24*($B$10-$E46))*MIN($B$22+(1-$B$22)*$E46/MIN($B$23,$B$9),1)*(Pricing!$U46-$I46))</f>
        <v>16127</v>
      </c>
      <c r="W46" s="35">
        <f>IF($E46="","",IF(F46&gt;16,0,MAX(INDEX($L$6:$L$116,$W$4)*(1+2.25%)^0.5-INDEX($N$6:$N$116,$W$4)/$B$11*Pricing!M46,0)))</f>
        <v>0</v>
      </c>
      <c r="X46" s="428">
        <f>SUMPRODUCT(Reserve!G46:G$116,W46:W$116)/Reserve!H46</f>
        <v>0</v>
      </c>
    </row>
    <row r="47" spans="4:24" x14ac:dyDescent="0.3">
      <c r="D47" s="215">
        <v>42</v>
      </c>
      <c r="E47" s="217">
        <f t="shared" si="4"/>
        <v>42</v>
      </c>
      <c r="F47" s="228">
        <f t="shared" si="5"/>
        <v>77</v>
      </c>
      <c r="G47" s="162">
        <f ca="1">IF($E47="","",ROUND((1-$B$24*($B$10-$E47))*MIN($B$22+(1-$B$22)*$E47/MIN($B$23,$B$9),1)*(Pricing!$U47-$I47),0))</f>
        <v>16482</v>
      </c>
      <c r="H47" s="163">
        <f t="shared" si="2"/>
        <v>0</v>
      </c>
      <c r="I47" s="163">
        <f>IF($E47="","",Pricing!$N47+Pricing!$O47)</f>
        <v>0</v>
      </c>
      <c r="J47" s="220">
        <f ca="1">IF(OR($E47=0,$E47=""),"",(NPV($B$13,$I$5:$I47)+$G47*(1+$B$13)^-($E47+1))/NPV($B$13,$H$5:$H46))</f>
        <v>1.2962607522720864</v>
      </c>
      <c r="K47" s="220">
        <f ca="1">IF($E47="","",IFERROR(((G47+I47)/(NPV(K47,H$5:H46)*(1+K47)-NPV(K47,I$5:I46)*(1+K47)))^(1/E47)-1,0))</f>
        <v>1.8682508598856895E-2</v>
      </c>
      <c r="L47" s="163" t="str">
        <f>IF(OR($E47&gt;=$B$9,$E47=0),"",MAX(Pricing!$U47-$I47-0.01*$B$11,$V47))</f>
        <v/>
      </c>
      <c r="M47" s="163">
        <f ca="1">IF($E47="","",ROUND(Pricing!Q47+Pricing!R47-SUMPRODUCT(Pricing!G47:G$116,Pricing!L47:L$116)/Pricing!H47-$I47,0))</f>
        <v>16482</v>
      </c>
      <c r="N47" s="163" t="str">
        <f t="shared" si="3"/>
        <v/>
      </c>
      <c r="O47" s="163">
        <f>IF(E47="","",IF(AND(Pricing!$K$3,$B$19),SUMIF(F47:F$116,"&gt;=" &amp; 16,Pricing!G47:G$116),SUM(Pricing!$G47:$G$116)))</f>
        <v>773115.53429228754</v>
      </c>
      <c r="P47" s="427">
        <f>IF(OR($E47="",$E47=0),"",IF(OR(NOT($B$19),$F47&gt;=16,$E47=$B$10),0,((1+2.25%)*$P48*Pricing!$H48+(1+Pricing!$K$3)^0.5*Pricing!$G47)/Pricing!$H47))</f>
        <v>0</v>
      </c>
      <c r="Q47" s="163" t="str">
        <f>IF(OR($E47&gt;=$B$9,$E47=0,AND(NOT($B$19),$F47&lt;16)),"",MAX(Pricing!$I46,Pricing!$U47))</f>
        <v/>
      </c>
      <c r="R47" s="163" t="str">
        <f>IF($Q47="","",IF($L47=0,E47,COUNTIF($O48:$O$116,"&gt;=" &amp; $O47-$L47*(1-$P47)/$Q47*Pricing!$H47)+$E47))</f>
        <v/>
      </c>
      <c r="S47" s="163" t="str">
        <f>IF($Q47="","",IF($L47=0,0,IF(R47&lt;$B$10,ROUND((L47*(1-P47)-(O47-INDEX(O47:O$116,R47-E47+1))/Pricing!H47*Q47)/(INDEX(Pricing!G47:G$116,R47-E47+1)/Pricing!H47*Q47)*365,0),0)))</f>
        <v/>
      </c>
      <c r="T47" s="220" t="str">
        <f>IF(OR($Q47="",NOT($B$17)),"",IF($R47&lt;$B$10,0,ROUND(MIN(1,($L47-$O47/Pricing!$H47*$Q47)/(Pricing!$R47-Pricing!$O47)),4)))</f>
        <v/>
      </c>
      <c r="U47" s="163" t="str">
        <f>IF($Q47="","",IF($L47=0,0,IF(OR(R47&lt;$B$10,AND($B$17,$T47&lt;1)),0,$L47*(1-$P47)-$O47/Pricing!$H47*$Q47-IF($B$17,Pricing!$R47-Pricing!$O47,0))*IF($B$18=1,1,Pricing!$H47/IF($B$18=2,INDEX(Pricing!$H$5:$H$116,$B$9+1),INDEX(Pricing!$H$5:$H$116,$B$10+1)))))</f>
        <v/>
      </c>
      <c r="V47" s="425">
        <f ca="1">IF($E47="","",(1-$B$24*($B$10-$E47))*MIN($B$22+(1-$B$22)*$E47/MIN($B$23,$B$9),1)*(Pricing!$U47-$I47))</f>
        <v>16482</v>
      </c>
      <c r="W47" s="35">
        <f>IF($E47="","",IF(F47&gt;16,0,MAX(INDEX($L$6:$L$116,$W$4)*(1+2.25%)^0.5-INDEX($N$6:$N$116,$W$4)/$B$11*Pricing!M47,0)))</f>
        <v>0</v>
      </c>
      <c r="X47" s="428">
        <f>SUMPRODUCT(Reserve!G47:G$116,W47:W$116)/Reserve!H47</f>
        <v>0</v>
      </c>
    </row>
    <row r="48" spans="4:24" x14ac:dyDescent="0.3">
      <c r="D48" s="215">
        <v>43</v>
      </c>
      <c r="E48" s="217">
        <f t="shared" si="4"/>
        <v>43</v>
      </c>
      <c r="F48" s="228">
        <f t="shared" si="5"/>
        <v>78</v>
      </c>
      <c r="G48" s="162">
        <f ca="1">IF($E48="","",ROUND((1-$B$24*($B$10-$E48))*MIN($B$22+(1-$B$22)*$E48/MIN($B$23,$B$9),1)*(Pricing!$U48-$I48),0))</f>
        <v>16836</v>
      </c>
      <c r="H48" s="163">
        <f t="shared" si="2"/>
        <v>0</v>
      </c>
      <c r="I48" s="163">
        <f>IF($E48="","",Pricing!$N48+Pricing!$O48)</f>
        <v>0</v>
      </c>
      <c r="J48" s="220">
        <f ca="1">IF(OR($E48=0,$E48=""),"",(NPV($B$13,$I$5:$I48)+$G48*(1+$B$13)^-($E48+1))/NPV($B$13,$H$5:$H47))</f>
        <v>1.3100839117098573</v>
      </c>
      <c r="K48" s="220">
        <f ca="1">IF($E48="","",IFERROR(((G48+I48)/(NPV(K48,H$5:H47)*(1+K48)-NPV(K48,I$5:I47)*(1+K48)))^(1/E48)-1,0))</f>
        <v>1.8764341208003854E-2</v>
      </c>
      <c r="L48" s="163" t="str">
        <f>IF(OR($E48&gt;=$B$9,$E48=0),"",MAX(Pricing!$U48-$I48-0.01*$B$11,$V48))</f>
        <v/>
      </c>
      <c r="M48" s="163">
        <f ca="1">IF($E48="","",ROUND(Pricing!Q48+Pricing!R48-SUMPRODUCT(Pricing!G48:G$116,Pricing!L48:L$116)/Pricing!H48-$I48,0))</f>
        <v>16836</v>
      </c>
      <c r="N48" s="163" t="str">
        <f t="shared" si="3"/>
        <v/>
      </c>
      <c r="O48" s="163">
        <f>IF(E48="","",IF(AND(Pricing!$K$3,$B$19),SUMIF(F48:F$116,"&gt;=" &amp; 16,Pricing!G48:G$116),SUM(Pricing!$G48:$G$116)))</f>
        <v>719156.01480791578</v>
      </c>
      <c r="P48" s="427">
        <f>IF(OR($E48="",$E48=0),"",IF(OR(NOT($B$19),$F48&gt;=16,$E48=$B$10),0,((1+2.25%)*$P49*Pricing!$H49+(1+Pricing!$K$3)^0.5*Pricing!$G48)/Pricing!$H48))</f>
        <v>0</v>
      </c>
      <c r="Q48" s="163" t="str">
        <f>IF(OR($E48&gt;=$B$9,$E48=0,AND(NOT($B$19),$F48&lt;16)),"",MAX(Pricing!$I47,Pricing!$U48))</f>
        <v/>
      </c>
      <c r="R48" s="163" t="str">
        <f>IF($Q48="","",IF($L48=0,E48,COUNTIF($O49:$O$116,"&gt;=" &amp; $O48-$L48*(1-$P48)/$Q48*Pricing!$H48)+$E48))</f>
        <v/>
      </c>
      <c r="S48" s="163" t="str">
        <f>IF($Q48="","",IF($L48=0,0,IF(R48&lt;$B$10,ROUND((L48*(1-P48)-(O48-INDEX(O48:O$116,R48-E48+1))/Pricing!H48*Q48)/(INDEX(Pricing!G48:G$116,R48-E48+1)/Pricing!H48*Q48)*365,0),0)))</f>
        <v/>
      </c>
      <c r="T48" s="220" t="str">
        <f>IF(OR($Q48="",NOT($B$17)),"",IF($R48&lt;$B$10,0,ROUND(MIN(1,($L48-$O48/Pricing!$H48*$Q48)/(Pricing!$R48-Pricing!$O48)),4)))</f>
        <v/>
      </c>
      <c r="U48" s="163" t="str">
        <f>IF($Q48="","",IF($L48=0,0,IF(OR(R48&lt;$B$10,AND($B$17,$T48&lt;1)),0,$L48*(1-$P48)-$O48/Pricing!$H48*$Q48-IF($B$17,Pricing!$R48-Pricing!$O48,0))*IF($B$18=1,1,Pricing!$H48/IF($B$18=2,INDEX(Pricing!$H$5:$H$116,$B$9+1),INDEX(Pricing!$H$5:$H$116,$B$10+1)))))</f>
        <v/>
      </c>
      <c r="V48" s="425">
        <f ca="1">IF($E48="","",(1-$B$24*($B$10-$E48))*MIN($B$22+(1-$B$22)*$E48/MIN($B$23,$B$9),1)*(Pricing!$U48-$I48))</f>
        <v>16836</v>
      </c>
      <c r="W48" s="35">
        <f>IF($E48="","",IF(F48&gt;16,0,MAX(INDEX($L$6:$L$116,$W$4)*(1+2.25%)^0.5-INDEX($N$6:$N$116,$W$4)/$B$11*Pricing!M48,0)))</f>
        <v>0</v>
      </c>
      <c r="X48" s="428">
        <f>SUMPRODUCT(Reserve!G48:G$116,W48:W$116)/Reserve!H48</f>
        <v>0</v>
      </c>
    </row>
    <row r="49" spans="4:24" x14ac:dyDescent="0.3">
      <c r="D49" s="215">
        <v>44</v>
      </c>
      <c r="E49" s="217">
        <f t="shared" si="4"/>
        <v>44</v>
      </c>
      <c r="F49" s="228">
        <f t="shared" si="5"/>
        <v>79</v>
      </c>
      <c r="G49" s="162">
        <f ca="1">IF($E49="","",ROUND((1-$B$24*($B$10-$E49))*MIN($B$22+(1-$B$22)*$E49/MIN($B$23,$B$9),1)*(Pricing!$U49-$I49),0))</f>
        <v>17171</v>
      </c>
      <c r="H49" s="163">
        <f t="shared" si="2"/>
        <v>0</v>
      </c>
      <c r="I49" s="163">
        <f>IF($E49="","",Pricing!$N49+Pricing!$O49)</f>
        <v>0</v>
      </c>
      <c r="J49" s="220">
        <f ca="1">IF(OR($E49=0,$E49=""),"",(NPV($B$13,$I$5:$I49)+$G49*(1+$B$13)^-($E49+1))/NPV($B$13,$H$5:$H48))</f>
        <v>1.3220062818910341</v>
      </c>
      <c r="K49" s="220">
        <f ca="1">IF($E49="","",IFERROR(((G49+I49)/(NPV(K49,H$5:H48)*(1+K49)-NPV(K49,I$5:I48)*(1+K49)))^(1/E49)-1,0))</f>
        <v>1.8796601283832093E-2</v>
      </c>
      <c r="L49" s="163" t="str">
        <f>IF(OR($E49&gt;=$B$9,$E49=0),"",MAX(Pricing!$U49-$I49-0.01*$B$11,$V49))</f>
        <v/>
      </c>
      <c r="M49" s="163">
        <f ca="1">IF($E49="","",ROUND(Pricing!Q49+Pricing!R49-SUMPRODUCT(Pricing!G49:G$116,Pricing!L49:L$116)/Pricing!H49-$I49,0))</f>
        <v>17171</v>
      </c>
      <c r="N49" s="163" t="str">
        <f t="shared" si="3"/>
        <v/>
      </c>
      <c r="O49" s="163">
        <f>IF(E49="","",IF(AND(Pricing!$K$3,$B$19),SUMIF(F49:F$116,"&gt;=" &amp; 16,Pricing!G49:G$116),SUM(Pricing!$G49:$G$116)))</f>
        <v>664840.14638237807</v>
      </c>
      <c r="P49" s="427">
        <f>IF(OR($E49="",$E49=0),"",IF(OR(NOT($B$19),$F49&gt;=16,$E49=$B$10),0,((1+2.25%)*$P50*Pricing!$H50+(1+Pricing!$K$3)^0.5*Pricing!$G49)/Pricing!$H49))</f>
        <v>0</v>
      </c>
      <c r="Q49" s="163" t="str">
        <f>IF(OR($E49&gt;=$B$9,$E49=0,AND(NOT($B$19),$F49&lt;16)),"",MAX(Pricing!$I48,Pricing!$U49))</f>
        <v/>
      </c>
      <c r="R49" s="163" t="str">
        <f>IF($Q49="","",IF($L49=0,E49,COUNTIF($O50:$O$116,"&gt;=" &amp; $O49-$L49*(1-$P49)/$Q49*Pricing!$H49)+$E49))</f>
        <v/>
      </c>
      <c r="S49" s="163" t="str">
        <f>IF($Q49="","",IF($L49=0,0,IF(R49&lt;$B$10,ROUND((L49*(1-P49)-(O49-INDEX(O49:O$116,R49-E49+1))/Pricing!H49*Q49)/(INDEX(Pricing!G49:G$116,R49-E49+1)/Pricing!H49*Q49)*365,0),0)))</f>
        <v/>
      </c>
      <c r="T49" s="220" t="str">
        <f>IF(OR($Q49="",NOT($B$17)),"",IF($R49&lt;$B$10,0,ROUND(MIN(1,($L49-$O49/Pricing!$H49*$Q49)/(Pricing!$R49-Pricing!$O49)),4)))</f>
        <v/>
      </c>
      <c r="U49" s="163" t="str">
        <f>IF($Q49="","",IF($L49=0,0,IF(OR(R49&lt;$B$10,AND($B$17,$T49&lt;1)),0,$L49*(1-$P49)-$O49/Pricing!$H49*$Q49-IF($B$17,Pricing!$R49-Pricing!$O49,0))*IF($B$18=1,1,Pricing!$H49/IF($B$18=2,INDEX(Pricing!$H$5:$H$116,$B$9+1),INDEX(Pricing!$H$5:$H$116,$B$10+1)))))</f>
        <v/>
      </c>
      <c r="V49" s="425">
        <f ca="1">IF($E49="","",(1-$B$24*($B$10-$E49))*MIN($B$22+(1-$B$22)*$E49/MIN($B$23,$B$9),1)*(Pricing!$U49-$I49))</f>
        <v>17171</v>
      </c>
      <c r="W49" s="35">
        <f>IF($E49="","",IF(F49&gt;16,0,MAX(INDEX($L$6:$L$116,$W$4)*(1+2.25%)^0.5-INDEX($N$6:$N$116,$W$4)/$B$11*Pricing!M49,0)))</f>
        <v>0</v>
      </c>
      <c r="X49" s="428">
        <f>SUMPRODUCT(Reserve!G49:G$116,W49:W$116)/Reserve!H49</f>
        <v>0</v>
      </c>
    </row>
    <row r="50" spans="4:24" x14ac:dyDescent="0.3">
      <c r="D50" s="215">
        <v>45</v>
      </c>
      <c r="E50" s="233">
        <f t="shared" si="4"/>
        <v>45</v>
      </c>
      <c r="F50" s="234">
        <f t="shared" si="5"/>
        <v>80</v>
      </c>
      <c r="G50" s="165">
        <f ca="1">IF($E50="","",ROUND((1-$B$24*($B$10-$E50))*MIN($B$22+(1-$B$22)*$E50/MIN($B$23,$B$9),1)*(Pricing!$U50-$I50),0))</f>
        <v>0</v>
      </c>
      <c r="H50" s="166">
        <f t="shared" si="2"/>
        <v>0</v>
      </c>
      <c r="I50" s="166">
        <f>IF($E50="","",Pricing!$N50+Pricing!$O50)</f>
        <v>0</v>
      </c>
      <c r="J50" s="235">
        <f ca="1">IF(OR($E50=0,$E50=""),"",(NPV($B$13,$I$5:$I50)+$G50*(1+$B$13)^-($E50+1))/NPV($B$13,$H$5:$H49))</f>
        <v>1.3168465976383379</v>
      </c>
      <c r="K50" s="235">
        <f ca="1">IF($E50="","",IFERROR(((G50+I50)/(NPV(K50,H$5:H49)*(1+K50)-NPV(K50,I$5:I49)*(1+K50)))^(1/E50)-1,0))</f>
        <v>1.8711406447840417E-2</v>
      </c>
      <c r="L50" s="166" t="str">
        <f>IF(OR($E50&gt;=$B$9,$E50=0),"",MAX(Pricing!$U50-$I50-0.01*$B$11,$V50))</f>
        <v/>
      </c>
      <c r="M50" s="166">
        <f ca="1">IF($E50="","",ROUND(Pricing!Q50+Pricing!R50-SUMPRODUCT(Pricing!G50:G$116,Pricing!L50:L$116)/Pricing!H50-$I50,0))</f>
        <v>0</v>
      </c>
      <c r="N50" s="166" t="str">
        <f t="shared" si="3"/>
        <v/>
      </c>
      <c r="O50" s="166">
        <f>IF(E50="","",IF(AND(Pricing!$K$3,$B$19),SUMIF(F50:F$116,"&gt;=" &amp; 16,Pricing!G50:G$116),SUM(Pricing!$G50:$G$116)))</f>
        <v>610494.16133856052</v>
      </c>
      <c r="P50" s="429">
        <f>IF(OR($E50="",$E50=0),"",IF(OR(NOT($B$19),$F50&gt;=16,$E50=$B$10),0,((1+2.25%)*$P51*Pricing!$H51+(1+Pricing!$K$3)^0.5*Pricing!$G50)/Pricing!$H50))</f>
        <v>0</v>
      </c>
      <c r="Q50" s="166" t="str">
        <f>IF(OR($E50&gt;=$B$9,$E50=0,AND(NOT($B$19),$F50&lt;16)),"",MAX(Pricing!$I49,Pricing!$U50))</f>
        <v/>
      </c>
      <c r="R50" s="166" t="str">
        <f>IF($Q50="","",IF($L50=0,E50,COUNTIF($O51:$O$116,"&gt;=" &amp; $O50-$L50*(1-$P50)/$Q50*Pricing!$H50)+$E50))</f>
        <v/>
      </c>
      <c r="S50" s="166" t="str">
        <f>IF($Q50="","",IF($L50=0,0,IF(R50&lt;$B$10,ROUND((L50*(1-P50)-(O50-INDEX(O50:O$116,R50-E50+1))/Pricing!H50*Q50)/(INDEX(Pricing!G50:G$116,R50-E50+1)/Pricing!H50*Q50)*365,0),0)))</f>
        <v/>
      </c>
      <c r="T50" s="235" t="str">
        <f>IF(OR($Q50="",NOT($B$17)),"",IF($R50&lt;$B$10,0,ROUND(MIN(1,($L50-$O50/Pricing!$H50*$Q50)/(Pricing!$R50-Pricing!$O50)),4)))</f>
        <v/>
      </c>
      <c r="U50" s="166" t="str">
        <f>IF($Q50="","",IF($L50=0,0,IF(OR(R50&lt;$B$10,AND($B$17,$T50&lt;1)),0,$L50*(1-$P50)-$O50/Pricing!$H50*$Q50-IF($B$17,Pricing!$R50-Pricing!$O50,0))*IF($B$18=1,1,Pricing!$H50/IF($B$18=2,INDEX(Pricing!$H$5:$H$116,$B$9+1),INDEX(Pricing!$H$5:$H$116,$B$10+1)))))</f>
        <v/>
      </c>
      <c r="V50" s="425">
        <f ca="1">IF($E50="","",(1-$B$24*($B$10-$E50))*MIN($B$22+(1-$B$22)*$E50/MIN($B$23,$B$9),1)*(Pricing!$U50-$I50))</f>
        <v>0</v>
      </c>
      <c r="W50" s="35">
        <f>IF($E50="","",IF(F50&gt;16,0,MAX(INDEX($L$6:$L$116,$W$4)*(1+2.25%)^0.5-INDEX($N$6:$N$116,$W$4)/$B$11*Pricing!M50,0)))</f>
        <v>0</v>
      </c>
      <c r="X50" s="428">
        <f>SUMPRODUCT(Reserve!G50:G$116,W50:W$116)/Reserve!H50</f>
        <v>0</v>
      </c>
    </row>
    <row r="51" spans="4:24" x14ac:dyDescent="0.3">
      <c r="D51" s="215">
        <v>46</v>
      </c>
      <c r="E51" s="217">
        <f t="shared" si="4"/>
        <v>46</v>
      </c>
      <c r="F51" s="228">
        <f t="shared" si="5"/>
        <v>81</v>
      </c>
      <c r="G51" s="162" t="str">
        <f ca="1">IF($E51="","",ROUND((1-$B$24*($B$10-$E51))*MIN($B$22+(1-$B$22)*$E51/MIN($B$23,$B$9),1)*(Pricing!$U51-$I51),0))</f>
        <v/>
      </c>
      <c r="H51" s="163">
        <f t="shared" si="2"/>
        <v>0</v>
      </c>
      <c r="I51" s="163">
        <f>IF($E51="","",Pricing!$N51+Pricing!$O51)</f>
        <v>0</v>
      </c>
      <c r="J51" s="220" t="str">
        <f ca="1">IF(OR($E51=0,$E51=""),"",(NPV($B$13,$I$5:$I51)+$G51*(1+$B$13)^-($E51+1))/NPV($B$13,$H$5:$H50))</f>
        <v/>
      </c>
      <c r="K51" s="220" t="str">
        <f ca="1">IF($E51="","",IFERROR(((G51+I51)/(NPV(K51,H$5:H50)*(1+K51)-NPV(K51,I$5:I50)*(1+K51)))^(1/E51)-1,0))</f>
        <v/>
      </c>
      <c r="L51" s="163" t="str">
        <f>IF(OR($E51&gt;=$B$9,$E51=0),"",MAX(Pricing!$U51-$I51-0.01*$B$11,$V51))</f>
        <v/>
      </c>
      <c r="M51" s="163" t="str">
        <f ca="1">IF($E51="","",ROUND(Pricing!Q51+Pricing!R51-SUMPRODUCT(Pricing!G51:G$116,Pricing!L51:L$116)/Pricing!H51-$I51,0))</f>
        <v/>
      </c>
      <c r="N51" s="163" t="str">
        <f t="shared" si="3"/>
        <v/>
      </c>
      <c r="O51" s="163">
        <f>IF(E51="","",IF(AND(Pricing!$K$3,$B$19),SUMIF(F51:F$116,"&gt;=" &amp; 16,Pricing!G51:G$116),SUM(Pricing!$G51:$G$116)))</f>
        <v>556476.71274677524</v>
      </c>
      <c r="P51" s="427">
        <f>IF(OR($E51="",$E51=0),"",IF(OR(NOT($B$19),$F51&gt;=16,$E51=$B$10),0,((1+2.25%)*$P52*Pricing!$H52+(1+Pricing!$K$3)^0.5*Pricing!$G51)/Pricing!$H51))</f>
        <v>0</v>
      </c>
      <c r="Q51" s="163" t="str">
        <f>IF(OR($E51&gt;=$B$9,$E51=0,AND(NOT($B$19),$F51&lt;16)),"",MAX(Pricing!$I50,Pricing!$U51))</f>
        <v/>
      </c>
      <c r="R51" s="163" t="str">
        <f>IF($Q51="","",IF($L51=0,E51,COUNTIF($O52:$O$116,"&gt;=" &amp; $O51-$L51*(1-$P51)/$Q51*Pricing!$H51)+$E51))</f>
        <v/>
      </c>
      <c r="S51" s="163" t="str">
        <f>IF($Q51="","",IF($L51=0,0,IF(R51&lt;$B$10,ROUND((L51*(1-P51)-(O51-INDEX(O51:O$116,R51-E51+1))/Pricing!H51*Q51)/(INDEX(Pricing!G51:G$116,R51-E51+1)/Pricing!H51*Q51)*365,0),0)))</f>
        <v/>
      </c>
      <c r="T51" s="220" t="str">
        <f>IF(OR($Q51="",NOT($B$17)),"",IF($R51&lt;$B$10,0,ROUND(MIN(1,($L51-$O51/Pricing!$H51*$Q51)/(Pricing!$R51-Pricing!$O51)),4)))</f>
        <v/>
      </c>
      <c r="U51" s="163" t="str">
        <f>IF($Q51="","",IF($L51=0,0,IF(OR(R51&lt;$B$10,AND($B$17,$T51&lt;1)),0,$L51*(1-$P51)-$O51/Pricing!$H51*$Q51-IF($B$17,Pricing!$R51-Pricing!$O51,0))*IF($B$18=1,1,Pricing!$H51/IF($B$18=2,INDEX(Pricing!$H$5:$H$116,$B$9+1),INDEX(Pricing!$H$5:$H$116,$B$10+1)))))</f>
        <v/>
      </c>
      <c r="V51" s="425" t="str">
        <f ca="1">IF($E51="","",(1-$B$24*($B$10-$E51))*MIN($B$22+(1-$B$22)*$E51/MIN($B$23,$B$9),1)*(Pricing!$U51-$I51))</f>
        <v/>
      </c>
      <c r="W51" s="35">
        <f>IF($E51="","",IF(F51&gt;16,0,MAX(INDEX($L$6:$L$116,$W$4)*(1+2.25%)^0.5-INDEX($N$6:$N$116,$W$4)/$B$11*Pricing!M51,0)))</f>
        <v>0</v>
      </c>
      <c r="X51" s="428">
        <f>SUMPRODUCT(Reserve!G51:G$116,W51:W$116)/Reserve!H51</f>
        <v>0</v>
      </c>
    </row>
    <row r="52" spans="4:24" x14ac:dyDescent="0.3">
      <c r="D52" s="215">
        <v>47</v>
      </c>
      <c r="E52" s="217">
        <f t="shared" si="4"/>
        <v>47</v>
      </c>
      <c r="F52" s="228">
        <f t="shared" si="5"/>
        <v>82</v>
      </c>
      <c r="G52" s="162" t="str">
        <f ca="1">IF($E52="","",ROUND((1-$B$24*($B$10-$E52))*MIN($B$22+(1-$B$22)*$E52/MIN($B$23,$B$9),1)*(Pricing!$U52-$I52),0))</f>
        <v/>
      </c>
      <c r="H52" s="163">
        <f t="shared" si="2"/>
        <v>0</v>
      </c>
      <c r="I52" s="163">
        <f>IF($E52="","",Pricing!$N52+Pricing!$O52)</f>
        <v>0</v>
      </c>
      <c r="J52" s="220" t="str">
        <f ca="1">IF(OR($E52=0,$E52=""),"",(NPV($B$13,$I$5:$I52)+$G52*(1+$B$13)^-($E52+1))/NPV($B$13,$H$5:$H51))</f>
        <v/>
      </c>
      <c r="K52" s="220" t="str">
        <f ca="1">IF($E52="","",IFERROR(((G52+I52)/(NPV(K52,H$5:H51)*(1+K52)-NPV(K52,I$5:I51)*(1+K52)))^(1/E52)-1,0))</f>
        <v/>
      </c>
      <c r="L52" s="163" t="str">
        <f>IF(OR($E52&gt;=$B$9,$E52=0),"",MAX(Pricing!$U52-$I52-0.01*$B$11,$V52))</f>
        <v/>
      </c>
      <c r="M52" s="163" t="str">
        <f ca="1">IF($E52="","",ROUND(Pricing!Q52+Pricing!R52-SUMPRODUCT(Pricing!G52:G$116,Pricing!L52:L$116)/Pricing!H52-$I52,0))</f>
        <v/>
      </c>
      <c r="N52" s="163" t="str">
        <f t="shared" si="3"/>
        <v/>
      </c>
      <c r="O52" s="163">
        <f>IF(E52="","",IF(AND(Pricing!$K$3,$B$19),SUMIF(F52:F$116,"&gt;=" &amp; 16,Pricing!G52:G$116),SUM(Pricing!$G52:$G$116)))</f>
        <v>503174.93770965614</v>
      </c>
      <c r="P52" s="427">
        <f>IF(OR($E52="",$E52=0),"",IF(OR(NOT($B$19),$F52&gt;=16,$E52=$B$10),0,((1+2.25%)*$P53*Pricing!$H53+(1+Pricing!$K$3)^0.5*Pricing!$G52)/Pricing!$H52))</f>
        <v>0</v>
      </c>
      <c r="Q52" s="163" t="str">
        <f>IF(OR($E52&gt;=$B$9,$E52=0,AND(NOT($B$19),$F52&lt;16)),"",MAX(Pricing!$I51,Pricing!$U52))</f>
        <v/>
      </c>
      <c r="R52" s="163" t="str">
        <f>IF($Q52="","",IF($L52=0,E52,COUNTIF($O53:$O$116,"&gt;=" &amp; $O52-$L52*(1-$P52)/$Q52*Pricing!$H52)+$E52))</f>
        <v/>
      </c>
      <c r="S52" s="163" t="str">
        <f>IF($Q52="","",IF($L52=0,0,IF(R52&lt;$B$10,ROUND((L52*(1-P52)-(O52-INDEX(O52:O$116,R52-E52+1))/Pricing!H52*Q52)/(INDEX(Pricing!G52:G$116,R52-E52+1)/Pricing!H52*Q52)*365,0),0)))</f>
        <v/>
      </c>
      <c r="T52" s="220" t="str">
        <f>IF(OR($Q52="",NOT($B$17)),"",IF($R52&lt;$B$10,0,ROUND(MIN(1,($L52-$O52/Pricing!$H52*$Q52)/(Pricing!$R52-Pricing!$O52)),4)))</f>
        <v/>
      </c>
      <c r="U52" s="163" t="str">
        <f>IF($Q52="","",IF($L52=0,0,IF(OR(R52&lt;$B$10,AND($B$17,$T52&lt;1)),0,$L52*(1-$P52)-$O52/Pricing!$H52*$Q52-IF($B$17,Pricing!$R52-Pricing!$O52,0))*IF($B$18=1,1,Pricing!$H52/IF($B$18=2,INDEX(Pricing!$H$5:$H$116,$B$9+1),INDEX(Pricing!$H$5:$H$116,$B$10+1)))))</f>
        <v/>
      </c>
      <c r="V52" s="425" t="str">
        <f ca="1">IF($E52="","",(1-$B$24*($B$10-$E52))*MIN($B$22+(1-$B$22)*$E52/MIN($B$23,$B$9),1)*(Pricing!$U52-$I52))</f>
        <v/>
      </c>
      <c r="W52" s="35">
        <f>IF($E52="","",IF(F52&gt;16,0,MAX(INDEX($L$6:$L$116,$W$4)*(1+2.25%)^0.5-INDEX($N$6:$N$116,$W$4)/$B$11*Pricing!M52,0)))</f>
        <v>0</v>
      </c>
      <c r="X52" s="428">
        <f>SUMPRODUCT(Reserve!G52:G$116,W52:W$116)/Reserve!H52</f>
        <v>0</v>
      </c>
    </row>
    <row r="53" spans="4:24" x14ac:dyDescent="0.3">
      <c r="D53" s="215">
        <v>48</v>
      </c>
      <c r="E53" s="217">
        <f t="shared" si="4"/>
        <v>48</v>
      </c>
      <c r="F53" s="228">
        <f t="shared" si="5"/>
        <v>83</v>
      </c>
      <c r="G53" s="162" t="str">
        <f ca="1">IF($E53="","",ROUND((1-$B$24*($B$10-$E53))*MIN($B$22+(1-$B$22)*$E53/MIN($B$23,$B$9),1)*(Pricing!$U53-$I53),0))</f>
        <v/>
      </c>
      <c r="H53" s="163">
        <f t="shared" si="2"/>
        <v>0</v>
      </c>
      <c r="I53" s="163">
        <f>IF($E53="","",Pricing!$N53+Pricing!$O53)</f>
        <v>0</v>
      </c>
      <c r="J53" s="220" t="str">
        <f ca="1">IF(OR($E53=0,$E53=""),"",(NPV($B$13,$I$5:$I53)+$G53*(1+$B$13)^-($E53+1))/NPV($B$13,$H$5:$H52))</f>
        <v/>
      </c>
      <c r="K53" s="220" t="str">
        <f ca="1">IF($E53="","",IFERROR(((G53+I53)/(NPV(K53,H$5:H52)*(1+K53)-NPV(K53,I$5:I52)*(1+K53)))^(1/E53)-1,0))</f>
        <v/>
      </c>
      <c r="L53" s="163" t="str">
        <f>IF(OR($E53&gt;=$B$9,$E53=0),"",MAX(Pricing!$U53-$I53-0.01*$B$11,$V53))</f>
        <v/>
      </c>
      <c r="M53" s="163" t="str">
        <f ca="1">IF($E53="","",ROUND(Pricing!Q53+Pricing!R53-SUMPRODUCT(Pricing!G53:G$116,Pricing!L53:L$116)/Pricing!H53-$I53,0))</f>
        <v/>
      </c>
      <c r="N53" s="163" t="str">
        <f t="shared" si="3"/>
        <v/>
      </c>
      <c r="O53" s="163">
        <f>IF(E53="","",IF(AND(Pricing!$K$3,$B$19),SUMIF(F53:F$116,"&gt;=" &amp; 16,Pricing!G53:G$116),SUM(Pricing!$G53:$G$116)))</f>
        <v>450999.80569698632</v>
      </c>
      <c r="P53" s="427">
        <f>IF(OR($E53="",$E53=0),"",IF(OR(NOT($B$19),$F53&gt;=16,$E53=$B$10),0,((1+2.25%)*$P54*Pricing!$H54+(1+Pricing!$K$3)^0.5*Pricing!$G53)/Pricing!$H53))</f>
        <v>0</v>
      </c>
      <c r="Q53" s="163" t="str">
        <f>IF(OR($E53&gt;=$B$9,$E53=0,AND(NOT($B$19),$F53&lt;16)),"",MAX(Pricing!$I52,Pricing!$U53))</f>
        <v/>
      </c>
      <c r="R53" s="163" t="str">
        <f>IF($Q53="","",IF($L53=0,E53,COUNTIF($O54:$O$116,"&gt;=" &amp; $O53-$L53*(1-$P53)/$Q53*Pricing!$H53)+$E53))</f>
        <v/>
      </c>
      <c r="S53" s="163" t="str">
        <f>IF($Q53="","",IF($L53=0,0,IF(R53&lt;$B$10,ROUND((L53*(1-P53)-(O53-INDEX(O53:O$116,R53-E53+1))/Pricing!H53*Q53)/(INDEX(Pricing!G53:G$116,R53-E53+1)/Pricing!H53*Q53)*365,0),0)))</f>
        <v/>
      </c>
      <c r="T53" s="220" t="str">
        <f>IF(OR($Q53="",NOT($B$17)),"",IF($R53&lt;$B$10,0,ROUND(MIN(1,($L53-$O53/Pricing!$H53*$Q53)/(Pricing!$R53-Pricing!$O53)),4)))</f>
        <v/>
      </c>
      <c r="U53" s="163" t="str">
        <f>IF($Q53="","",IF($L53=0,0,IF(OR(R53&lt;$B$10,AND($B$17,$T53&lt;1)),0,$L53*(1-$P53)-$O53/Pricing!$H53*$Q53-IF($B$17,Pricing!$R53-Pricing!$O53,0))*IF($B$18=1,1,Pricing!$H53/IF($B$18=2,INDEX(Pricing!$H$5:$H$116,$B$9+1),INDEX(Pricing!$H$5:$H$116,$B$10+1)))))</f>
        <v/>
      </c>
      <c r="V53" s="425" t="str">
        <f ca="1">IF($E53="","",(1-$B$24*($B$10-$E53))*MIN($B$22+(1-$B$22)*$E53/MIN($B$23,$B$9),1)*(Pricing!$U53-$I53))</f>
        <v/>
      </c>
      <c r="W53" s="35">
        <f>IF($E53="","",IF(F53&gt;16,0,MAX(INDEX($L$6:$L$116,$W$4)*(1+2.25%)^0.5-INDEX($N$6:$N$116,$W$4)/$B$11*Pricing!M53,0)))</f>
        <v>0</v>
      </c>
      <c r="X53" s="428">
        <f>SUMPRODUCT(Reserve!G53:G$116,W53:W$116)/Reserve!H53</f>
        <v>0</v>
      </c>
    </row>
    <row r="54" spans="4:24" x14ac:dyDescent="0.3">
      <c r="D54" s="215">
        <v>49</v>
      </c>
      <c r="E54" s="217">
        <f t="shared" si="4"/>
        <v>49</v>
      </c>
      <c r="F54" s="228">
        <f t="shared" si="5"/>
        <v>84</v>
      </c>
      <c r="G54" s="162" t="str">
        <f ca="1">IF($E54="","",ROUND((1-$B$24*($B$10-$E54))*MIN($B$22+(1-$B$22)*$E54/MIN($B$23,$B$9),1)*(Pricing!$U54-$I54),0))</f>
        <v/>
      </c>
      <c r="H54" s="163">
        <f t="shared" si="2"/>
        <v>0</v>
      </c>
      <c r="I54" s="163">
        <f>IF($E54="","",Pricing!$N54+Pricing!$O54)</f>
        <v>0</v>
      </c>
      <c r="J54" s="220" t="str">
        <f ca="1">IF(OR($E54=0,$E54=""),"",(NPV($B$13,$I$5:$I54)+$G54*(1+$B$13)^-($E54+1))/NPV($B$13,$H$5:$H53))</f>
        <v/>
      </c>
      <c r="K54" s="220" t="str">
        <f ca="1">IF($E54="","",IFERROR(((G54+I54)/(NPV(K54,H$5:H53)*(1+K54)-NPV(K54,I$5:I53)*(1+K54)))^(1/E54)-1,0))</f>
        <v/>
      </c>
      <c r="L54" s="163" t="str">
        <f>IF(OR($E54&gt;=$B$9,$E54=0),"",MAX(Pricing!$U54-$I54-0.01*$B$11,$V54))</f>
        <v/>
      </c>
      <c r="M54" s="163" t="str">
        <f ca="1">IF($E54="","",ROUND(Pricing!Q54+Pricing!R54-SUMPRODUCT(Pricing!G54:G$116,Pricing!L54:L$116)/Pricing!H54-$I54,0))</f>
        <v/>
      </c>
      <c r="N54" s="163" t="str">
        <f t="shared" si="3"/>
        <v/>
      </c>
      <c r="O54" s="163">
        <f>IF(E54="","",IF(AND(Pricing!$K$3,$B$19),SUMIF(F54:F$116,"&gt;=" &amp; 16,Pricing!G54:G$116),SUM(Pricing!$G54:$G$116)))</f>
        <v>400376.34299920412</v>
      </c>
      <c r="P54" s="427">
        <f>IF(OR($E54="",$E54=0),"",IF(OR(NOT($B$19),$F54&gt;=16,$E54=$B$10),0,((1+2.25%)*$P55*Pricing!$H55+(1+Pricing!$K$3)^0.5*Pricing!$G54)/Pricing!$H54))</f>
        <v>0</v>
      </c>
      <c r="Q54" s="163" t="str">
        <f>IF(OR($E54&gt;=$B$9,$E54=0,AND(NOT($B$19),$F54&lt;16)),"",MAX(Pricing!$I53,Pricing!$U54))</f>
        <v/>
      </c>
      <c r="R54" s="163" t="str">
        <f>IF($Q54="","",IF($L54=0,E54,COUNTIF($O55:$O$116,"&gt;=" &amp; $O54-$L54*(1-$P54)/$Q54*Pricing!$H54)+$E54))</f>
        <v/>
      </c>
      <c r="S54" s="163" t="str">
        <f>IF($Q54="","",IF($L54=0,0,IF(R54&lt;$B$10,ROUND((L54*(1-P54)-(O54-INDEX(O54:O$116,R54-E54+1))/Pricing!H54*Q54)/(INDEX(Pricing!G54:G$116,R54-E54+1)/Pricing!H54*Q54)*365,0),0)))</f>
        <v/>
      </c>
      <c r="T54" s="220" t="str">
        <f>IF(OR($Q54="",NOT($B$17)),"",IF($R54&lt;$B$10,0,ROUND(MIN(1,($L54-$O54/Pricing!$H54*$Q54)/(Pricing!$R54-Pricing!$O54)),4)))</f>
        <v/>
      </c>
      <c r="U54" s="163" t="str">
        <f>IF($Q54="","",IF($L54=0,0,IF(OR(R54&lt;$B$10,AND($B$17,$T54&lt;1)),0,$L54*(1-$P54)-$O54/Pricing!$H54*$Q54-IF($B$17,Pricing!$R54-Pricing!$O54,0))*IF($B$18=1,1,Pricing!$H54/IF($B$18=2,INDEX(Pricing!$H$5:$H$116,$B$9+1),INDEX(Pricing!$H$5:$H$116,$B$10+1)))))</f>
        <v/>
      </c>
      <c r="V54" s="425" t="str">
        <f ca="1">IF($E54="","",(1-$B$24*($B$10-$E54))*MIN($B$22+(1-$B$22)*$E54/MIN($B$23,$B$9),1)*(Pricing!$U54-$I54))</f>
        <v/>
      </c>
      <c r="W54" s="35">
        <f>IF($E54="","",IF(F54&gt;16,0,MAX(INDEX($L$6:$L$116,$W$4)*(1+2.25%)^0.5-INDEX($N$6:$N$116,$W$4)/$B$11*Pricing!M54,0)))</f>
        <v>0</v>
      </c>
      <c r="X54" s="428">
        <f>SUMPRODUCT(Reserve!G54:G$116,W54:W$116)/Reserve!H54</f>
        <v>0</v>
      </c>
    </row>
    <row r="55" spans="4:24" x14ac:dyDescent="0.3">
      <c r="D55" s="215">
        <v>50</v>
      </c>
      <c r="E55" s="233">
        <f t="shared" si="4"/>
        <v>50</v>
      </c>
      <c r="F55" s="234">
        <f t="shared" si="5"/>
        <v>85</v>
      </c>
      <c r="G55" s="165" t="str">
        <f ca="1">IF($E55="","",ROUND((1-$B$24*($B$10-$E55))*MIN($B$22+(1-$B$22)*$E55/MIN($B$23,$B$9),1)*(Pricing!$U55-$I55),0))</f>
        <v/>
      </c>
      <c r="H55" s="166">
        <f t="shared" si="2"/>
        <v>0</v>
      </c>
      <c r="I55" s="166">
        <f>IF($E55="","",Pricing!$N55+Pricing!$O55)</f>
        <v>0</v>
      </c>
      <c r="J55" s="235" t="str">
        <f ca="1">IF(OR($E55=0,$E55=""),"",(NPV($B$13,$I$5:$I55)+$G55*(1+$B$13)^-($E55+1))/NPV($B$13,$H$5:$H54))</f>
        <v/>
      </c>
      <c r="K55" s="235" t="str">
        <f ca="1">IF($E55="","",IFERROR(((G55+I55)/(NPV(K55,H$5:H54)*(1+K55)-NPV(K55,I$5:I54)*(1+K55)))^(1/E55)-1,0))</f>
        <v/>
      </c>
      <c r="L55" s="166" t="str">
        <f>IF(OR($E55&gt;=$B$9,$E55=0),"",MAX(Pricing!$U55-$I55-0.01*$B$11,$V55))</f>
        <v/>
      </c>
      <c r="M55" s="166" t="str">
        <f ca="1">IF($E55="","",ROUND(Pricing!Q55+Pricing!R55-SUMPRODUCT(Pricing!G55:G$116,Pricing!L55:L$116)/Pricing!H55-$I55,0))</f>
        <v/>
      </c>
      <c r="N55" s="166" t="str">
        <f t="shared" si="3"/>
        <v/>
      </c>
      <c r="O55" s="166">
        <f>IF(E55="","",IF(AND(Pricing!$K$3,$B$19),SUMIF(F55:F$116,"&gt;=" &amp; 16,Pricing!G55:G$116),SUM(Pricing!$G55:$G$116)))</f>
        <v>351731.41958545824</v>
      </c>
      <c r="P55" s="429">
        <f>IF(OR($E55="",$E55=0),"",IF(OR(NOT($B$19),$F55&gt;=16,$E55=$B$10),0,((1+2.25%)*$P56*Pricing!$H56+(1+Pricing!$K$3)^0.5*Pricing!$G55)/Pricing!$H55))</f>
        <v>0</v>
      </c>
      <c r="Q55" s="166" t="str">
        <f>IF(OR($E55&gt;=$B$9,$E55=0,AND(NOT($B$19),$F55&lt;16)),"",MAX(Pricing!$I54,Pricing!$U55))</f>
        <v/>
      </c>
      <c r="R55" s="166" t="str">
        <f>IF($Q55="","",IF($L55=0,E55,COUNTIF($O56:$O$116,"&gt;=" &amp; $O55-$L55*(1-$P55)/$Q55*Pricing!$H55)+$E55))</f>
        <v/>
      </c>
      <c r="S55" s="166" t="str">
        <f>IF($Q55="","",IF($L55=0,0,IF(R55&lt;$B$10,ROUND((L55*(1-P55)-(O55-INDEX(O55:O$116,R55-E55+1))/Pricing!H55*Q55)/(INDEX(Pricing!G55:G$116,R55-E55+1)/Pricing!H55*Q55)*365,0),0)))</f>
        <v/>
      </c>
      <c r="T55" s="235" t="str">
        <f>IF(OR($Q55="",NOT($B$17)),"",IF($R55&lt;$B$10,0,ROUND(MIN(1,($L55-$O55/Pricing!$H55*$Q55)/(Pricing!$R55-Pricing!$O55)),4)))</f>
        <v/>
      </c>
      <c r="U55" s="166" t="str">
        <f>IF($Q55="","",IF($L55=0,0,IF(OR(R55&lt;$B$10,AND($B$17,$T55&lt;1)),0,$L55*(1-$P55)-$O55/Pricing!$H55*$Q55-IF($B$17,Pricing!$R55-Pricing!$O55,0))*IF($B$18=1,1,Pricing!$H55/IF($B$18=2,INDEX(Pricing!$H$5:$H$116,$B$9+1),INDEX(Pricing!$H$5:$H$116,$B$10+1)))))</f>
        <v/>
      </c>
      <c r="V55" s="425" t="str">
        <f ca="1">IF($E55="","",(1-$B$24*($B$10-$E55))*MIN($B$22+(1-$B$22)*$E55/MIN($B$23,$B$9),1)*(Pricing!$U55-$I55))</f>
        <v/>
      </c>
      <c r="W55" s="35">
        <f>IF($E55="","",IF(F55&gt;16,0,MAX(INDEX($L$6:$L$116,$W$4)*(1+2.25%)^0.5-INDEX($N$6:$N$116,$W$4)/$B$11*Pricing!M55,0)))</f>
        <v>0</v>
      </c>
      <c r="X55" s="428">
        <f>SUMPRODUCT(Reserve!G55:G$116,W55:W$116)/Reserve!H55</f>
        <v>0</v>
      </c>
    </row>
    <row r="56" spans="4:24" x14ac:dyDescent="0.3">
      <c r="D56" s="215">
        <v>51</v>
      </c>
      <c r="E56" s="217">
        <f t="shared" si="4"/>
        <v>51</v>
      </c>
      <c r="F56" s="228">
        <f t="shared" si="5"/>
        <v>86</v>
      </c>
      <c r="G56" s="162" t="str">
        <f ca="1">IF($E56="","",ROUND((1-$B$24*($B$10-$E56))*MIN($B$22+(1-$B$22)*$E56/MIN($B$23,$B$9),1)*(Pricing!$U56-$I56),0))</f>
        <v/>
      </c>
      <c r="H56" s="163">
        <f t="shared" si="2"/>
        <v>0</v>
      </c>
      <c r="I56" s="163">
        <f>IF($E56="","",Pricing!$N56+Pricing!$O56)</f>
        <v>0</v>
      </c>
      <c r="J56" s="220" t="str">
        <f ca="1">IF(OR($E56=0,$E56=""),"",(NPV($B$13,$I$5:$I56)+$G56*(1+$B$13)^-($E56+1))/NPV($B$13,$H$5:$H55))</f>
        <v/>
      </c>
      <c r="K56" s="220" t="str">
        <f ca="1">IF($E56="","",IFERROR(((G56+I56)/(NPV(K56,H$5:H55)*(1+K56)-NPV(K56,I$5:I55)*(1+K56)))^(1/E56)-1,0))</f>
        <v/>
      </c>
      <c r="L56" s="163" t="str">
        <f>IF(OR($E56&gt;=$B$9,$E56=0),"",MAX(Pricing!$U56-$I56-0.01*$B$11,$V56))</f>
        <v/>
      </c>
      <c r="M56" s="163" t="str">
        <f ca="1">IF($E56="","",ROUND(Pricing!Q56+Pricing!R56-SUMPRODUCT(Pricing!G56:G$116,Pricing!L56:L$116)/Pricing!H56-$I56,0))</f>
        <v/>
      </c>
      <c r="N56" s="163" t="str">
        <f t="shared" si="3"/>
        <v/>
      </c>
      <c r="O56" s="163">
        <f>IF(E56="","",IF(AND(Pricing!$K$3,$B$19),SUMIF(F56:F$116,"&gt;=" &amp; 16,Pricing!G56:G$116),SUM(Pricing!$G56:$G$116)))</f>
        <v>305479.63396412542</v>
      </c>
      <c r="P56" s="427">
        <f>IF(OR($E56="",$E56=0),"",IF(OR(NOT($B$19),$F56&gt;=16,$E56=$B$10),0,((1+2.25%)*$P57*Pricing!$H57+(1+Pricing!$K$3)^0.5*Pricing!$G56)/Pricing!$H56))</f>
        <v>0</v>
      </c>
      <c r="Q56" s="163" t="str">
        <f>IF(OR($E56&gt;=$B$9,$E56=0,AND(NOT($B$19),$F56&lt;16)),"",MAX(Pricing!$I55,Pricing!$U56))</f>
        <v/>
      </c>
      <c r="R56" s="163" t="str">
        <f>IF($Q56="","",IF($L56=0,E56,COUNTIF($O57:$O$116,"&gt;=" &amp; $O56-$L56*(1-$P56)/$Q56*Pricing!$H56)+$E56))</f>
        <v/>
      </c>
      <c r="S56" s="163" t="str">
        <f>IF($Q56="","",IF($L56=0,0,IF(R56&lt;$B$10,ROUND((L56*(1-P56)-(O56-INDEX(O56:O$116,R56-E56+1))/Pricing!H56*Q56)/(INDEX(Pricing!G56:G$116,R56-E56+1)/Pricing!H56*Q56)*365,0),0)))</f>
        <v/>
      </c>
      <c r="T56" s="220" t="str">
        <f>IF(OR($Q56="",NOT($B$17)),"",IF($R56&lt;$B$10,0,ROUND(MIN(1,($L56-$O56/Pricing!$H56*$Q56)/(Pricing!$R56-Pricing!$O56)),4)))</f>
        <v/>
      </c>
      <c r="U56" s="163" t="str">
        <f>IF($Q56="","",IF($L56=0,0,IF(OR(R56&lt;$B$10,AND($B$17,$T56&lt;1)),0,$L56*(1-$P56)-$O56/Pricing!$H56*$Q56-IF($B$17,Pricing!$R56-Pricing!$O56,0))*IF($B$18=1,1,Pricing!$H56/IF($B$18=2,INDEX(Pricing!$H$5:$H$116,$B$9+1),INDEX(Pricing!$H$5:$H$116,$B$10+1)))))</f>
        <v/>
      </c>
      <c r="V56" s="425" t="str">
        <f ca="1">IF($E56="","",(1-$B$24*($B$10-$E56))*MIN($B$22+(1-$B$22)*$E56/MIN($B$23,$B$9),1)*(Pricing!$U56-$I56))</f>
        <v/>
      </c>
      <c r="W56" s="35">
        <f>IF($E56="","",IF(F56&gt;16,0,MAX(INDEX($L$6:$L$116,$W$4)*(1+2.25%)^0.5-INDEX($N$6:$N$116,$W$4)/$B$11*Pricing!M56,0)))</f>
        <v>0</v>
      </c>
      <c r="X56" s="428">
        <f>SUMPRODUCT(Reserve!G56:G$116,W56:W$116)/Reserve!H56</f>
        <v>0</v>
      </c>
    </row>
    <row r="57" spans="4:24" x14ac:dyDescent="0.3">
      <c r="D57" s="215">
        <v>52</v>
      </c>
      <c r="E57" s="217">
        <f t="shared" si="4"/>
        <v>52</v>
      </c>
      <c r="F57" s="228">
        <f t="shared" si="5"/>
        <v>87</v>
      </c>
      <c r="G57" s="162" t="str">
        <f ca="1">IF($E57="","",ROUND((1-$B$24*($B$10-$E57))*MIN($B$22+(1-$B$22)*$E57/MIN($B$23,$B$9),1)*(Pricing!$U57-$I57),0))</f>
        <v/>
      </c>
      <c r="H57" s="163">
        <f t="shared" si="2"/>
        <v>0</v>
      </c>
      <c r="I57" s="163">
        <f>IF($E57="","",Pricing!$N57+Pricing!$O57)</f>
        <v>0</v>
      </c>
      <c r="J57" s="220" t="str">
        <f ca="1">IF(OR($E57=0,$E57=""),"",(NPV($B$13,$I$5:$I57)+$G57*(1+$B$13)^-($E57+1))/NPV($B$13,$H$5:$H56))</f>
        <v/>
      </c>
      <c r="K57" s="220" t="str">
        <f ca="1">IF($E57="","",IFERROR(((G57+I57)/(NPV(K57,H$5:H56)*(1+K57)-NPV(K57,I$5:I56)*(1+K57)))^(1/E57)-1,0))</f>
        <v/>
      </c>
      <c r="L57" s="163" t="str">
        <f>IF(OR($E57&gt;=$B$9,$E57=0),"",MAX(Pricing!$U57-$I57-0.01*$B$11,$V57))</f>
        <v/>
      </c>
      <c r="M57" s="163" t="str">
        <f ca="1">IF($E57="","",ROUND(Pricing!Q57+Pricing!R57-SUMPRODUCT(Pricing!G57:G$116,Pricing!L57:L$116)/Pricing!H57-$I57,0))</f>
        <v/>
      </c>
      <c r="N57" s="163" t="str">
        <f t="shared" si="3"/>
        <v/>
      </c>
      <c r="O57" s="163">
        <f>IF(E57="","",IF(AND(Pricing!$K$3,$B$19),SUMIF(F57:F$116,"&gt;=" &amp; 16,Pricing!G57:G$116),SUM(Pricing!$G57:$G$116)))</f>
        <v>262011.1335619952</v>
      </c>
      <c r="P57" s="427">
        <f>IF(OR($E57="",$E57=0),"",IF(OR(NOT($B$19),$F57&gt;=16,$E57=$B$10),0,((1+2.25%)*$P58*Pricing!$H58+(1+Pricing!$K$3)^0.5*Pricing!$G57)/Pricing!$H57))</f>
        <v>0</v>
      </c>
      <c r="Q57" s="163" t="str">
        <f>IF(OR($E57&gt;=$B$9,$E57=0,AND(NOT($B$19),$F57&lt;16)),"",MAX(Pricing!$I56,Pricing!$U57))</f>
        <v/>
      </c>
      <c r="R57" s="163" t="str">
        <f>IF($Q57="","",IF($L57=0,E57,COUNTIF($O58:$O$116,"&gt;=" &amp; $O57-$L57*(1-$P57)/$Q57*Pricing!$H57)+$E57))</f>
        <v/>
      </c>
      <c r="S57" s="163" t="str">
        <f>IF($Q57="","",IF($L57=0,0,IF(R57&lt;$B$10,ROUND((L57*(1-P57)-(O57-INDEX(O57:O$116,R57-E57+1))/Pricing!H57*Q57)/(INDEX(Pricing!G57:G$116,R57-E57+1)/Pricing!H57*Q57)*365,0),0)))</f>
        <v/>
      </c>
      <c r="T57" s="220" t="str">
        <f>IF(OR($Q57="",NOT($B$17)),"",IF($R57&lt;$B$10,0,ROUND(MIN(1,($L57-$O57/Pricing!$H57*$Q57)/(Pricing!$R57-Pricing!$O57)),4)))</f>
        <v/>
      </c>
      <c r="U57" s="163" t="str">
        <f>IF($Q57="","",IF($L57=0,0,IF(OR(R57&lt;$B$10,AND($B$17,$T57&lt;1)),0,$L57*(1-$P57)-$O57/Pricing!$H57*$Q57-IF($B$17,Pricing!$R57-Pricing!$O57,0))*IF($B$18=1,1,Pricing!$H57/IF($B$18=2,INDEX(Pricing!$H$5:$H$116,$B$9+1),INDEX(Pricing!$H$5:$H$116,$B$10+1)))))</f>
        <v/>
      </c>
      <c r="V57" s="425" t="str">
        <f ca="1">IF($E57="","",(1-$B$24*($B$10-$E57))*MIN($B$22+(1-$B$22)*$E57/MIN($B$23,$B$9),1)*(Pricing!$U57-$I57))</f>
        <v/>
      </c>
      <c r="W57" s="35">
        <f>IF($E57="","",IF(F57&gt;16,0,MAX(INDEX($L$6:$L$116,$W$4)*(1+2.25%)^0.5-INDEX($N$6:$N$116,$W$4)/$B$11*Pricing!M57,0)))</f>
        <v>0</v>
      </c>
      <c r="X57" s="428">
        <f>SUMPRODUCT(Reserve!G57:G$116,W57:W$116)/Reserve!H57</f>
        <v>0</v>
      </c>
    </row>
    <row r="58" spans="4:24" x14ac:dyDescent="0.3">
      <c r="D58" s="215">
        <v>53</v>
      </c>
      <c r="E58" s="217">
        <f t="shared" si="4"/>
        <v>53</v>
      </c>
      <c r="F58" s="228">
        <f t="shared" si="5"/>
        <v>88</v>
      </c>
      <c r="G58" s="162" t="str">
        <f ca="1">IF($E58="","",ROUND((1-$B$24*($B$10-$E58))*MIN($B$22+(1-$B$22)*$E58/MIN($B$23,$B$9),1)*(Pricing!$U58-$I58),0))</f>
        <v/>
      </c>
      <c r="H58" s="163">
        <f t="shared" si="2"/>
        <v>0</v>
      </c>
      <c r="I58" s="163">
        <f>IF($E58="","",Pricing!$N58+Pricing!$O58)</f>
        <v>0</v>
      </c>
      <c r="J58" s="220" t="str">
        <f ca="1">IF(OR($E58=0,$E58=""),"",(NPV($B$13,$I$5:$I58)+$G58*(1+$B$13)^-($E58+1))/NPV($B$13,$H$5:$H57))</f>
        <v/>
      </c>
      <c r="K58" s="220" t="str">
        <f ca="1">IF($E58="","",IFERROR(((G58+I58)/(NPV(K58,H$5:H57)*(1+K58)-NPV(K58,I$5:I57)*(1+K58)))^(1/E58)-1,0))</f>
        <v/>
      </c>
      <c r="L58" s="163" t="str">
        <f>IF(OR($E58&gt;=$B$9,$E58=0),"",MAX(Pricing!$U58-$I58-0.01*$B$11,$V58))</f>
        <v/>
      </c>
      <c r="M58" s="163" t="str">
        <f ca="1">IF($E58="","",ROUND(Pricing!Q58+Pricing!R58-SUMPRODUCT(Pricing!G58:G$116,Pricing!L58:L$116)/Pricing!H58-$I58,0))</f>
        <v/>
      </c>
      <c r="N58" s="163" t="str">
        <f t="shared" si="3"/>
        <v/>
      </c>
      <c r="O58" s="163">
        <f>IF(E58="","",IF(AND(Pricing!$K$3,$B$19),SUMIF(F58:F$116,"&gt;=" &amp; 16,Pricing!G58:G$116),SUM(Pricing!$G58:$G$116)))</f>
        <v>221675.93534635872</v>
      </c>
      <c r="P58" s="427">
        <f>IF(OR($E58="",$E58=0),"",IF(OR(NOT($B$19),$F58&gt;=16,$E58=$B$10),0,((1+2.25%)*$P59*Pricing!$H59+(1+Pricing!$K$3)^0.5*Pricing!$G58)/Pricing!$H58))</f>
        <v>0</v>
      </c>
      <c r="Q58" s="163" t="str">
        <f>IF(OR($E58&gt;=$B$9,$E58=0,AND(NOT($B$19),$F58&lt;16)),"",MAX(Pricing!$I57,Pricing!$U58))</f>
        <v/>
      </c>
      <c r="R58" s="163" t="str">
        <f>IF($Q58="","",IF($L58=0,E58,COUNTIF($O59:$O$116,"&gt;=" &amp; $O58-$L58*(1-$P58)/$Q58*Pricing!$H58)+$E58))</f>
        <v/>
      </c>
      <c r="S58" s="163" t="str">
        <f>IF($Q58="","",IF($L58=0,0,IF(R58&lt;$B$10,ROUND((L58*(1-P58)-(O58-INDEX(O58:O$116,R58-E58+1))/Pricing!H58*Q58)/(INDEX(Pricing!G58:G$116,R58-E58+1)/Pricing!H58*Q58)*365,0),0)))</f>
        <v/>
      </c>
      <c r="T58" s="220" t="str">
        <f>IF(OR($Q58="",NOT($B$17)),"",IF($R58&lt;$B$10,0,ROUND(MIN(1,($L58-$O58/Pricing!$H58*$Q58)/(Pricing!$R58-Pricing!$O58)),4)))</f>
        <v/>
      </c>
      <c r="U58" s="163" t="str">
        <f>IF($Q58="","",IF($L58=0,0,IF(OR(R58&lt;$B$10,AND($B$17,$T58&lt;1)),0,$L58*(1-$P58)-$O58/Pricing!$H58*$Q58-IF($B$17,Pricing!$R58-Pricing!$O58,0))*IF($B$18=1,1,Pricing!$H58/IF($B$18=2,INDEX(Pricing!$H$5:$H$116,$B$9+1),INDEX(Pricing!$H$5:$H$116,$B$10+1)))))</f>
        <v/>
      </c>
      <c r="V58" s="425" t="str">
        <f ca="1">IF($E58="","",(1-$B$24*($B$10-$E58))*MIN($B$22+(1-$B$22)*$E58/MIN($B$23,$B$9),1)*(Pricing!$U58-$I58))</f>
        <v/>
      </c>
      <c r="W58" s="35">
        <f>IF($E58="","",IF(F58&gt;16,0,MAX(INDEX($L$6:$L$116,$W$4)*(1+2.25%)^0.5-INDEX($N$6:$N$116,$W$4)/$B$11*Pricing!M58,0)))</f>
        <v>0</v>
      </c>
      <c r="X58" s="428">
        <f>SUMPRODUCT(Reserve!G58:G$116,W58:W$116)/Reserve!H58</f>
        <v>0</v>
      </c>
    </row>
    <row r="59" spans="4:24" x14ac:dyDescent="0.3">
      <c r="D59" s="215">
        <v>54</v>
      </c>
      <c r="E59" s="217">
        <f t="shared" si="4"/>
        <v>54</v>
      </c>
      <c r="F59" s="228">
        <f t="shared" si="5"/>
        <v>89</v>
      </c>
      <c r="G59" s="162" t="str">
        <f ca="1">IF($E59="","",ROUND((1-$B$24*($B$10-$E59))*MIN($B$22+(1-$B$22)*$E59/MIN($B$23,$B$9),1)*(Pricing!$U59-$I59),0))</f>
        <v/>
      </c>
      <c r="H59" s="163">
        <f t="shared" si="2"/>
        <v>0</v>
      </c>
      <c r="I59" s="163">
        <f>IF($E59="","",Pricing!$N59+Pricing!$O59)</f>
        <v>0</v>
      </c>
      <c r="J59" s="220" t="str">
        <f ca="1">IF(OR($E59=0,$E59=""),"",(NPV($B$13,$I$5:$I59)+$G59*(1+$B$13)^-($E59+1))/NPV($B$13,$H$5:$H58))</f>
        <v/>
      </c>
      <c r="K59" s="220" t="str">
        <f ca="1">IF($E59="","",IFERROR(((G59+I59)/(NPV(K59,H$5:H58)*(1+K59)-NPV(K59,I$5:I58)*(1+K59)))^(1/E59)-1,0))</f>
        <v/>
      </c>
      <c r="L59" s="163" t="str">
        <f>IF(OR($E59&gt;=$B$9,$E59=0),"",MAX(Pricing!$U59-$I59-0.01*$B$11,$V59))</f>
        <v/>
      </c>
      <c r="M59" s="163" t="str">
        <f ca="1">IF($E59="","",ROUND(Pricing!Q59+Pricing!R59-SUMPRODUCT(Pricing!G59:G$116,Pricing!L59:L$116)/Pricing!H59-$I59,0))</f>
        <v/>
      </c>
      <c r="N59" s="163" t="str">
        <f t="shared" si="3"/>
        <v/>
      </c>
      <c r="O59" s="163">
        <f>IF(E59="","",IF(AND(Pricing!$K$3,$B$19),SUMIF(F59:F$116,"&gt;=" &amp; 16,Pricing!G59:G$116),SUM(Pricing!$G59:$G$116)))</f>
        <v>184768.22929531962</v>
      </c>
      <c r="P59" s="427">
        <f>IF(OR($E59="",$E59=0),"",IF(OR(NOT($B$19),$F59&gt;=16,$E59=$B$10),0,((1+2.25%)*$P60*Pricing!$H60+(1+Pricing!$K$3)^0.5*Pricing!$G59)/Pricing!$H59))</f>
        <v>0</v>
      </c>
      <c r="Q59" s="163" t="str">
        <f>IF(OR($E59&gt;=$B$9,$E59=0,AND(NOT($B$19),$F59&lt;16)),"",MAX(Pricing!$I58,Pricing!$U59))</f>
        <v/>
      </c>
      <c r="R59" s="163" t="str">
        <f>IF($Q59="","",IF($L59=0,E59,COUNTIF($O60:$O$116,"&gt;=" &amp; $O59-$L59*(1-$P59)/$Q59*Pricing!$H59)+$E59))</f>
        <v/>
      </c>
      <c r="S59" s="163" t="str">
        <f>IF($Q59="","",IF($L59=0,0,IF(R59&lt;$B$10,ROUND((L59*(1-P59)-(O59-INDEX(O59:O$116,R59-E59+1))/Pricing!H59*Q59)/(INDEX(Pricing!G59:G$116,R59-E59+1)/Pricing!H59*Q59)*365,0),0)))</f>
        <v/>
      </c>
      <c r="T59" s="220" t="str">
        <f>IF(OR($Q59="",NOT($B$17)),"",IF($R59&lt;$B$10,0,ROUND(MIN(1,($L59-$O59/Pricing!$H59*$Q59)/(Pricing!$R59-Pricing!$O59)),4)))</f>
        <v/>
      </c>
      <c r="U59" s="163" t="str">
        <f>IF($Q59="","",IF($L59=0,0,IF(OR(R59&lt;$B$10,AND($B$17,$T59&lt;1)),0,$L59*(1-$P59)-$O59/Pricing!$H59*$Q59-IF($B$17,Pricing!$R59-Pricing!$O59,0))*IF($B$18=1,1,Pricing!$H59/IF($B$18=2,INDEX(Pricing!$H$5:$H$116,$B$9+1),INDEX(Pricing!$H$5:$H$116,$B$10+1)))))</f>
        <v/>
      </c>
      <c r="V59" s="425" t="str">
        <f ca="1">IF($E59="","",(1-$B$24*($B$10-$E59))*MIN($B$22+(1-$B$22)*$E59/MIN($B$23,$B$9),1)*(Pricing!$U59-$I59))</f>
        <v/>
      </c>
      <c r="W59" s="35">
        <f>IF($E59="","",IF(F59&gt;16,0,MAX(INDEX($L$6:$L$116,$W$4)*(1+2.25%)^0.5-INDEX($N$6:$N$116,$W$4)/$B$11*Pricing!M59,0)))</f>
        <v>0</v>
      </c>
      <c r="X59" s="428">
        <f>SUMPRODUCT(Reserve!G59:G$116,W59:W$116)/Reserve!H59</f>
        <v>0</v>
      </c>
    </row>
    <row r="60" spans="4:24" x14ac:dyDescent="0.3">
      <c r="D60" s="215">
        <v>55</v>
      </c>
      <c r="E60" s="233">
        <f t="shared" si="4"/>
        <v>55</v>
      </c>
      <c r="F60" s="234">
        <f t="shared" si="5"/>
        <v>90</v>
      </c>
      <c r="G60" s="165" t="str">
        <f ca="1">IF($E60="","",ROUND((1-$B$24*($B$10-$E60))*MIN($B$22+(1-$B$22)*$E60/MIN($B$23,$B$9),1)*(Pricing!$U60-$I60),0))</f>
        <v/>
      </c>
      <c r="H60" s="166">
        <f t="shared" si="2"/>
        <v>0</v>
      </c>
      <c r="I60" s="166">
        <f>IF($E60="","",Pricing!$N60+Pricing!$O60)</f>
        <v>0</v>
      </c>
      <c r="J60" s="235" t="str">
        <f ca="1">IF(OR($E60=0,$E60=""),"",(NPV($B$13,$I$5:$I60)+$G60*(1+$B$13)^-($E60+1))/NPV($B$13,$H$5:$H59))</f>
        <v/>
      </c>
      <c r="K60" s="235" t="str">
        <f ca="1">IF($E60="","",IFERROR(((G60+I60)/(NPV(K60,H$5:H59)*(1+K60)-NPV(K60,I$5:I59)*(1+K60)))^(1/E60)-1,0))</f>
        <v/>
      </c>
      <c r="L60" s="166" t="str">
        <f>IF(OR($E60&gt;=$B$9,$E60=0),"",MAX(Pricing!$U60-$I60-0.01*$B$11,$V60))</f>
        <v/>
      </c>
      <c r="M60" s="166" t="str">
        <f ca="1">IF($E60="","",ROUND(Pricing!Q60+Pricing!R60-SUMPRODUCT(Pricing!G60:G$116,Pricing!L60:L$116)/Pricing!H60-$I60,0))</f>
        <v/>
      </c>
      <c r="N60" s="166" t="str">
        <f t="shared" si="3"/>
        <v/>
      </c>
      <c r="O60" s="166">
        <f>IF(E60="","",IF(AND(Pricing!$K$3,$B$19),SUMIF(F60:F$116,"&gt;=" &amp; 16,Pricing!G60:G$116),SUM(Pricing!$G60:$G$116)))</f>
        <v>151510.64806054468</v>
      </c>
      <c r="P60" s="429">
        <f>IF(OR($E60="",$E60=0),"",IF(OR(NOT($B$19),$F60&gt;=16,$E60=$B$10),0,((1+2.25%)*$P61*Pricing!$H61+(1+Pricing!$K$3)^0.5*Pricing!$G60)/Pricing!$H60))</f>
        <v>0</v>
      </c>
      <c r="Q60" s="166" t="str">
        <f>IF(OR($E60&gt;=$B$9,$E60=0,AND(NOT($B$19),$F60&lt;16)),"",MAX(Pricing!$I59,Pricing!$U60))</f>
        <v/>
      </c>
      <c r="R60" s="166" t="str">
        <f>IF($Q60="","",IF($L60=0,E60,COUNTIF($O61:$O$116,"&gt;=" &amp; $O60-$L60*(1-$P60)/$Q60*Pricing!$H60)+$E60))</f>
        <v/>
      </c>
      <c r="S60" s="166" t="str">
        <f>IF($Q60="","",IF($L60=0,0,IF(R60&lt;$B$10,ROUND((L60*(1-P60)-(O60-INDEX(O60:O$116,R60-E60+1))/Pricing!H60*Q60)/(INDEX(Pricing!G60:G$116,R60-E60+1)/Pricing!H60*Q60)*365,0),0)))</f>
        <v/>
      </c>
      <c r="T60" s="235" t="str">
        <f>IF(OR($Q60="",NOT($B$17)),"",IF($R60&lt;$B$10,0,ROUND(MIN(1,($L60-$O60/Pricing!$H60*$Q60)/(Pricing!$R60-Pricing!$O60)),4)))</f>
        <v/>
      </c>
      <c r="U60" s="166" t="str">
        <f>IF($Q60="","",IF($L60=0,0,IF(OR(R60&lt;$B$10,AND($B$17,$T60&lt;1)),0,$L60*(1-$P60)-$O60/Pricing!$H60*$Q60-IF($B$17,Pricing!$R60-Pricing!$O60,0))*IF($B$18=1,1,Pricing!$H60/IF($B$18=2,INDEX(Pricing!$H$5:$H$116,$B$9+1),INDEX(Pricing!$H$5:$H$116,$B$10+1)))))</f>
        <v/>
      </c>
      <c r="V60" s="425" t="str">
        <f ca="1">IF($E60="","",(1-$B$24*($B$10-$E60))*MIN($B$22+(1-$B$22)*$E60/MIN($B$23,$B$9),1)*(Pricing!$U60-$I60))</f>
        <v/>
      </c>
      <c r="W60" s="35">
        <f>IF($E60="","",IF(F60&gt;16,0,MAX(INDEX($L$6:$L$116,$W$4)*(1+2.25%)^0.5-INDEX($N$6:$N$116,$W$4)/$B$11*Pricing!M60,0)))</f>
        <v>0</v>
      </c>
      <c r="X60" s="428">
        <f>SUMPRODUCT(Reserve!G60:G$116,W60:W$116)/Reserve!H60</f>
        <v>0</v>
      </c>
    </row>
    <row r="61" spans="4:24" x14ac:dyDescent="0.3">
      <c r="D61" s="215">
        <v>56</v>
      </c>
      <c r="E61" s="217">
        <f t="shared" si="4"/>
        <v>56</v>
      </c>
      <c r="F61" s="228">
        <f t="shared" si="5"/>
        <v>91</v>
      </c>
      <c r="G61" s="162" t="str">
        <f ca="1">IF($E61="","",ROUND((1-$B$24*($B$10-$E61))*MIN($B$22+(1-$B$22)*$E61/MIN($B$23,$B$9),1)*(Pricing!$U61-$I61),0))</f>
        <v/>
      </c>
      <c r="H61" s="163">
        <f t="shared" si="2"/>
        <v>0</v>
      </c>
      <c r="I61" s="163">
        <f>IF($E61="","",Pricing!$N61+Pricing!$O61)</f>
        <v>0</v>
      </c>
      <c r="J61" s="220" t="str">
        <f ca="1">IF(OR($E61=0,$E61=""),"",(NPV($B$13,$I$5:$I61)+$G61*(1+$B$13)^-($E61+1))/NPV($B$13,$H$5:$H60))</f>
        <v/>
      </c>
      <c r="K61" s="220" t="str">
        <f ca="1">IF($E61="","",IFERROR(((G61+I61)/(NPV(K61,H$5:H60)*(1+K61)-NPV(K61,I$5:I60)*(1+K61)))^(1/E61)-1,0))</f>
        <v/>
      </c>
      <c r="L61" s="163" t="str">
        <f>IF(OR($E61&gt;=$B$9,$E61=0),"",MAX(Pricing!$U61-$I61-0.01*$B$11,$V61))</f>
        <v/>
      </c>
      <c r="M61" s="163" t="str">
        <f ca="1">IF($E61="","",ROUND(Pricing!Q61+Pricing!R61-SUMPRODUCT(Pricing!G61:G$116,Pricing!L61:L$116)/Pricing!H61-$I61,0))</f>
        <v/>
      </c>
      <c r="N61" s="163" t="str">
        <f t="shared" si="3"/>
        <v/>
      </c>
      <c r="O61" s="163">
        <f>IF(E61="","",IF(AND(Pricing!$K$3,$B$19),SUMIF(F61:F$116,"&gt;=" &amp; 16,Pricing!G61:G$116),SUM(Pricing!$G61:$G$116)))</f>
        <v>122041.9658169024</v>
      </c>
      <c r="P61" s="427">
        <f>IF(OR($E61="",$E61=0),"",IF(OR(NOT($B$19),$F61&gt;=16,$E61=$B$10),0,((1+2.25%)*$P62*Pricing!$H62+(1+Pricing!$K$3)^0.5*Pricing!$G61)/Pricing!$H61))</f>
        <v>0</v>
      </c>
      <c r="Q61" s="163" t="str">
        <f>IF(OR($E61&gt;=$B$9,$E61=0,AND(NOT($B$19),$F61&lt;16)),"",MAX(Pricing!$I60,Pricing!$U61))</f>
        <v/>
      </c>
      <c r="R61" s="163" t="str">
        <f>IF($Q61="","",IF($L61=0,E61,COUNTIF($O62:$O$116,"&gt;=" &amp; $O61-$L61*(1-$P61)/$Q61*Pricing!$H61)+$E61))</f>
        <v/>
      </c>
      <c r="S61" s="163" t="str">
        <f>IF($Q61="","",IF($L61=0,0,IF(R61&lt;$B$10,ROUND((L61*(1-P61)-(O61-INDEX(O61:O$116,R61-E61+1))/Pricing!H61*Q61)/(INDEX(Pricing!G61:G$116,R61-E61+1)/Pricing!H61*Q61)*365,0),0)))</f>
        <v/>
      </c>
      <c r="T61" s="220" t="str">
        <f>IF(OR($Q61="",NOT($B$17)),"",IF($R61&lt;$B$10,0,ROUND(MIN(1,($L61-$O61/Pricing!$H61*$Q61)/(Pricing!$R61-Pricing!$O61)),4)))</f>
        <v/>
      </c>
      <c r="U61" s="163" t="str">
        <f>IF($Q61="","",IF($L61=0,0,IF(OR(R61&lt;$B$10,AND($B$17,$T61&lt;1)),0,$L61*(1-$P61)-$O61/Pricing!$H61*$Q61-IF($B$17,Pricing!$R61-Pricing!$O61,0))*IF($B$18=1,1,Pricing!$H61/IF($B$18=2,INDEX(Pricing!$H$5:$H$116,$B$9+1),INDEX(Pricing!$H$5:$H$116,$B$10+1)))))</f>
        <v/>
      </c>
      <c r="V61" s="425" t="str">
        <f ca="1">IF($E61="","",(1-$B$24*($B$10-$E61))*MIN($B$22+(1-$B$22)*$E61/MIN($B$23,$B$9),1)*(Pricing!$U61-$I61))</f>
        <v/>
      </c>
      <c r="W61" s="35">
        <f>IF($E61="","",IF(F61&gt;16,0,MAX(INDEX($L$6:$L$116,$W$4)*(1+2.25%)^0.5-INDEX($N$6:$N$116,$W$4)/$B$11*Pricing!M61,0)))</f>
        <v>0</v>
      </c>
      <c r="X61" s="428">
        <f>SUMPRODUCT(Reserve!G61:G$116,W61:W$116)/Reserve!H61</f>
        <v>0</v>
      </c>
    </row>
    <row r="62" spans="4:24" x14ac:dyDescent="0.3">
      <c r="D62" s="215">
        <v>57</v>
      </c>
      <c r="E62" s="217">
        <f t="shared" si="4"/>
        <v>57</v>
      </c>
      <c r="F62" s="228">
        <f t="shared" si="5"/>
        <v>92</v>
      </c>
      <c r="G62" s="162" t="str">
        <f ca="1">IF($E62="","",ROUND((1-$B$24*($B$10-$E62))*MIN($B$22+(1-$B$22)*$E62/MIN($B$23,$B$9),1)*(Pricing!$U62-$I62),0))</f>
        <v/>
      </c>
      <c r="H62" s="163">
        <f t="shared" si="2"/>
        <v>0</v>
      </c>
      <c r="I62" s="163">
        <f>IF($E62="","",Pricing!$N62+Pricing!$O62)</f>
        <v>0</v>
      </c>
      <c r="J62" s="220" t="str">
        <f ca="1">IF(OR($E62=0,$E62=""),"",(NPV($B$13,$I$5:$I62)+$G62*(1+$B$13)^-($E62+1))/NPV($B$13,$H$5:$H61))</f>
        <v/>
      </c>
      <c r="K62" s="220" t="str">
        <f ca="1">IF($E62="","",IFERROR(((G62+I62)/(NPV(K62,H$5:H61)*(1+K62)-NPV(K62,I$5:I61)*(1+K62)))^(1/E62)-1,0))</f>
        <v/>
      </c>
      <c r="L62" s="163" t="str">
        <f>IF(OR($E62&gt;=$B$9,$E62=0),"",MAX(Pricing!$U62-$I62-0.01*$B$11,$V62))</f>
        <v/>
      </c>
      <c r="M62" s="163" t="str">
        <f ca="1">IF($E62="","",ROUND(Pricing!Q62+Pricing!R62-SUMPRODUCT(Pricing!G62:G$116,Pricing!L62:L$116)/Pricing!H62-$I62,0))</f>
        <v/>
      </c>
      <c r="N62" s="163" t="str">
        <f t="shared" si="3"/>
        <v/>
      </c>
      <c r="O62" s="163">
        <f>IF(E62="","",IF(AND(Pricing!$K$3,$B$19),SUMIF(F62:F$116,"&gt;=" &amp; 16,Pricing!G62:G$116),SUM(Pricing!$G62:$G$116)))</f>
        <v>96406.462235631829</v>
      </c>
      <c r="P62" s="427">
        <f>IF(OR($E62="",$E62=0),"",IF(OR(NOT($B$19),$F62&gt;=16,$E62=$B$10),0,((1+2.25%)*$P63*Pricing!$H63+(1+Pricing!$K$3)^0.5*Pricing!$G62)/Pricing!$H62))</f>
        <v>0</v>
      </c>
      <c r="Q62" s="163" t="str">
        <f>IF(OR($E62&gt;=$B$9,$E62=0,AND(NOT($B$19),$F62&lt;16)),"",MAX(Pricing!$I61,Pricing!$U62))</f>
        <v/>
      </c>
      <c r="R62" s="163" t="str">
        <f>IF($Q62="","",IF($L62=0,E62,COUNTIF($O63:$O$116,"&gt;=" &amp; $O62-$L62*(1-$P62)/$Q62*Pricing!$H62)+$E62))</f>
        <v/>
      </c>
      <c r="S62" s="163" t="str">
        <f>IF($Q62="","",IF($L62=0,0,IF(R62&lt;$B$10,ROUND((L62*(1-P62)-(O62-INDEX(O62:O$116,R62-E62+1))/Pricing!H62*Q62)/(INDEX(Pricing!G62:G$116,R62-E62+1)/Pricing!H62*Q62)*365,0),0)))</f>
        <v/>
      </c>
      <c r="T62" s="220" t="str">
        <f>IF(OR($Q62="",NOT($B$17)),"",IF($R62&lt;$B$10,0,ROUND(MIN(1,($L62-$O62/Pricing!$H62*$Q62)/(Pricing!$R62-Pricing!$O62)),4)))</f>
        <v/>
      </c>
      <c r="U62" s="163" t="str">
        <f>IF($Q62="","",IF($L62=0,0,IF(OR(R62&lt;$B$10,AND($B$17,$T62&lt;1)),0,$L62*(1-$P62)-$O62/Pricing!$H62*$Q62-IF($B$17,Pricing!$R62-Pricing!$O62,0))*IF($B$18=1,1,Pricing!$H62/IF($B$18=2,INDEX(Pricing!$H$5:$H$116,$B$9+1),INDEX(Pricing!$H$5:$H$116,$B$10+1)))))</f>
        <v/>
      </c>
      <c r="V62" s="425" t="str">
        <f ca="1">IF($E62="","",(1-$B$24*($B$10-$E62))*MIN($B$22+(1-$B$22)*$E62/MIN($B$23,$B$9),1)*(Pricing!$U62-$I62))</f>
        <v/>
      </c>
      <c r="W62" s="35">
        <f>IF($E62="","",IF(F62&gt;16,0,MAX(INDEX($L$6:$L$116,$W$4)*(1+2.25%)^0.5-INDEX($N$6:$N$116,$W$4)/$B$11*Pricing!M62,0)))</f>
        <v>0</v>
      </c>
      <c r="X62" s="428">
        <f>SUMPRODUCT(Reserve!G62:G$116,W62:W$116)/Reserve!H62</f>
        <v>0</v>
      </c>
    </row>
    <row r="63" spans="4:24" x14ac:dyDescent="0.3">
      <c r="D63" s="215">
        <v>58</v>
      </c>
      <c r="E63" s="217">
        <f t="shared" si="4"/>
        <v>58</v>
      </c>
      <c r="F63" s="228">
        <f t="shared" si="5"/>
        <v>93</v>
      </c>
      <c r="G63" s="162" t="str">
        <f ca="1">IF($E63="","",ROUND((1-$B$24*($B$10-$E63))*MIN($B$22+(1-$B$22)*$E63/MIN($B$23,$B$9),1)*(Pricing!$U63-$I63),0))</f>
        <v/>
      </c>
      <c r="H63" s="163">
        <f t="shared" si="2"/>
        <v>0</v>
      </c>
      <c r="I63" s="163">
        <f>IF($E63="","",Pricing!$N63+Pricing!$O63)</f>
        <v>0</v>
      </c>
      <c r="J63" s="220" t="str">
        <f ca="1">IF(OR($E63=0,$E63=""),"",(NPV($B$13,$I$5:$I63)+$G63*(1+$B$13)^-($E63+1))/NPV($B$13,$H$5:$H62))</f>
        <v/>
      </c>
      <c r="K63" s="220" t="str">
        <f ca="1">IF($E63="","",IFERROR(((G63+I63)/(NPV(K63,H$5:H62)*(1+K63)-NPV(K63,I$5:I62)*(1+K63)))^(1/E63)-1,0))</f>
        <v/>
      </c>
      <c r="L63" s="163" t="str">
        <f>IF(OR($E63&gt;=$B$9,$E63=0),"",MAX(Pricing!$U63-$I63-0.01*$B$11,$V63))</f>
        <v/>
      </c>
      <c r="M63" s="163" t="str">
        <f ca="1">IF($E63="","",ROUND(Pricing!Q63+Pricing!R63-SUMPRODUCT(Pricing!G63:G$116,Pricing!L63:L$116)/Pricing!H63-$I63,0))</f>
        <v/>
      </c>
      <c r="N63" s="163" t="str">
        <f t="shared" si="3"/>
        <v/>
      </c>
      <c r="O63" s="163">
        <f>IF(E63="","",IF(AND(Pricing!$K$3,$B$19),SUMIF(F63:F$116,"&gt;=" &amp; 16,Pricing!G63:G$116),SUM(Pricing!$G63:$G$116)))</f>
        <v>74549.687271396309</v>
      </c>
      <c r="P63" s="427">
        <f>IF(OR($E63="",$E63=0),"",IF(OR(NOT($B$19),$F63&gt;=16,$E63=$B$10),0,((1+2.25%)*$P64*Pricing!$H64+(1+Pricing!$K$3)^0.5*Pricing!$G63)/Pricing!$H63))</f>
        <v>0</v>
      </c>
      <c r="Q63" s="163" t="str">
        <f>IF(OR($E63&gt;=$B$9,$E63=0,AND(NOT($B$19),$F63&lt;16)),"",MAX(Pricing!$I62,Pricing!$U63))</f>
        <v/>
      </c>
      <c r="R63" s="163" t="str">
        <f>IF($Q63="","",IF($L63=0,E63,COUNTIF($O64:$O$116,"&gt;=" &amp; $O63-$L63*(1-$P63)/$Q63*Pricing!$H63)+$E63))</f>
        <v/>
      </c>
      <c r="S63" s="163" t="str">
        <f>IF($Q63="","",IF($L63=0,0,IF(R63&lt;$B$10,ROUND((L63*(1-P63)-(O63-INDEX(O63:O$116,R63-E63+1))/Pricing!H63*Q63)/(INDEX(Pricing!G63:G$116,R63-E63+1)/Pricing!H63*Q63)*365,0),0)))</f>
        <v/>
      </c>
      <c r="T63" s="220" t="str">
        <f>IF(OR($Q63="",NOT($B$17)),"",IF($R63&lt;$B$10,0,ROUND(MIN(1,($L63-$O63/Pricing!$H63*$Q63)/(Pricing!$R63-Pricing!$O63)),4)))</f>
        <v/>
      </c>
      <c r="U63" s="163" t="str">
        <f>IF($Q63="","",IF($L63=0,0,IF(OR(R63&lt;$B$10,AND($B$17,$T63&lt;1)),0,$L63*(1-$P63)-$O63/Pricing!$H63*$Q63-IF($B$17,Pricing!$R63-Pricing!$O63,0))*IF($B$18=1,1,Pricing!$H63/IF($B$18=2,INDEX(Pricing!$H$5:$H$116,$B$9+1),INDEX(Pricing!$H$5:$H$116,$B$10+1)))))</f>
        <v/>
      </c>
      <c r="V63" s="425" t="str">
        <f ca="1">IF($E63="","",(1-$B$24*($B$10-$E63))*MIN($B$22+(1-$B$22)*$E63/MIN($B$23,$B$9),1)*(Pricing!$U63-$I63))</f>
        <v/>
      </c>
      <c r="W63" s="35">
        <f>IF($E63="","",IF(F63&gt;16,0,MAX(INDEX($L$6:$L$116,$W$4)*(1+2.25%)^0.5-INDEX($N$6:$N$116,$W$4)/$B$11*Pricing!M63,0)))</f>
        <v>0</v>
      </c>
      <c r="X63" s="428">
        <f>SUMPRODUCT(Reserve!G63:G$116,W63:W$116)/Reserve!H63</f>
        <v>0</v>
      </c>
    </row>
    <row r="64" spans="4:24" x14ac:dyDescent="0.3">
      <c r="D64" s="215">
        <v>59</v>
      </c>
      <c r="E64" s="217">
        <f t="shared" si="4"/>
        <v>59</v>
      </c>
      <c r="F64" s="228">
        <f t="shared" si="5"/>
        <v>94</v>
      </c>
      <c r="G64" s="162" t="str">
        <f ca="1">IF($E64="","",ROUND((1-$B$24*($B$10-$E64))*MIN($B$22+(1-$B$22)*$E64/MIN($B$23,$B$9),1)*(Pricing!$U64-$I64),0))</f>
        <v/>
      </c>
      <c r="H64" s="163">
        <f t="shared" si="2"/>
        <v>0</v>
      </c>
      <c r="I64" s="163">
        <f>IF($E64="","",Pricing!$N64+Pricing!$O64)</f>
        <v>0</v>
      </c>
      <c r="J64" s="220" t="str">
        <f ca="1">IF(OR($E64=0,$E64=""),"",(NPV($B$13,$I$5:$I64)+$G64*(1+$B$13)^-($E64+1))/NPV($B$13,$H$5:$H63))</f>
        <v/>
      </c>
      <c r="K64" s="220" t="str">
        <f ca="1">IF($E64="","",IFERROR(((G64+I64)/(NPV(K64,H$5:H63)*(1+K64)-NPV(K64,I$5:I63)*(1+K64)))^(1/E64)-1,0))</f>
        <v/>
      </c>
      <c r="L64" s="163" t="str">
        <f>IF(OR($E64&gt;=$B$9,$E64=0),"",MAX(Pricing!$U64-$I64-0.01*$B$11,$V64))</f>
        <v/>
      </c>
      <c r="M64" s="163" t="str">
        <f ca="1">IF($E64="","",ROUND(Pricing!Q64+Pricing!R64-SUMPRODUCT(Pricing!G64:G$116,Pricing!L64:L$116)/Pricing!H64-$I64,0))</f>
        <v/>
      </c>
      <c r="N64" s="163" t="str">
        <f t="shared" si="3"/>
        <v/>
      </c>
      <c r="O64" s="163">
        <f>IF(E64="","",IF(AND(Pricing!$K$3,$B$19),SUMIF(F64:F$116,"&gt;=" &amp; 16,Pricing!G64:G$116),SUM(Pricing!$G64:$G$116)))</f>
        <v>56320.500287084375</v>
      </c>
      <c r="P64" s="427">
        <f>IF(OR($E64="",$E64=0),"",IF(OR(NOT($B$19),$F64&gt;=16,$E64=$B$10),0,((1+2.25%)*$P65*Pricing!$H65+(1+Pricing!$K$3)^0.5*Pricing!$G64)/Pricing!$H64))</f>
        <v>0</v>
      </c>
      <c r="Q64" s="163" t="str">
        <f>IF(OR($E64&gt;=$B$9,$E64=0,AND(NOT($B$19),$F64&lt;16)),"",MAX(Pricing!$I63,Pricing!$U64))</f>
        <v/>
      </c>
      <c r="R64" s="163" t="str">
        <f>IF($Q64="","",IF($L64=0,E64,COUNTIF($O65:$O$116,"&gt;=" &amp; $O64-$L64*(1-$P64)/$Q64*Pricing!$H64)+$E64))</f>
        <v/>
      </c>
      <c r="S64" s="163" t="str">
        <f>IF($Q64="","",IF($L64=0,0,IF(R64&lt;$B$10,ROUND((L64*(1-P64)-(O64-INDEX(O64:O$116,R64-E64+1))/Pricing!H64*Q64)/(INDEX(Pricing!G64:G$116,R64-E64+1)/Pricing!H64*Q64)*365,0),0)))</f>
        <v/>
      </c>
      <c r="T64" s="220" t="str">
        <f>IF(OR($Q64="",NOT($B$17)),"",IF($R64&lt;$B$10,0,ROUND(MIN(1,($L64-$O64/Pricing!$H64*$Q64)/(Pricing!$R64-Pricing!$O64)),4)))</f>
        <v/>
      </c>
      <c r="U64" s="163" t="str">
        <f>IF($Q64="","",IF($L64=0,0,IF(OR(R64&lt;$B$10,AND($B$17,$T64&lt;1)),0,$L64*(1-$P64)-$O64/Pricing!$H64*$Q64-IF($B$17,Pricing!$R64-Pricing!$O64,0))*IF($B$18=1,1,Pricing!$H64/IF($B$18=2,INDEX(Pricing!$H$5:$H$116,$B$9+1),INDEX(Pricing!$H$5:$H$116,$B$10+1)))))</f>
        <v/>
      </c>
      <c r="V64" s="425" t="str">
        <f ca="1">IF($E64="","",(1-$B$24*($B$10-$E64))*MIN($B$22+(1-$B$22)*$E64/MIN($B$23,$B$9),1)*(Pricing!$U64-$I64))</f>
        <v/>
      </c>
      <c r="W64" s="35">
        <f>IF($E64="","",IF(F64&gt;16,0,MAX(INDEX($L$6:$L$116,$W$4)*(1+2.25%)^0.5-INDEX($N$6:$N$116,$W$4)/$B$11*Pricing!M64,0)))</f>
        <v>0</v>
      </c>
      <c r="X64" s="428">
        <f>SUMPRODUCT(Reserve!G64:G$116,W64:W$116)/Reserve!H64</f>
        <v>0</v>
      </c>
    </row>
    <row r="65" spans="4:24" x14ac:dyDescent="0.3">
      <c r="D65" s="215">
        <v>60</v>
      </c>
      <c r="E65" s="233">
        <f t="shared" si="4"/>
        <v>60</v>
      </c>
      <c r="F65" s="234">
        <f t="shared" si="5"/>
        <v>95</v>
      </c>
      <c r="G65" s="165" t="str">
        <f ca="1">IF($E65="","",ROUND((1-$B$24*($B$10-$E65))*MIN($B$22+(1-$B$22)*$E65/MIN($B$23,$B$9),1)*(Pricing!$U65-$I65),0))</f>
        <v/>
      </c>
      <c r="H65" s="166">
        <f t="shared" si="2"/>
        <v>0</v>
      </c>
      <c r="I65" s="166">
        <f>IF($E65="","",Pricing!$N65+Pricing!$O65)</f>
        <v>0</v>
      </c>
      <c r="J65" s="235" t="str">
        <f ca="1">IF(OR($E65=0,$E65=""),"",(NPV($B$13,$I$5:$I65)+$G65*(1+$B$13)^-($E65+1))/NPV($B$13,$H$5:$H64))</f>
        <v/>
      </c>
      <c r="K65" s="235" t="str">
        <f ca="1">IF($E65="","",IFERROR(((G65+I65)/(NPV(K65,H$5:H64)*(1+K65)-NPV(K65,I$5:I64)*(1+K65)))^(1/E65)-1,0))</f>
        <v/>
      </c>
      <c r="L65" s="166" t="str">
        <f>IF(OR($E65&gt;=$B$9,$E65=0),"",MAX(Pricing!$U65-$I65-0.01*$B$11,$V65))</f>
        <v/>
      </c>
      <c r="M65" s="166" t="str">
        <f ca="1">IF($E65="","",ROUND(Pricing!Q65+Pricing!R65-SUMPRODUCT(Pricing!G65:G$116,Pricing!L65:L$116)/Pricing!H65-$I65,0))</f>
        <v/>
      </c>
      <c r="N65" s="166" t="str">
        <f t="shared" si="3"/>
        <v/>
      </c>
      <c r="O65" s="166">
        <f>IF(E65="","",IF(AND(Pricing!$K$3,$B$19),SUMIF(F65:F$116,"&gt;=" &amp; 16,Pricing!G65:G$116),SUM(Pricing!$G65:$G$116)))</f>
        <v>41479.826704843268</v>
      </c>
      <c r="P65" s="429">
        <f>IF(OR($E65="",$E65=0),"",IF(OR(NOT($B$19),$F65&gt;=16,$E65=$B$10),0,((1+2.25%)*$P66*Pricing!$H66+(1+Pricing!$K$3)^0.5*Pricing!$G65)/Pricing!$H65))</f>
        <v>0</v>
      </c>
      <c r="Q65" s="166" t="str">
        <f>IF(OR($E65&gt;=$B$9,$E65=0,AND(NOT($B$19),$F65&lt;16)),"",MAX(Pricing!$I64,Pricing!$U65))</f>
        <v/>
      </c>
      <c r="R65" s="166" t="str">
        <f>IF($Q65="","",IF($L65=0,E65,COUNTIF($O66:$O$116,"&gt;=" &amp; $O65-$L65*(1-$P65)/$Q65*Pricing!$H65)+$E65))</f>
        <v/>
      </c>
      <c r="S65" s="166" t="str">
        <f>IF($Q65="","",IF($L65=0,0,IF(R65&lt;$B$10,ROUND((L65*(1-P65)-(O65-INDEX(O65:O$116,R65-E65+1))/Pricing!H65*Q65)/(INDEX(Pricing!G65:G$116,R65-E65+1)/Pricing!H65*Q65)*365,0),0)))</f>
        <v/>
      </c>
      <c r="T65" s="235" t="str">
        <f>IF(OR($Q65="",NOT($B$17)),"",IF($R65&lt;$B$10,0,ROUND(MIN(1,($L65-$O65/Pricing!$H65*$Q65)/(Pricing!$R65-Pricing!$O65)),4)))</f>
        <v/>
      </c>
      <c r="U65" s="166" t="str">
        <f>IF($Q65="","",IF($L65=0,0,IF(OR(R65&lt;$B$10,AND($B$17,$T65&lt;1)),0,$L65*(1-$P65)-$O65/Pricing!$H65*$Q65-IF($B$17,Pricing!$R65-Pricing!$O65,0))*IF($B$18=1,1,Pricing!$H65/IF($B$18=2,INDEX(Pricing!$H$5:$H$116,$B$9+1),INDEX(Pricing!$H$5:$H$116,$B$10+1)))))</f>
        <v/>
      </c>
      <c r="V65" s="425" t="str">
        <f ca="1">IF($E65="","",(1-$B$24*($B$10-$E65))*MIN($B$22+(1-$B$22)*$E65/MIN($B$23,$B$9),1)*(Pricing!$U65-$I65))</f>
        <v/>
      </c>
      <c r="W65" s="35">
        <f>IF($E65="","",IF(F65&gt;16,0,MAX(INDEX($L$6:$L$116,$W$4)*(1+2.25%)^0.5-INDEX($N$6:$N$116,$W$4)/$B$11*Pricing!M65,0)))</f>
        <v>0</v>
      </c>
      <c r="X65" s="428">
        <f>SUMPRODUCT(Reserve!G65:G$116,W65:W$116)/Reserve!H65</f>
        <v>0</v>
      </c>
    </row>
    <row r="66" spans="4:24" x14ac:dyDescent="0.3">
      <c r="D66" s="215">
        <v>61</v>
      </c>
      <c r="E66" s="217">
        <f t="shared" si="4"/>
        <v>61</v>
      </c>
      <c r="F66" s="228">
        <f t="shared" si="5"/>
        <v>96</v>
      </c>
      <c r="G66" s="162" t="str">
        <f ca="1">IF($E66="","",ROUND((1-$B$24*($B$10-$E66))*MIN($B$22+(1-$B$22)*$E66/MIN($B$23,$B$9),1)*(Pricing!$U66-$I66),0))</f>
        <v/>
      </c>
      <c r="H66" s="163">
        <f t="shared" si="2"/>
        <v>0</v>
      </c>
      <c r="I66" s="163">
        <f>IF($E66="","",Pricing!$N66+Pricing!$O66)</f>
        <v>0</v>
      </c>
      <c r="J66" s="220" t="str">
        <f ca="1">IF(OR($E66=0,$E66=""),"",(NPV($B$13,$I$5:$I66)+$G66*(1+$B$13)^-($E66+1))/NPV($B$13,$H$5:$H65))</f>
        <v/>
      </c>
      <c r="K66" s="220" t="str">
        <f ca="1">IF($E66="","",IFERROR(((G66+I66)/(NPV(K66,H$5:H65)*(1+K66)-NPV(K66,I$5:I65)*(1+K66)))^(1/E66)-1,0))</f>
        <v/>
      </c>
      <c r="L66" s="163" t="str">
        <f>IF(OR($E66&gt;=$B$9,$E66=0),"",MAX(Pricing!$U66-$I66-0.01*$B$11,$V66))</f>
        <v/>
      </c>
      <c r="M66" s="163" t="str">
        <f ca="1">IF($E66="","",ROUND(Pricing!Q66+Pricing!R66-SUMPRODUCT(Pricing!G66:G$116,Pricing!L66:L$116)/Pricing!H66-$I66,0))</f>
        <v/>
      </c>
      <c r="N66" s="163" t="str">
        <f t="shared" si="3"/>
        <v/>
      </c>
      <c r="O66" s="163">
        <f>IF(E66="","",IF(AND(Pricing!$K$3,$B$19),SUMIF(F66:F$116,"&gt;=" &amp; 16,Pricing!G66:G$116),SUM(Pricing!$G66:$G$116)))</f>
        <v>29712.981854330013</v>
      </c>
      <c r="P66" s="427">
        <f>IF(OR($E66="",$E66=0),"",IF(OR(NOT($B$19),$F66&gt;=16,$E66=$B$10),0,((1+2.25%)*$P67*Pricing!$H67+(1+Pricing!$K$3)^0.5*Pricing!$G66)/Pricing!$H66))</f>
        <v>0</v>
      </c>
      <c r="Q66" s="163" t="str">
        <f>IF(OR($E66&gt;=$B$9,$E66=0,AND(NOT($B$19),$F66&lt;16)),"",MAX(Pricing!$I65,Pricing!$U66))</f>
        <v/>
      </c>
      <c r="R66" s="163" t="str">
        <f>IF($Q66="","",IF($L66=0,E66,COUNTIF($O67:$O$116,"&gt;=" &amp; $O66-$L66*(1-$P66)/$Q66*Pricing!$H66)+$E66))</f>
        <v/>
      </c>
      <c r="S66" s="163" t="str">
        <f>IF($Q66="","",IF($L66=0,0,IF(R66&lt;$B$10,ROUND((L66*(1-P66)-(O66-INDEX(O66:O$116,R66-E66+1))/Pricing!H66*Q66)/(INDEX(Pricing!G66:G$116,R66-E66+1)/Pricing!H66*Q66)*365,0),0)))</f>
        <v/>
      </c>
      <c r="T66" s="220" t="str">
        <f>IF(OR($Q66="",NOT($B$17)),"",IF($R66&lt;$B$10,0,ROUND(MIN(1,($L66-$O66/Pricing!$H66*$Q66)/(Pricing!$R66-Pricing!$O66)),4)))</f>
        <v/>
      </c>
      <c r="U66" s="163" t="str">
        <f>IF($Q66="","",IF($L66=0,0,IF(OR(R66&lt;$B$10,AND($B$17,$T66&lt;1)),0,$L66*(1-$P66)-$O66/Pricing!$H66*$Q66-IF($B$17,Pricing!$R66-Pricing!$O66,0))*IF($B$18=1,1,Pricing!$H66/IF($B$18=2,INDEX(Pricing!$H$5:$H$116,$B$9+1),INDEX(Pricing!$H$5:$H$116,$B$10+1)))))</f>
        <v/>
      </c>
      <c r="V66" s="425" t="str">
        <f ca="1">IF($E66="","",(1-$B$24*($B$10-$E66))*MIN($B$22+(1-$B$22)*$E66/MIN($B$23,$B$9),1)*(Pricing!$U66-$I66))</f>
        <v/>
      </c>
      <c r="W66" s="35">
        <f>IF($E66="","",IF(F66&gt;16,0,MAX(INDEX($L$6:$L$116,$W$4)*(1+2.25%)^0.5-INDEX($N$6:$N$116,$W$4)/$B$11*Pricing!M66,0)))</f>
        <v>0</v>
      </c>
      <c r="X66" s="428">
        <f>SUMPRODUCT(Reserve!G66:G$116,W66:W$116)/Reserve!H66</f>
        <v>0</v>
      </c>
    </row>
    <row r="67" spans="4:24" x14ac:dyDescent="0.3">
      <c r="D67" s="215">
        <v>62</v>
      </c>
      <c r="E67" s="217">
        <f t="shared" si="4"/>
        <v>62</v>
      </c>
      <c r="F67" s="228">
        <f t="shared" si="5"/>
        <v>97</v>
      </c>
      <c r="G67" s="162" t="str">
        <f ca="1">IF($E67="","",ROUND((1-$B$24*($B$10-$E67))*MIN($B$22+(1-$B$22)*$E67/MIN($B$23,$B$9),1)*(Pricing!$U67-$I67),0))</f>
        <v/>
      </c>
      <c r="H67" s="163">
        <f t="shared" si="2"/>
        <v>0</v>
      </c>
      <c r="I67" s="163">
        <f>IF($E67="","",Pricing!$N67+Pricing!$O67)</f>
        <v>0</v>
      </c>
      <c r="J67" s="220" t="str">
        <f ca="1">IF(OR($E67=0,$E67=""),"",(NPV($B$13,$I$5:$I67)+$G67*(1+$B$13)^-($E67+1))/NPV($B$13,$H$5:$H66))</f>
        <v/>
      </c>
      <c r="K67" s="220" t="str">
        <f ca="1">IF($E67="","",IFERROR(((G67+I67)/(NPV(K67,H$5:H66)*(1+K67)-NPV(K67,I$5:I66)*(1+K67)))^(1/E67)-1,0))</f>
        <v/>
      </c>
      <c r="L67" s="163" t="str">
        <f>IF(OR($E67&gt;=$B$9,$E67=0),"",MAX(Pricing!$U67-$I67-0.01*$B$11,$V67))</f>
        <v/>
      </c>
      <c r="M67" s="163" t="str">
        <f ca="1">IF($E67="","",ROUND(Pricing!Q67+Pricing!R67-SUMPRODUCT(Pricing!G67:G$116,Pricing!L67:L$116)/Pricing!H67-$I67,0))</f>
        <v/>
      </c>
      <c r="N67" s="163" t="str">
        <f t="shared" si="3"/>
        <v/>
      </c>
      <c r="O67" s="163">
        <f>IF(E67="","",IF(AND(Pricing!$K$3,$B$19),SUMIF(F67:F$116,"&gt;=" &amp; 16,Pricing!G67:G$116),SUM(Pricing!$G67:$G$116)))</f>
        <v>20648.902941100459</v>
      </c>
      <c r="P67" s="427">
        <f>IF(OR($E67="",$E67=0),"",IF(OR(NOT($B$19),$F67&gt;=16,$E67=$B$10),0,((1+2.25%)*$P68*Pricing!$H68+(1+Pricing!$K$3)^0.5*Pricing!$G67)/Pricing!$H67))</f>
        <v>0</v>
      </c>
      <c r="Q67" s="163" t="str">
        <f>IF(OR($E67&gt;=$B$9,$E67=0,AND(NOT($B$19),$F67&lt;16)),"",MAX(Pricing!$I66,Pricing!$U67))</f>
        <v/>
      </c>
      <c r="R67" s="163" t="str">
        <f>IF($Q67="","",IF($L67=0,E67,COUNTIF($O68:$O$116,"&gt;=" &amp; $O67-$L67*(1-$P67)/$Q67*Pricing!$H67)+$E67))</f>
        <v/>
      </c>
      <c r="S67" s="163" t="str">
        <f>IF($Q67="","",IF($L67=0,0,IF(R67&lt;$B$10,ROUND((L67*(1-P67)-(O67-INDEX(O67:O$116,R67-E67+1))/Pricing!H67*Q67)/(INDEX(Pricing!G67:G$116,R67-E67+1)/Pricing!H67*Q67)*365,0),0)))</f>
        <v/>
      </c>
      <c r="T67" s="220" t="str">
        <f>IF(OR($Q67="",NOT($B$17)),"",IF($R67&lt;$B$10,0,ROUND(MIN(1,($L67-$O67/Pricing!$H67*$Q67)/(Pricing!$R67-Pricing!$O67)),4)))</f>
        <v/>
      </c>
      <c r="U67" s="163" t="str">
        <f>IF($Q67="","",IF($L67=0,0,IF(OR(R67&lt;$B$10,AND($B$17,$T67&lt;1)),0,$L67*(1-$P67)-$O67/Pricing!$H67*$Q67-IF($B$17,Pricing!$R67-Pricing!$O67,0))*IF($B$18=1,1,Pricing!$H67/IF($B$18=2,INDEX(Pricing!$H$5:$H$116,$B$9+1),INDEX(Pricing!$H$5:$H$116,$B$10+1)))))</f>
        <v/>
      </c>
      <c r="V67" s="425" t="str">
        <f ca="1">IF($E67="","",(1-$B$24*($B$10-$E67))*MIN($B$22+(1-$B$22)*$E67/MIN($B$23,$B$9),1)*(Pricing!$U67-$I67))</f>
        <v/>
      </c>
      <c r="W67" s="35">
        <f>IF($E67="","",IF(F67&gt;16,0,MAX(INDEX($L$6:$L$116,$W$4)*(1+2.25%)^0.5-INDEX($N$6:$N$116,$W$4)/$B$11*Pricing!M67,0)))</f>
        <v>0</v>
      </c>
      <c r="X67" s="428">
        <f>SUMPRODUCT(Reserve!G67:G$116,W67:W$116)/Reserve!H67</f>
        <v>0</v>
      </c>
    </row>
    <row r="68" spans="4:24" x14ac:dyDescent="0.3">
      <c r="D68" s="215">
        <v>63</v>
      </c>
      <c r="E68" s="217">
        <f t="shared" si="4"/>
        <v>63</v>
      </c>
      <c r="F68" s="228">
        <f t="shared" si="5"/>
        <v>98</v>
      </c>
      <c r="G68" s="162" t="str">
        <f ca="1">IF($E68="","",ROUND((1-$B$24*($B$10-$E68))*MIN($B$22+(1-$B$22)*$E68/MIN($B$23,$B$9),1)*(Pricing!$U68-$I68),0))</f>
        <v/>
      </c>
      <c r="H68" s="163">
        <f t="shared" si="2"/>
        <v>0</v>
      </c>
      <c r="I68" s="163">
        <f>IF($E68="","",Pricing!$N68+Pricing!$O68)</f>
        <v>0</v>
      </c>
      <c r="J68" s="220" t="str">
        <f ca="1">IF(OR($E68=0,$E68=""),"",(NPV($B$13,$I$5:$I68)+$G68*(1+$B$13)^-($E68+1))/NPV($B$13,$H$5:$H67))</f>
        <v/>
      </c>
      <c r="K68" s="220" t="str">
        <f ca="1">IF($E68="","",IFERROR(((G68+I68)/(NPV(K68,H$5:H67)*(1+K68)-NPV(K68,I$5:I67)*(1+K68)))^(1/E68)-1,0))</f>
        <v/>
      </c>
      <c r="L68" s="163" t="str">
        <f>IF(OR($E68&gt;=$B$9,$E68=0),"",MAX(Pricing!$U68-$I68-0.01*$B$11,$V68))</f>
        <v/>
      </c>
      <c r="M68" s="163" t="str">
        <f ca="1">IF($E68="","",ROUND(Pricing!Q68+Pricing!R68-SUMPRODUCT(Pricing!G68:G$116,Pricing!L68:L$116)/Pricing!H68-$I68,0))</f>
        <v/>
      </c>
      <c r="N68" s="163" t="str">
        <f t="shared" si="3"/>
        <v/>
      </c>
      <c r="O68" s="163">
        <f>IF(E68="","",IF(AND(Pricing!$K$3,$B$19),SUMIF(F68:F$116,"&gt;=" &amp; 16,Pricing!G68:G$116),SUM(Pricing!$G68:$G$116)))</f>
        <v>13883.021861725005</v>
      </c>
      <c r="P68" s="427">
        <f>IF(OR($E68="",$E68=0),"",IF(OR(NOT($B$19),$F68&gt;=16,$E68=$B$10),0,((1+2.25%)*$P69*Pricing!$H69+(1+Pricing!$K$3)^0.5*Pricing!$G68)/Pricing!$H68))</f>
        <v>0</v>
      </c>
      <c r="Q68" s="163" t="str">
        <f>IF(OR($E68&gt;=$B$9,$E68=0,AND(NOT($B$19),$F68&lt;16)),"",MAX(Pricing!$I67,Pricing!$U68))</f>
        <v/>
      </c>
      <c r="R68" s="163" t="str">
        <f>IF($Q68="","",IF($L68=0,E68,COUNTIF($O69:$O$116,"&gt;=" &amp; $O68-$L68*(1-$P68)/$Q68*Pricing!$H68)+$E68))</f>
        <v/>
      </c>
      <c r="S68" s="163" t="str">
        <f>IF($Q68="","",IF($L68=0,0,IF(R68&lt;$B$10,ROUND((L68*(1-P68)-(O68-INDEX(O68:O$116,R68-E68+1))/Pricing!H68*Q68)/(INDEX(Pricing!G68:G$116,R68-E68+1)/Pricing!H68*Q68)*365,0),0)))</f>
        <v/>
      </c>
      <c r="T68" s="220" t="str">
        <f>IF(OR($Q68="",NOT($B$17)),"",IF($R68&lt;$B$10,0,ROUND(MIN(1,($L68-$O68/Pricing!$H68*$Q68)/(Pricing!$R68-Pricing!$O68)),4)))</f>
        <v/>
      </c>
      <c r="U68" s="163" t="str">
        <f>IF($Q68="","",IF($L68=0,0,IF(OR(R68&lt;$B$10,AND($B$17,$T68&lt;1)),0,$L68*(1-$P68)-$O68/Pricing!$H68*$Q68-IF($B$17,Pricing!$R68-Pricing!$O68,0))*IF($B$18=1,1,Pricing!$H68/IF($B$18=2,INDEX(Pricing!$H$5:$H$116,$B$9+1),INDEX(Pricing!$H$5:$H$116,$B$10+1)))))</f>
        <v/>
      </c>
      <c r="V68" s="425" t="str">
        <f ca="1">IF($E68="","",(1-$B$24*($B$10-$E68))*MIN($B$22+(1-$B$22)*$E68/MIN($B$23,$B$9),1)*(Pricing!$U68-$I68))</f>
        <v/>
      </c>
      <c r="W68" s="35">
        <f>IF($E68="","",IF(F68&gt;16,0,MAX(INDEX($L$6:$L$116,$W$4)*(1+2.25%)^0.5-INDEX($N$6:$N$116,$W$4)/$B$11*Pricing!M68,0)))</f>
        <v>0</v>
      </c>
      <c r="X68" s="428">
        <f>SUMPRODUCT(Reserve!G68:G$116,W68:W$116)/Reserve!H68</f>
        <v>0</v>
      </c>
    </row>
    <row r="69" spans="4:24" x14ac:dyDescent="0.3">
      <c r="D69" s="215">
        <v>64</v>
      </c>
      <c r="E69" s="217">
        <f t="shared" ref="E69:E100" si="6">IF(D69&lt;=$B$10,D69,"")</f>
        <v>64</v>
      </c>
      <c r="F69" s="228">
        <f t="shared" ref="F69:F100" si="7">IF(E69="","",E69+$B$7)</f>
        <v>99</v>
      </c>
      <c r="G69" s="162" t="str">
        <f ca="1">IF($E69="","",ROUND((1-$B$24*($B$10-$E69))*MIN($B$22+(1-$B$22)*$E69/MIN($B$23,$B$9),1)*(Pricing!$U69-$I69),0))</f>
        <v/>
      </c>
      <c r="H69" s="163">
        <f t="shared" si="2"/>
        <v>0</v>
      </c>
      <c r="I69" s="163">
        <f>IF($E69="","",Pricing!$N69+Pricing!$O69)</f>
        <v>0</v>
      </c>
      <c r="J69" s="220" t="str">
        <f ca="1">IF(OR($E69=0,$E69=""),"",(NPV($B$13,$I$5:$I69)+$G69*(1+$B$13)^-($E69+1))/NPV($B$13,$H$5:$H68))</f>
        <v/>
      </c>
      <c r="K69" s="220" t="str">
        <f ca="1">IF($E69="","",IFERROR(((G69+I69)/(NPV(K69,H$5:H68)*(1+K69)-NPV(K69,I$5:I68)*(1+K69)))^(1/E69)-1,0))</f>
        <v/>
      </c>
      <c r="L69" s="163" t="str">
        <f>IF(OR($E69&gt;=$B$9,$E69=0),"",MAX(Pricing!$U69-$I69-0.01*$B$11,$V69))</f>
        <v/>
      </c>
      <c r="M69" s="163" t="str">
        <f ca="1">IF($E69="","",ROUND(Pricing!Q69+Pricing!R69-SUMPRODUCT(Pricing!G69:G$116,Pricing!L69:L$116)/Pricing!H69-$I69,0))</f>
        <v/>
      </c>
      <c r="N69" s="163" t="str">
        <f t="shared" si="3"/>
        <v/>
      </c>
      <c r="O69" s="163">
        <f>IF(E69="","",IF(AND(Pricing!$K$3,$B$19),SUMIF(F69:F$116,"&gt;=" &amp; 16,Pricing!G69:G$116),SUM(Pricing!$G69:$G$116)))</f>
        <v>9003.0635962117867</v>
      </c>
      <c r="P69" s="427">
        <f>IF(OR($E69="",$E69=0),"",IF(OR(NOT($B$19),$F69&gt;=16,$E69=$B$10),0,((1+2.25%)*$P70*Pricing!$H70+(1+Pricing!$K$3)^0.5*Pricing!$G69)/Pricing!$H69))</f>
        <v>0</v>
      </c>
      <c r="Q69" s="163" t="str">
        <f>IF(OR($E69&gt;=$B$9,$E69=0,AND(NOT($B$19),$F69&lt;16)),"",MAX(Pricing!$I68,Pricing!$U69))</f>
        <v/>
      </c>
      <c r="R69" s="163" t="str">
        <f>IF($Q69="","",IF($L69=0,E69,COUNTIF($O70:$O$116,"&gt;=" &amp; $O69-$L69*(1-$P69)/$Q69*Pricing!$H69)+$E69))</f>
        <v/>
      </c>
      <c r="S69" s="163" t="str">
        <f>IF($Q69="","",IF($L69=0,0,IF(R69&lt;$B$10,ROUND((L69*(1-P69)-(O69-INDEX(O69:O$116,R69-E69+1))/Pricing!H69*Q69)/(INDEX(Pricing!G69:G$116,R69-E69+1)/Pricing!H69*Q69)*365,0),0)))</f>
        <v/>
      </c>
      <c r="T69" s="220" t="str">
        <f>IF(OR($Q69="",NOT($B$17)),"",IF($R69&lt;$B$10,0,ROUND(MIN(1,($L69-$O69/Pricing!$H69*$Q69)/(Pricing!$R69-Pricing!$O69)),4)))</f>
        <v/>
      </c>
      <c r="U69" s="163" t="str">
        <f>IF($Q69="","",IF($L69=0,0,IF(OR(R69&lt;$B$10,AND($B$17,$T69&lt;1)),0,$L69*(1-$P69)-$O69/Pricing!$H69*$Q69-IF($B$17,Pricing!$R69-Pricing!$O69,0))*IF($B$18=1,1,Pricing!$H69/IF($B$18=2,INDEX(Pricing!$H$5:$H$116,$B$9+1),INDEX(Pricing!$H$5:$H$116,$B$10+1)))))</f>
        <v/>
      </c>
      <c r="V69" s="425" t="str">
        <f ca="1">IF($E69="","",(1-$B$24*($B$10-$E69))*MIN($B$22+(1-$B$22)*$E69/MIN($B$23,$B$9),1)*(Pricing!$U69-$I69))</f>
        <v/>
      </c>
      <c r="W69" s="35">
        <f>IF($E69="","",IF(F69&gt;16,0,MAX(INDEX($L$6:$L$116,$W$4)*(1+2.25%)^0.5-INDEX($N$6:$N$116,$W$4)/$B$11*Pricing!M69,0)))</f>
        <v>0</v>
      </c>
      <c r="X69" s="428">
        <f>SUMPRODUCT(Reserve!G69:G$116,W69:W$116)/Reserve!H69</f>
        <v>0</v>
      </c>
    </row>
    <row r="70" spans="4:24" x14ac:dyDescent="0.3">
      <c r="D70" s="215">
        <v>65</v>
      </c>
      <c r="E70" s="233">
        <f t="shared" si="6"/>
        <v>65</v>
      </c>
      <c r="F70" s="234">
        <f t="shared" si="7"/>
        <v>100</v>
      </c>
      <c r="G70" s="165" t="str">
        <f ca="1">IF($E70="","",ROUND((1-$B$24*($B$10-$E70))*MIN($B$22+(1-$B$22)*$E70/MIN($B$23,$B$9),1)*(Pricing!$U70-$I70),0))</f>
        <v/>
      </c>
      <c r="H70" s="166">
        <f t="shared" ref="H70:H116" si="8">IF($E70="","",IF($E70&lt;$B$9,$B$12-ROUND($B$12*$H$3,0),0))</f>
        <v>0</v>
      </c>
      <c r="I70" s="166">
        <f>IF($E70="","",Pricing!$N70+Pricing!$O70)</f>
        <v>0</v>
      </c>
      <c r="J70" s="235" t="str">
        <f ca="1">IF(OR($E70=0,$E70=""),"",(NPV($B$13,$I$5:$I70)+$G70*(1+$B$13)^-($E70+1))/NPV($B$13,$H$5:$H69))</f>
        <v/>
      </c>
      <c r="K70" s="235" t="str">
        <f ca="1">IF($E70="","",IFERROR(((G70+I70)/(NPV(K70,H$5:H69)*(1+K70)-NPV(K70,I$5:I69)*(1+K70)))^(1/E70)-1,0))</f>
        <v/>
      </c>
      <c r="L70" s="166" t="str">
        <f>IF(OR($E70&gt;=$B$9,$E70=0),"",MAX(Pricing!$U70-$I70-0.01*$B$11,$V70))</f>
        <v/>
      </c>
      <c r="M70" s="166" t="str">
        <f ca="1">IF($E70="","",ROUND(Pricing!Q70+Pricing!R70-SUMPRODUCT(Pricing!G70:G$116,Pricing!L70:L$116)/Pricing!H70-$I70,0))</f>
        <v/>
      </c>
      <c r="N70" s="166" t="str">
        <f t="shared" ref="N70:N116" si="9">IF(OR($E70&gt;=$B$9,$E70=0),"",ROUND(ROUND(L70,0)/M70*$B$11,0))</f>
        <v/>
      </c>
      <c r="O70" s="166">
        <f>IF(E70="","",IF(AND(Pricing!$K$3,$B$19),SUMIF(F70:F$116,"&gt;=" &amp; 16,Pricing!G70:G$116),SUM(Pricing!$G70:$G$116)))</f>
        <v>5613.2970920628595</v>
      </c>
      <c r="P70" s="429">
        <f>IF(OR($E70="",$E70=0),"",IF(OR(NOT($B$19),$F70&gt;=16,$E70=$B$10),0,((1+2.25%)*$P71*Pricing!$H71+(1+Pricing!$K$3)^0.5*Pricing!$G70)/Pricing!$H70))</f>
        <v>0</v>
      </c>
      <c r="Q70" s="166" t="str">
        <f>IF(OR($E70&gt;=$B$9,$E70=0,AND(NOT($B$19),$F70&lt;16)),"",MAX(Pricing!$I69,Pricing!$U70))</f>
        <v/>
      </c>
      <c r="R70" s="166" t="str">
        <f>IF($Q70="","",IF($L70=0,E70,COUNTIF($O71:$O$116,"&gt;=" &amp; $O70-$L70*(1-$P70)/$Q70*Pricing!$H70)+$E70))</f>
        <v/>
      </c>
      <c r="S70" s="166" t="str">
        <f>IF($Q70="","",IF($L70=0,0,IF(R70&lt;$B$10,ROUND((L70*(1-P70)-(O70-INDEX(O70:O$116,R70-E70+1))/Pricing!H70*Q70)/(INDEX(Pricing!G70:G$116,R70-E70+1)/Pricing!H70*Q70)*365,0),0)))</f>
        <v/>
      </c>
      <c r="T70" s="235" t="str">
        <f>IF(OR($Q70="",NOT($B$17)),"",IF($R70&lt;$B$10,0,ROUND(MIN(1,($L70-$O70/Pricing!$H70*$Q70)/(Pricing!$R70-Pricing!$O70)),4)))</f>
        <v/>
      </c>
      <c r="U70" s="166" t="str">
        <f>IF($Q70="","",IF($L70=0,0,IF(OR(R70&lt;$B$10,AND($B$17,$T70&lt;1)),0,$L70*(1-$P70)-$O70/Pricing!$H70*$Q70-IF($B$17,Pricing!$R70-Pricing!$O70,0))*IF($B$18=1,1,Pricing!$H70/IF($B$18=2,INDEX(Pricing!$H$5:$H$116,$B$9+1),INDEX(Pricing!$H$5:$H$116,$B$10+1)))))</f>
        <v/>
      </c>
      <c r="V70" s="425" t="str">
        <f ca="1">IF($E70="","",(1-$B$24*($B$10-$E70))*MIN($B$22+(1-$B$22)*$E70/MIN($B$23,$B$9),1)*(Pricing!$U70-$I70))</f>
        <v/>
      </c>
      <c r="W70" s="35">
        <f>IF($E70="","",IF(F70&gt;16,0,MAX(INDEX($L$6:$L$116,$W$4)*(1+2.25%)^0.5-INDEX($N$6:$N$116,$W$4)/$B$11*Pricing!M70,0)))</f>
        <v>0</v>
      </c>
      <c r="X70" s="428">
        <f>SUMPRODUCT(Reserve!G70:G$116,W70:W$116)/Reserve!H70</f>
        <v>0</v>
      </c>
    </row>
    <row r="71" spans="4:24" x14ac:dyDescent="0.3">
      <c r="D71" s="215">
        <v>66</v>
      </c>
      <c r="E71" s="217">
        <f t="shared" si="6"/>
        <v>66</v>
      </c>
      <c r="F71" s="228">
        <f t="shared" si="7"/>
        <v>101</v>
      </c>
      <c r="G71" s="162" t="str">
        <f ca="1">IF($E71="","",ROUND((1-$B$24*($B$10-$E71))*MIN($B$22+(1-$B$22)*$E71/MIN($B$23,$B$9),1)*(Pricing!$U71-$I71),0))</f>
        <v/>
      </c>
      <c r="H71" s="163">
        <f t="shared" si="8"/>
        <v>0</v>
      </c>
      <c r="I71" s="163">
        <f>IF($E71="","",Pricing!$N71+Pricing!$O71)</f>
        <v>0</v>
      </c>
      <c r="J71" s="220" t="str">
        <f ca="1">IF(OR($E71=0,$E71=""),"",(NPV($B$13,$I$5:$I71)+$G71*(1+$B$13)^-($E71+1))/NPV($B$13,$H$5:$H70))</f>
        <v/>
      </c>
      <c r="K71" s="220" t="str">
        <f ca="1">IF($E71="","",IFERROR(((G71+I71)/(NPV(K71,H$5:H70)*(1+K71)-NPV(K71,I$5:I70)*(1+K71)))^(1/E71)-1,0))</f>
        <v/>
      </c>
      <c r="L71" s="163" t="str">
        <f>IF(OR($E71&gt;=$B$9,$E71=0),"",MAX(Pricing!$U71-$I71-0.01*$B$11,$V71))</f>
        <v/>
      </c>
      <c r="M71" s="163" t="str">
        <f ca="1">IF($E71="","",ROUND(Pricing!Q71+Pricing!R71-SUMPRODUCT(Pricing!G71:G$116,Pricing!L71:L$116)/Pricing!H71-$I71,0))</f>
        <v/>
      </c>
      <c r="N71" s="163" t="str">
        <f t="shared" si="9"/>
        <v/>
      </c>
      <c r="O71" s="163">
        <f>IF(E71="","",IF(AND(Pricing!$K$3,$B$19),SUMIF(F71:F$116,"&gt;=" &amp; 16,Pricing!G71:G$116),SUM(Pricing!$G71:$G$116)))</f>
        <v>3353.4167779821896</v>
      </c>
      <c r="P71" s="427">
        <f>IF(OR($E71="",$E71=0),"",IF(OR(NOT($B$19),$F71&gt;=16,$E71=$B$10),0,((1+2.25%)*$P72*Pricing!$H72+(1+Pricing!$K$3)^0.5*Pricing!$G71)/Pricing!$H71))</f>
        <v>0</v>
      </c>
      <c r="Q71" s="163" t="str">
        <f>IF(OR($E71&gt;=$B$9,$E71=0,AND(NOT($B$19),$F71&lt;16)),"",MAX(Pricing!$I70,Pricing!$U71))</f>
        <v/>
      </c>
      <c r="R71" s="163" t="str">
        <f>IF($Q71="","",IF($L71=0,E71,COUNTIF($O72:$O$116,"&gt;=" &amp; $O71-$L71*(1-$P71)/$Q71*Pricing!$H71)+$E71))</f>
        <v/>
      </c>
      <c r="S71" s="163" t="str">
        <f>IF($Q71="","",IF($L71=0,0,IF(R71&lt;$B$10,ROUND((L71*(1-P71)-(O71-INDEX(O71:O$116,R71-E71+1))/Pricing!H71*Q71)/(INDEX(Pricing!G71:G$116,R71-E71+1)/Pricing!H71*Q71)*365,0),0)))</f>
        <v/>
      </c>
      <c r="T71" s="220" t="str">
        <f>IF(OR($Q71="",NOT($B$17)),"",IF($R71&lt;$B$10,0,ROUND(MIN(1,($L71-$O71/Pricing!$H71*$Q71)/(Pricing!$R71-Pricing!$O71)),4)))</f>
        <v/>
      </c>
      <c r="U71" s="163" t="str">
        <f>IF($Q71="","",IF($L71=0,0,IF(OR(R71&lt;$B$10,AND($B$17,$T71&lt;1)),0,$L71*(1-$P71)-$O71/Pricing!$H71*$Q71-IF($B$17,Pricing!$R71-Pricing!$O71,0))*IF($B$18=1,1,Pricing!$H71/IF($B$18=2,INDEX(Pricing!$H$5:$H$116,$B$9+1),INDEX(Pricing!$H$5:$H$116,$B$10+1)))))</f>
        <v/>
      </c>
      <c r="V71" s="425" t="str">
        <f ca="1">IF($E71="","",(1-$B$24*($B$10-$E71))*MIN($B$22+(1-$B$22)*$E71/MIN($B$23,$B$9),1)*(Pricing!$U71-$I71))</f>
        <v/>
      </c>
      <c r="W71" s="35">
        <f>IF($E71="","",IF(F71&gt;16,0,MAX(INDEX($L$6:$L$116,$W$4)*(1+2.25%)^0.5-INDEX($N$6:$N$116,$W$4)/$B$11*Pricing!M71,0)))</f>
        <v>0</v>
      </c>
      <c r="X71" s="428">
        <f>SUMPRODUCT(Reserve!G71:G$116,W71:W$116)/Reserve!H71</f>
        <v>0</v>
      </c>
    </row>
    <row r="72" spans="4:24" x14ac:dyDescent="0.3">
      <c r="D72" s="215">
        <v>67</v>
      </c>
      <c r="E72" s="217">
        <f t="shared" si="6"/>
        <v>67</v>
      </c>
      <c r="F72" s="228">
        <f t="shared" si="7"/>
        <v>102</v>
      </c>
      <c r="G72" s="162" t="str">
        <f ca="1">IF($E72="","",ROUND((1-$B$24*($B$10-$E72))*MIN($B$22+(1-$B$22)*$E72/MIN($B$23,$B$9),1)*(Pricing!$U72-$I72),0))</f>
        <v/>
      </c>
      <c r="H72" s="163">
        <f t="shared" si="8"/>
        <v>0</v>
      </c>
      <c r="I72" s="163">
        <f>IF($E72="","",Pricing!$N72+Pricing!$O72)</f>
        <v>0</v>
      </c>
      <c r="J72" s="220" t="str">
        <f ca="1">IF(OR($E72=0,$E72=""),"",(NPV($B$13,$I$5:$I72)+$G72*(1+$B$13)^-($E72+1))/NPV($B$13,$H$5:$H71))</f>
        <v/>
      </c>
      <c r="K72" s="220" t="str">
        <f ca="1">IF($E72="","",IFERROR(((G72+I72)/(NPV(K72,H$5:H71)*(1+K72)-NPV(K72,I$5:I71)*(1+K72)))^(1/E72)-1,0))</f>
        <v/>
      </c>
      <c r="L72" s="163" t="str">
        <f>IF(OR($E72&gt;=$B$9,$E72=0),"",MAX(Pricing!$U72-$I72-0.01*$B$11,$V72))</f>
        <v/>
      </c>
      <c r="M72" s="163" t="str">
        <f ca="1">IF($E72="","",ROUND(Pricing!Q72+Pricing!R72-SUMPRODUCT(Pricing!G72:G$116,Pricing!L72:L$116)/Pricing!H72-$I72,0))</f>
        <v/>
      </c>
      <c r="N72" s="163" t="str">
        <f t="shared" si="9"/>
        <v/>
      </c>
      <c r="O72" s="163">
        <f>IF(E72="","",IF(AND(Pricing!$K$3,$B$19),SUMIF(F72:F$116,"&gt;=" &amp; 16,Pricing!G72:G$116),SUM(Pricing!$G72:$G$116)))</f>
        <v>1912.4859511119862</v>
      </c>
      <c r="P72" s="427">
        <f>IF(OR($E72="",$E72=0),"",IF(OR(NOT($B$19),$F72&gt;=16,$E72=$B$10),0,((1+2.25%)*$P73*Pricing!$H73+(1+Pricing!$K$3)^0.5*Pricing!$G72)/Pricing!$H72))</f>
        <v>0</v>
      </c>
      <c r="Q72" s="163" t="str">
        <f>IF(OR($E72&gt;=$B$9,$E72=0,AND(NOT($B$19),$F72&lt;16)),"",MAX(Pricing!$I71,Pricing!$U72))</f>
        <v/>
      </c>
      <c r="R72" s="163" t="str">
        <f>IF($Q72="","",IF($L72=0,E72,COUNTIF($O73:$O$116,"&gt;=" &amp; $O72-$L72*(1-$P72)/$Q72*Pricing!$H72)+$E72))</f>
        <v/>
      </c>
      <c r="S72" s="163" t="str">
        <f>IF($Q72="","",IF($L72=0,0,IF(R72&lt;$B$10,ROUND((L72*(1-P72)-(O72-INDEX(O72:O$116,R72-E72+1))/Pricing!H72*Q72)/(INDEX(Pricing!G72:G$116,R72-E72+1)/Pricing!H72*Q72)*365,0),0)))</f>
        <v/>
      </c>
      <c r="T72" s="220" t="str">
        <f>IF(OR($Q72="",NOT($B$17)),"",IF($R72&lt;$B$10,0,ROUND(MIN(1,($L72-$O72/Pricing!$H72*$Q72)/(Pricing!$R72-Pricing!$O72)),4)))</f>
        <v/>
      </c>
      <c r="U72" s="163" t="str">
        <f>IF($Q72="","",IF($L72=0,0,IF(OR(R72&lt;$B$10,AND($B$17,$T72&lt;1)),0,$L72*(1-$P72)-$O72/Pricing!$H72*$Q72-IF($B$17,Pricing!$R72-Pricing!$O72,0))*IF($B$18=1,1,Pricing!$H72/IF($B$18=2,INDEX(Pricing!$H$5:$H$116,$B$9+1),INDEX(Pricing!$H$5:$H$116,$B$10+1)))))</f>
        <v/>
      </c>
      <c r="V72" s="425" t="str">
        <f ca="1">IF($E72="","",(1-$B$24*($B$10-$E72))*MIN($B$22+(1-$B$22)*$E72/MIN($B$23,$B$9),1)*(Pricing!$U72-$I72))</f>
        <v/>
      </c>
      <c r="W72" s="35">
        <f>IF($E72="","",IF(F72&gt;16,0,MAX(INDEX($L$6:$L$116,$W$4)*(1+2.25%)^0.5-INDEX($N$6:$N$116,$W$4)/$B$11*Pricing!M72,0)))</f>
        <v>0</v>
      </c>
      <c r="X72" s="428">
        <f>SUMPRODUCT(Reserve!G72:G$116,W72:W$116)/Reserve!H72</f>
        <v>0</v>
      </c>
    </row>
    <row r="73" spans="4:24" x14ac:dyDescent="0.3">
      <c r="D73" s="215">
        <v>68</v>
      </c>
      <c r="E73" s="217">
        <f t="shared" si="6"/>
        <v>68</v>
      </c>
      <c r="F73" s="228">
        <f t="shared" si="7"/>
        <v>103</v>
      </c>
      <c r="G73" s="162" t="str">
        <f ca="1">IF($E73="","",ROUND((1-$B$24*($B$10-$E73))*MIN($B$22+(1-$B$22)*$E73/MIN($B$23,$B$9),1)*(Pricing!$U73-$I73),0))</f>
        <v/>
      </c>
      <c r="H73" s="163">
        <f t="shared" si="8"/>
        <v>0</v>
      </c>
      <c r="I73" s="163">
        <f>IF($E73="","",Pricing!$N73+Pricing!$O73)</f>
        <v>0</v>
      </c>
      <c r="J73" s="220" t="str">
        <f ca="1">IF(OR($E73=0,$E73=""),"",(NPV($B$13,$I$5:$I73)+$G73*(1+$B$13)^-($E73+1))/NPV($B$13,$H$5:$H72))</f>
        <v/>
      </c>
      <c r="K73" s="220" t="str">
        <f ca="1">IF($E73="","",IFERROR(((G73+I73)/(NPV(K73,H$5:H72)*(1+K73)-NPV(K73,I$5:I72)*(1+K73)))^(1/E73)-1,0))</f>
        <v/>
      </c>
      <c r="L73" s="163" t="str">
        <f>IF(OR($E73&gt;=$B$9,$E73=0),"",MAX(Pricing!$U73-$I73-0.01*$B$11,$V73))</f>
        <v/>
      </c>
      <c r="M73" s="163" t="str">
        <f ca="1">IF($E73="","",ROUND(Pricing!Q73+Pricing!R73-SUMPRODUCT(Pricing!G73:G$116,Pricing!L73:L$116)/Pricing!H73-$I73,0))</f>
        <v/>
      </c>
      <c r="N73" s="163" t="str">
        <f t="shared" si="9"/>
        <v/>
      </c>
      <c r="O73" s="163">
        <f>IF(E73="","",IF(AND(Pricing!$K$3,$B$19),SUMIF(F73:F$116,"&gt;=" &amp; 16,Pricing!G73:G$116),SUM(Pricing!$G73:$G$116)))</f>
        <v>1037.0237340634478</v>
      </c>
      <c r="P73" s="427">
        <f>IF(OR($E73="",$E73=0),"",IF(OR(NOT($B$19),$F73&gt;=16,$E73=$B$10),0,((1+2.25%)*$P74*Pricing!$H74+(1+Pricing!$K$3)^0.5*Pricing!$G73)/Pricing!$H73))</f>
        <v>0</v>
      </c>
      <c r="Q73" s="163" t="str">
        <f>IF(OR($E73&gt;=$B$9,$E73=0,AND(NOT($B$19),$F73&lt;16)),"",MAX(Pricing!$I72,Pricing!$U73))</f>
        <v/>
      </c>
      <c r="R73" s="163" t="str">
        <f>IF($Q73="","",IF($L73=0,E73,COUNTIF($O74:$O$116,"&gt;=" &amp; $O73-$L73*(1-$P73)/$Q73*Pricing!$H73)+$E73))</f>
        <v/>
      </c>
      <c r="S73" s="163" t="str">
        <f>IF($Q73="","",IF($L73=0,0,IF(R73&lt;$B$10,ROUND((L73*(1-P73)-(O73-INDEX(O73:O$116,R73-E73+1))/Pricing!H73*Q73)/(INDEX(Pricing!G73:G$116,R73-E73+1)/Pricing!H73*Q73)*365,0),0)))</f>
        <v/>
      </c>
      <c r="T73" s="220" t="str">
        <f>IF(OR($Q73="",NOT($B$17)),"",IF($R73&lt;$B$10,0,ROUND(MIN(1,($L73-$O73/Pricing!$H73*$Q73)/(Pricing!$R73-Pricing!$O73)),4)))</f>
        <v/>
      </c>
      <c r="U73" s="163" t="str">
        <f>IF($Q73="","",IF($L73=0,0,IF(OR(R73&lt;$B$10,AND($B$17,$T73&lt;1)),0,$L73*(1-$P73)-$O73/Pricing!$H73*$Q73-IF($B$17,Pricing!$R73-Pricing!$O73,0))*IF($B$18=1,1,Pricing!$H73/IF($B$18=2,INDEX(Pricing!$H$5:$H$116,$B$9+1),INDEX(Pricing!$H$5:$H$116,$B$10+1)))))</f>
        <v/>
      </c>
      <c r="V73" s="425" t="str">
        <f ca="1">IF($E73="","",(1-$B$24*($B$10-$E73))*MIN($B$22+(1-$B$22)*$E73/MIN($B$23,$B$9),1)*(Pricing!$U73-$I73))</f>
        <v/>
      </c>
      <c r="W73" s="35">
        <f>IF($E73="","",IF(F73&gt;16,0,MAX(INDEX($L$6:$L$116,$W$4)*(1+2.25%)^0.5-INDEX($N$6:$N$116,$W$4)/$B$11*Pricing!M73,0)))</f>
        <v>0</v>
      </c>
      <c r="X73" s="428">
        <f>SUMPRODUCT(Reserve!G73:G$116,W73:W$116)/Reserve!H73</f>
        <v>0</v>
      </c>
    </row>
    <row r="74" spans="4:24" x14ac:dyDescent="0.3">
      <c r="D74" s="215">
        <v>69</v>
      </c>
      <c r="E74" s="217">
        <f t="shared" si="6"/>
        <v>69</v>
      </c>
      <c r="F74" s="228">
        <f t="shared" si="7"/>
        <v>104</v>
      </c>
      <c r="G74" s="162" t="str">
        <f ca="1">IF($E74="","",ROUND((1-$B$24*($B$10-$E74))*MIN($B$22+(1-$B$22)*$E74/MIN($B$23,$B$9),1)*(Pricing!$U74-$I74),0))</f>
        <v/>
      </c>
      <c r="H74" s="163">
        <f t="shared" si="8"/>
        <v>0</v>
      </c>
      <c r="I74" s="163">
        <f>IF($E74="","",Pricing!$N74+Pricing!$O74)</f>
        <v>0</v>
      </c>
      <c r="J74" s="220" t="str">
        <f ca="1">IF(OR($E74=0,$E74=""),"",(NPV($B$13,$I$5:$I74)+$G74*(1+$B$13)^-($E74+1))/NPV($B$13,$H$5:$H73))</f>
        <v/>
      </c>
      <c r="K74" s="220" t="str">
        <f ca="1">IF($E74="","",IFERROR(((G74+I74)/(NPV(K74,H$5:H73)*(1+K74)-NPV(K74,I$5:I73)*(1+K74)))^(1/E74)-1,0))</f>
        <v/>
      </c>
      <c r="L74" s="163" t="str">
        <f>IF(OR($E74&gt;=$B$9,$E74=0),"",MAX(Pricing!$U74-$I74-0.01*$B$11,$V74))</f>
        <v/>
      </c>
      <c r="M74" s="163" t="str">
        <f ca="1">IF($E74="","",ROUND(Pricing!Q74+Pricing!R74-SUMPRODUCT(Pricing!G74:G$116,Pricing!L74:L$116)/Pricing!H74-$I74,0))</f>
        <v/>
      </c>
      <c r="N74" s="163" t="str">
        <f t="shared" si="9"/>
        <v/>
      </c>
      <c r="O74" s="163">
        <f>IF(E74="","",IF(AND(Pricing!$K$3,$B$19),SUMIF(F74:F$116,"&gt;=" &amp; 16,Pricing!G74:G$116),SUM(Pricing!$G74:$G$116)))</f>
        <v>532.10196844118423</v>
      </c>
      <c r="P74" s="427">
        <f>IF(OR($E74="",$E74=0),"",IF(OR(NOT($B$19),$F74&gt;=16,$E74=$B$10),0,((1+2.25%)*$P75*Pricing!$H75+(1+Pricing!$K$3)^0.5*Pricing!$G74)/Pricing!$H74))</f>
        <v>0</v>
      </c>
      <c r="Q74" s="163" t="str">
        <f>IF(OR($E74&gt;=$B$9,$E74=0,AND(NOT($B$19),$F74&lt;16)),"",MAX(Pricing!$I73,Pricing!$U74))</f>
        <v/>
      </c>
      <c r="R74" s="163" t="str">
        <f>IF($Q74="","",IF($L74=0,E74,COUNTIF($O75:$O$116,"&gt;=" &amp; $O74-$L74*(1-$P74)/$Q74*Pricing!$H74)+$E74))</f>
        <v/>
      </c>
      <c r="S74" s="163" t="str">
        <f>IF($Q74="","",IF($L74=0,0,IF(R74&lt;$B$10,ROUND((L74*(1-P74)-(O74-INDEX(O74:O$116,R74-E74+1))/Pricing!H74*Q74)/(INDEX(Pricing!G74:G$116,R74-E74+1)/Pricing!H74*Q74)*365,0),0)))</f>
        <v/>
      </c>
      <c r="T74" s="220" t="str">
        <f>IF(OR($Q74="",NOT($B$17)),"",IF($R74&lt;$B$10,0,ROUND(MIN(1,($L74-$O74/Pricing!$H74*$Q74)/(Pricing!$R74-Pricing!$O74)),4)))</f>
        <v/>
      </c>
      <c r="U74" s="163" t="str">
        <f>IF($Q74="","",IF($L74=0,0,IF(OR(R74&lt;$B$10,AND($B$17,$T74&lt;1)),0,$L74*(1-$P74)-$O74/Pricing!$H74*$Q74-IF($B$17,Pricing!$R74-Pricing!$O74,0))*IF($B$18=1,1,Pricing!$H74/IF($B$18=2,INDEX(Pricing!$H$5:$H$116,$B$9+1),INDEX(Pricing!$H$5:$H$116,$B$10+1)))))</f>
        <v/>
      </c>
      <c r="V74" s="425" t="str">
        <f ca="1">IF($E74="","",(1-$B$24*($B$10-$E74))*MIN($B$22+(1-$B$22)*$E74/MIN($B$23,$B$9),1)*(Pricing!$U74-$I74))</f>
        <v/>
      </c>
      <c r="W74" s="35">
        <f>IF($E74="","",IF(F74&gt;16,0,MAX(INDEX($L$6:$L$116,$W$4)*(1+2.25%)^0.5-INDEX($N$6:$N$116,$W$4)/$B$11*Pricing!M74,0)))</f>
        <v>0</v>
      </c>
      <c r="X74" s="428">
        <f>SUMPRODUCT(Reserve!G74:G$116,W74:W$116)/Reserve!H74</f>
        <v>0</v>
      </c>
    </row>
    <row r="75" spans="4:24" x14ac:dyDescent="0.3">
      <c r="D75" s="215">
        <v>70</v>
      </c>
      <c r="E75" s="233">
        <f t="shared" si="6"/>
        <v>70</v>
      </c>
      <c r="F75" s="234">
        <f t="shared" si="7"/>
        <v>105</v>
      </c>
      <c r="G75" s="165" t="str">
        <f ca="1">IF($E75="","",ROUND((1-$B$24*($B$10-$E75))*MIN($B$22+(1-$B$22)*$E75/MIN($B$23,$B$9),1)*(Pricing!$U75-$I75),0))</f>
        <v/>
      </c>
      <c r="H75" s="166">
        <f t="shared" si="8"/>
        <v>0</v>
      </c>
      <c r="I75" s="166">
        <f>IF($E75="","",Pricing!$N75+Pricing!$O75)</f>
        <v>0</v>
      </c>
      <c r="J75" s="235" t="str">
        <f ca="1">IF(OR($E75=0,$E75=""),"",(NPV($B$13,$I$5:$I75)+$G75*(1+$B$13)^-($E75+1))/NPV($B$13,$H$5:$H74))</f>
        <v/>
      </c>
      <c r="K75" s="235" t="str">
        <f ca="1">IF($E75="","",IFERROR(((G75+I75)/(NPV(K75,H$5:H74)*(1+K75)-NPV(K75,I$5:I74)*(1+K75)))^(1/E75)-1,0))</f>
        <v/>
      </c>
      <c r="L75" s="166" t="str">
        <f>IF(OR($E75&gt;=$B$9,$E75=0),"",MAX(Pricing!$U75-$I75-0.01*$B$11,$V75))</f>
        <v/>
      </c>
      <c r="M75" s="166" t="str">
        <f ca="1">IF($E75="","",ROUND(Pricing!Q75+Pricing!R75-SUMPRODUCT(Pricing!G75:G$116,Pricing!L75:L$116)/Pricing!H75-$I75,0))</f>
        <v/>
      </c>
      <c r="N75" s="166" t="str">
        <f t="shared" si="9"/>
        <v/>
      </c>
      <c r="O75" s="166">
        <f>IF(E75="","",IF(AND(Pricing!$K$3,$B$19),SUMIF(F75:F$116,"&gt;=" &amp; 16,Pricing!G75:G$116),SUM(Pricing!$G75:$G$116)))</f>
        <v>256.89349192334396</v>
      </c>
      <c r="P75" s="429">
        <f>IF(OR($E75="",$E75=0),"",IF(OR(NOT($B$19),$F75&gt;=16,$E75=$B$10),0,((1+2.25%)*$P76*Pricing!$H76+(1+Pricing!$K$3)^0.5*Pricing!$G75)/Pricing!$H75))</f>
        <v>0</v>
      </c>
      <c r="Q75" s="166" t="str">
        <f>IF(OR($E75&gt;=$B$9,$E75=0,AND(NOT($B$19),$F75&lt;16)),"",MAX(Pricing!$I74,Pricing!$U75))</f>
        <v/>
      </c>
      <c r="R75" s="166" t="str">
        <f>IF($Q75="","",IF($L75=0,E75,COUNTIF($O76:$O$116,"&gt;=" &amp; $O75-$L75*(1-$P75)/$Q75*Pricing!$H75)+$E75))</f>
        <v/>
      </c>
      <c r="S75" s="166" t="str">
        <f>IF($Q75="","",IF($L75=0,0,IF(R75&lt;$B$10,ROUND((L75*(1-P75)-(O75-INDEX(O75:O$116,R75-E75+1))/Pricing!H75*Q75)/(INDEX(Pricing!G75:G$116,R75-E75+1)/Pricing!H75*Q75)*365,0),0)))</f>
        <v/>
      </c>
      <c r="T75" s="235" t="str">
        <f>IF(OR($Q75="",NOT($B$17)),"",IF($R75&lt;$B$10,0,ROUND(MIN(1,($L75-$O75/Pricing!$H75*$Q75)/(Pricing!$R75-Pricing!$O75)),4)))</f>
        <v/>
      </c>
      <c r="U75" s="166" t="str">
        <f>IF($Q75="","",IF($L75=0,0,IF(OR(R75&lt;$B$10,AND($B$17,$T75&lt;1)),0,$L75*(1-$P75)-$O75/Pricing!$H75*$Q75-IF($B$17,Pricing!$R75-Pricing!$O75,0))*IF($B$18=1,1,Pricing!$H75/IF($B$18=2,INDEX(Pricing!$H$5:$H$116,$B$9+1),INDEX(Pricing!$H$5:$H$116,$B$10+1)))))</f>
        <v/>
      </c>
      <c r="V75" s="425" t="str">
        <f ca="1">IF($E75="","",(1-$B$24*($B$10-$E75))*MIN($B$22+(1-$B$22)*$E75/MIN($B$23,$B$9),1)*(Pricing!$U75-$I75))</f>
        <v/>
      </c>
      <c r="W75" s="35">
        <f>IF($E75="","",IF(F75&gt;16,0,MAX(INDEX($L$6:$L$116,$W$4)*(1+2.25%)^0.5-INDEX($N$6:$N$116,$W$4)/$B$11*Pricing!M75,0)))</f>
        <v>0</v>
      </c>
      <c r="X75" s="428">
        <f>SUMPRODUCT(Reserve!G75:G$116,W75:W$116)/Reserve!H75</f>
        <v>0</v>
      </c>
    </row>
    <row r="76" spans="4:24" x14ac:dyDescent="0.3">
      <c r="D76" s="215">
        <v>71</v>
      </c>
      <c r="E76" s="217">
        <f t="shared" si="6"/>
        <v>71</v>
      </c>
      <c r="F76" s="228">
        <f t="shared" si="7"/>
        <v>106</v>
      </c>
      <c r="G76" s="162" t="str">
        <f ca="1">IF($E76="","",ROUND((1-$B$24*($B$10-$E76))*MIN($B$22+(1-$B$22)*$E76/MIN($B$23,$B$9),1)*(Pricing!$U76-$I76),0))</f>
        <v/>
      </c>
      <c r="H76" s="163">
        <f t="shared" si="8"/>
        <v>0</v>
      </c>
      <c r="I76" s="163">
        <f>IF($E76="","",Pricing!$N76+Pricing!$O76)</f>
        <v>0</v>
      </c>
      <c r="J76" s="220" t="str">
        <f ca="1">IF(OR($E76=0,$E76=""),"",(NPV($B$13,$I$5:$I76)+$G76*(1+$B$13)^-($E76+1))/NPV($B$13,$H$5:$H75))</f>
        <v/>
      </c>
      <c r="K76" s="220" t="str">
        <f ca="1">IF($E76="","",IFERROR(((G76+I76)/(NPV(K76,H$5:H75)*(1+K76)-NPV(K76,I$5:I75)*(1+K76)))^(1/E76)-1,0))</f>
        <v/>
      </c>
      <c r="L76" s="163" t="str">
        <f>IF(OR($E76&gt;=$B$9,$E76=0),"",MAX(Pricing!$U76-$I76-0.01*$B$11,$V76))</f>
        <v/>
      </c>
      <c r="M76" s="163" t="str">
        <f ca="1">IF($E76="","",ROUND(Pricing!Q76+Pricing!R76-SUMPRODUCT(Pricing!G76:G$116,Pricing!L76:L$116)/Pricing!H76-$I76,0))</f>
        <v/>
      </c>
      <c r="N76" s="163" t="str">
        <f t="shared" si="9"/>
        <v/>
      </c>
      <c r="O76" s="163">
        <f>IF(E76="","",IF(AND(Pricing!$K$3,$B$19),SUMIF(F76:F$116,"&gt;=" &amp; 16,Pricing!G76:G$116),SUM(Pricing!$G76:$G$116)))</f>
        <v>115.67206816158917</v>
      </c>
      <c r="P76" s="427">
        <f>IF(OR($E76="",$E76=0),"",IF(OR(NOT($B$19),$F76&gt;=16,$E76=$B$10),0,((1+2.25%)*$P77*Pricing!$H77+(1+Pricing!$K$3)^0.5*Pricing!$G76)/Pricing!$H76))</f>
        <v>0</v>
      </c>
      <c r="Q76" s="163" t="str">
        <f>IF(OR($E76&gt;=$B$9,$E76=0,AND(NOT($B$19),$F76&lt;16)),"",MAX(Pricing!$I75,Pricing!$U76))</f>
        <v/>
      </c>
      <c r="R76" s="163" t="str">
        <f>IF($Q76="","",IF($L76=0,E76,COUNTIF($O77:$O$116,"&gt;=" &amp; $O76-$L76*(1-$P76)/$Q76*Pricing!$H76)+$E76))</f>
        <v/>
      </c>
      <c r="S76" s="163" t="str">
        <f>IF($Q76="","",IF($L76=0,0,IF(R76&lt;$B$10,ROUND((L76*(1-P76)-(O76-INDEX(O76:O$116,R76-E76+1))/Pricing!H76*Q76)/(INDEX(Pricing!G76:G$116,R76-E76+1)/Pricing!H76*Q76)*365,0),0)))</f>
        <v/>
      </c>
      <c r="T76" s="220" t="str">
        <f>IF(OR($Q76="",NOT($B$17)),"",IF($R76&lt;$B$10,0,ROUND(MIN(1,($L76-$O76/Pricing!$H76*$Q76)/(Pricing!$R76-Pricing!$O76)),4)))</f>
        <v/>
      </c>
      <c r="U76" s="163" t="str">
        <f>IF($Q76="","",IF($L76=0,0,IF(OR(R76&lt;$B$10,AND($B$17,$T76&lt;1)),0,$L76*(1-$P76)-$O76/Pricing!$H76*$Q76-IF($B$17,Pricing!$R76-Pricing!$O76,0))*IF($B$18=1,1,Pricing!$H76/IF($B$18=2,INDEX(Pricing!$H$5:$H$116,$B$9+1),INDEX(Pricing!$H$5:$H$116,$B$10+1)))))</f>
        <v/>
      </c>
      <c r="V76" s="425" t="str">
        <f ca="1">IF($E76="","",(1-$B$24*($B$10-$E76))*MIN($B$22+(1-$B$22)*$E76/MIN($B$23,$B$9),1)*(Pricing!$U76-$I76))</f>
        <v/>
      </c>
      <c r="W76" s="35">
        <f>IF($E76="","",IF(F76&gt;16,0,MAX(INDEX($L$6:$L$116,$W$4)*(1+2.25%)^0.5-INDEX($N$6:$N$116,$W$4)/$B$11*Pricing!M76,0)))</f>
        <v>0</v>
      </c>
      <c r="X76" s="428">
        <f>SUMPRODUCT(Reserve!G76:G$116,W76:W$116)/Reserve!H76</f>
        <v>0</v>
      </c>
    </row>
    <row r="77" spans="4:24" x14ac:dyDescent="0.3">
      <c r="D77" s="215">
        <v>72</v>
      </c>
      <c r="E77" s="217">
        <f t="shared" si="6"/>
        <v>72</v>
      </c>
      <c r="F77" s="228">
        <f t="shared" si="7"/>
        <v>107</v>
      </c>
      <c r="G77" s="162" t="str">
        <f ca="1">IF($E77="","",ROUND((1-$B$24*($B$10-$E77))*MIN($B$22+(1-$B$22)*$E77/MIN($B$23,$B$9),1)*(Pricing!$U77-$I77),0))</f>
        <v/>
      </c>
      <c r="H77" s="163">
        <f t="shared" si="8"/>
        <v>0</v>
      </c>
      <c r="I77" s="163">
        <f>IF($E77="","",Pricing!$N77+Pricing!$O77)</f>
        <v>0</v>
      </c>
      <c r="J77" s="220" t="str">
        <f ca="1">IF(OR($E77=0,$E77=""),"",(NPV($B$13,$I$5:$I77)+$G77*(1+$B$13)^-($E77+1))/NPV($B$13,$H$5:$H76))</f>
        <v/>
      </c>
      <c r="K77" s="220" t="str">
        <f ca="1">IF($E77="","",IFERROR(((G77+I77)/(NPV(K77,H$5:H76)*(1+K77)-NPV(K77,I$5:I76)*(1+K77)))^(1/E77)-1,0))</f>
        <v/>
      </c>
      <c r="L77" s="163" t="str">
        <f>IF(OR($E77&gt;=$B$9,$E77=0),"",MAX(Pricing!$U77-$I77-0.01*$B$11,$V77))</f>
        <v/>
      </c>
      <c r="M77" s="163" t="str">
        <f ca="1">IF($E77="","",ROUND(Pricing!Q77+Pricing!R77-SUMPRODUCT(Pricing!G77:G$116,Pricing!L77:L$116)/Pricing!H77-$I77,0))</f>
        <v/>
      </c>
      <c r="N77" s="163" t="str">
        <f t="shared" si="9"/>
        <v/>
      </c>
      <c r="O77" s="163">
        <f>IF(E77="","",IF(AND(Pricing!$K$3,$B$19),SUMIF(F77:F$116,"&gt;=" &amp; 16,Pricing!G77:G$116),SUM(Pricing!$G77:$G$116)))</f>
        <v>47.784008772697717</v>
      </c>
      <c r="P77" s="427">
        <f>IF(OR($E77="",$E77=0),"",IF(OR(NOT($B$19),$F77&gt;=16,$E77=$B$10),0,((1+2.25%)*$P78*Pricing!$H78+(1+Pricing!$K$3)^0.5*Pricing!$G77)/Pricing!$H77))</f>
        <v>0</v>
      </c>
      <c r="Q77" s="163" t="str">
        <f>IF(OR($E77&gt;=$B$9,$E77=0,AND(NOT($B$19),$F77&lt;16)),"",MAX(Pricing!$I76,Pricing!$U77))</f>
        <v/>
      </c>
      <c r="R77" s="163" t="str">
        <f>IF($Q77="","",IF($L77=0,E77,COUNTIF($O78:$O$116,"&gt;=" &amp; $O77-$L77*(1-$P77)/$Q77*Pricing!$H77)+$E77))</f>
        <v/>
      </c>
      <c r="S77" s="163" t="str">
        <f>IF($Q77="","",IF($L77=0,0,IF(R77&lt;$B$10,ROUND((L77*(1-P77)-(O77-INDEX(O77:O$116,R77-E77+1))/Pricing!H77*Q77)/(INDEX(Pricing!G77:G$116,R77-E77+1)/Pricing!H77*Q77)*365,0),0)))</f>
        <v/>
      </c>
      <c r="T77" s="220" t="str">
        <f>IF(OR($Q77="",NOT($B$17)),"",IF($R77&lt;$B$10,0,ROUND(MIN(1,($L77-$O77/Pricing!$H77*$Q77)/(Pricing!$R77-Pricing!$O77)),4)))</f>
        <v/>
      </c>
      <c r="U77" s="163" t="str">
        <f>IF($Q77="","",IF($L77=0,0,IF(OR(R77&lt;$B$10,AND($B$17,$T77&lt;1)),0,$L77*(1-$P77)-$O77/Pricing!$H77*$Q77-IF($B$17,Pricing!$R77-Pricing!$O77,0))*IF($B$18=1,1,Pricing!$H77/IF($B$18=2,INDEX(Pricing!$H$5:$H$116,$B$9+1),INDEX(Pricing!$H$5:$H$116,$B$10+1)))))</f>
        <v/>
      </c>
      <c r="V77" s="425" t="str">
        <f ca="1">IF($E77="","",(1-$B$24*($B$10-$E77))*MIN($B$22+(1-$B$22)*$E77/MIN($B$23,$B$9),1)*(Pricing!$U77-$I77))</f>
        <v/>
      </c>
      <c r="W77" s="35">
        <f>IF($E77="","",IF(F77&gt;16,0,MAX(INDEX($L$6:$L$116,$W$4)*(1+2.25%)^0.5-INDEX($N$6:$N$116,$W$4)/$B$11*Pricing!M77,0)))</f>
        <v>0</v>
      </c>
      <c r="X77" s="428">
        <f>SUMPRODUCT(Reserve!G77:G$116,W77:W$116)/Reserve!H77</f>
        <v>0</v>
      </c>
    </row>
    <row r="78" spans="4:24" x14ac:dyDescent="0.3">
      <c r="D78" s="215">
        <v>73</v>
      </c>
      <c r="E78" s="217">
        <f t="shared" si="6"/>
        <v>73</v>
      </c>
      <c r="F78" s="228">
        <f t="shared" si="7"/>
        <v>108</v>
      </c>
      <c r="G78" s="162" t="str">
        <f ca="1">IF($E78="","",ROUND((1-$B$24*($B$10-$E78))*MIN($B$22+(1-$B$22)*$E78/MIN($B$23,$B$9),1)*(Pricing!$U78-$I78),0))</f>
        <v/>
      </c>
      <c r="H78" s="163">
        <f t="shared" si="8"/>
        <v>0</v>
      </c>
      <c r="I78" s="163">
        <f>IF($E78="","",Pricing!$N78+Pricing!$O78)</f>
        <v>0</v>
      </c>
      <c r="J78" s="220" t="str">
        <f ca="1">IF(OR($E78=0,$E78=""),"",(NPV($B$13,$I$5:$I78)+$G78*(1+$B$13)^-($E78+1))/NPV($B$13,$H$5:$H77))</f>
        <v/>
      </c>
      <c r="K78" s="220" t="str">
        <f ca="1">IF($E78="","",IFERROR(((G78+I78)/(NPV(K78,H$5:H77)*(1+K78)-NPV(K78,I$5:I77)*(1+K78)))^(1/E78)-1,0))</f>
        <v/>
      </c>
      <c r="L78" s="163" t="str">
        <f>IF(OR($E78&gt;=$B$9,$E78=0),"",MAX(Pricing!$U78-$I78-0.01*$B$11,$V78))</f>
        <v/>
      </c>
      <c r="M78" s="163" t="str">
        <f ca="1">IF($E78="","",ROUND(Pricing!Q78+Pricing!R78-SUMPRODUCT(Pricing!G78:G$116,Pricing!L78:L$116)/Pricing!H78-$I78,0))</f>
        <v/>
      </c>
      <c r="N78" s="163" t="str">
        <f t="shared" si="9"/>
        <v/>
      </c>
      <c r="O78" s="163">
        <f>IF(E78="","",IF(AND(Pricing!$K$3,$B$19),SUMIF(F78:F$116,"&gt;=" &amp; 16,Pricing!G78:G$116),SUM(Pricing!$G78:$G$116)))</f>
        <v>17.421927344350721</v>
      </c>
      <c r="P78" s="427">
        <f>IF(OR($E78="",$E78=0),"",IF(OR(NOT($B$19),$F78&gt;=16,$E78=$B$10),0,((1+2.25%)*$P79*Pricing!$H79+(1+Pricing!$K$3)^0.5*Pricing!$G78)/Pricing!$H78))</f>
        <v>0</v>
      </c>
      <c r="Q78" s="163" t="str">
        <f>IF(OR($E78&gt;=$B$9,$E78=0,AND(NOT($B$19),$F78&lt;16)),"",MAX(Pricing!$I77,Pricing!$U78))</f>
        <v/>
      </c>
      <c r="R78" s="163" t="str">
        <f>IF($Q78="","",IF($L78=0,E78,COUNTIF($O79:$O$116,"&gt;=" &amp; $O78-$L78*(1-$P78)/$Q78*Pricing!$H78)+$E78))</f>
        <v/>
      </c>
      <c r="S78" s="163" t="str">
        <f>IF($Q78="","",IF($L78=0,0,IF(R78&lt;$B$10,ROUND((L78*(1-P78)-(O78-INDEX(O78:O$116,R78-E78+1))/Pricing!H78*Q78)/(INDEX(Pricing!G78:G$116,R78-E78+1)/Pricing!H78*Q78)*365,0),0)))</f>
        <v/>
      </c>
      <c r="T78" s="220" t="str">
        <f>IF(OR($Q78="",NOT($B$17)),"",IF($R78&lt;$B$10,0,ROUND(MIN(1,($L78-$O78/Pricing!$H78*$Q78)/(Pricing!$R78-Pricing!$O78)),4)))</f>
        <v/>
      </c>
      <c r="U78" s="163" t="str">
        <f>IF($Q78="","",IF($L78=0,0,IF(OR(R78&lt;$B$10,AND($B$17,$T78&lt;1)),0,$L78*(1-$P78)-$O78/Pricing!$H78*$Q78-IF($B$17,Pricing!$R78-Pricing!$O78,0))*IF($B$18=1,1,Pricing!$H78/IF($B$18=2,INDEX(Pricing!$H$5:$H$116,$B$9+1),INDEX(Pricing!$H$5:$H$116,$B$10+1)))))</f>
        <v/>
      </c>
      <c r="V78" s="425" t="str">
        <f ca="1">IF($E78="","",(1-$B$24*($B$10-$E78))*MIN($B$22+(1-$B$22)*$E78/MIN($B$23,$B$9),1)*(Pricing!$U78-$I78))</f>
        <v/>
      </c>
      <c r="W78" s="35">
        <f>IF($E78="","",IF(F78&gt;16,0,MAX(INDEX($L$6:$L$116,$W$4)*(1+2.25%)^0.5-INDEX($N$6:$N$116,$W$4)/$B$11*Pricing!M78,0)))</f>
        <v>0</v>
      </c>
      <c r="X78" s="428">
        <f>SUMPRODUCT(Reserve!G78:G$116,W78:W$116)/Reserve!H78</f>
        <v>0</v>
      </c>
    </row>
    <row r="79" spans="4:24" x14ac:dyDescent="0.3">
      <c r="D79" s="215">
        <v>74</v>
      </c>
      <c r="E79" s="217">
        <f t="shared" si="6"/>
        <v>74</v>
      </c>
      <c r="F79" s="228">
        <f t="shared" si="7"/>
        <v>109</v>
      </c>
      <c r="G79" s="162" t="str">
        <f ca="1">IF($E79="","",ROUND((1-$B$24*($B$10-$E79))*MIN($B$22+(1-$B$22)*$E79/MIN($B$23,$B$9),1)*(Pricing!$U79-$I79),0))</f>
        <v/>
      </c>
      <c r="H79" s="163">
        <f t="shared" si="8"/>
        <v>0</v>
      </c>
      <c r="I79" s="163">
        <f>IF($E79="","",Pricing!$N79+Pricing!$O79)</f>
        <v>0</v>
      </c>
      <c r="J79" s="220" t="str">
        <f ca="1">IF(OR($E79=0,$E79=""),"",(NPV($B$13,$I$5:$I79)+$G79*(1+$B$13)^-($E79+1))/NPV($B$13,$H$5:$H78))</f>
        <v/>
      </c>
      <c r="K79" s="220" t="str">
        <f ca="1">IF($E79="","",IFERROR(((G79+I79)/(NPV(K79,H$5:H78)*(1+K79)-NPV(K79,I$5:I78)*(1+K79)))^(1/E79)-1,0))</f>
        <v/>
      </c>
      <c r="L79" s="163" t="str">
        <f>IF(OR($E79&gt;=$B$9,$E79=0),"",MAX(Pricing!$U79-$I79-0.01*$B$11,$V79))</f>
        <v/>
      </c>
      <c r="M79" s="163" t="str">
        <f ca="1">IF($E79="","",ROUND(Pricing!Q79+Pricing!R79-SUMPRODUCT(Pricing!G79:G$116,Pricing!L79:L$116)/Pricing!H79-$I79,0))</f>
        <v/>
      </c>
      <c r="N79" s="163" t="str">
        <f t="shared" si="9"/>
        <v/>
      </c>
      <c r="O79" s="163">
        <f>IF(E79="","",IF(AND(Pricing!$K$3,$B$19),SUMIF(F79:F$116,"&gt;=" &amp; 16,Pricing!G79:G$116),SUM(Pricing!$G79:$G$116)))</f>
        <v>4.8109352643527084</v>
      </c>
      <c r="P79" s="427">
        <f>IF(OR($E79="",$E79=0),"",IF(OR(NOT($B$19),$F79&gt;=16,$E79=$B$10),0,((1+2.25%)*$P80*Pricing!$H80+(1+Pricing!$K$3)^0.5*Pricing!$G79)/Pricing!$H79))</f>
        <v>0</v>
      </c>
      <c r="Q79" s="163" t="str">
        <f>IF(OR($E79&gt;=$B$9,$E79=0,AND(NOT($B$19),$F79&lt;16)),"",MAX(Pricing!$I78,Pricing!$U79))</f>
        <v/>
      </c>
      <c r="R79" s="163" t="str">
        <f>IF($Q79="","",IF($L79=0,E79,COUNTIF($O80:$O$116,"&gt;=" &amp; $O79-$L79*(1-$P79)/$Q79*Pricing!$H79)+$E79))</f>
        <v/>
      </c>
      <c r="S79" s="163" t="str">
        <f>IF($Q79="","",IF($L79=0,0,IF(R79&lt;$B$10,ROUND((L79*(1-P79)-(O79-INDEX(O79:O$116,R79-E79+1))/Pricing!H79*Q79)/(INDEX(Pricing!G79:G$116,R79-E79+1)/Pricing!H79*Q79)*365,0),0)))</f>
        <v/>
      </c>
      <c r="T79" s="220" t="str">
        <f>IF(OR($Q79="",NOT($B$17)),"",IF($R79&lt;$B$10,0,ROUND(MIN(1,($L79-$O79/Pricing!$H79*$Q79)/(Pricing!$R79-Pricing!$O79)),4)))</f>
        <v/>
      </c>
      <c r="U79" s="163" t="str">
        <f>IF($Q79="","",IF($L79=0,0,IF(OR(R79&lt;$B$10,AND($B$17,$T79&lt;1)),0,$L79*(1-$P79)-$O79/Pricing!$H79*$Q79-IF($B$17,Pricing!$R79-Pricing!$O79,0))*IF($B$18=1,1,Pricing!$H79/IF($B$18=2,INDEX(Pricing!$H$5:$H$116,$B$9+1),INDEX(Pricing!$H$5:$H$116,$B$10+1)))))</f>
        <v/>
      </c>
      <c r="V79" s="425" t="str">
        <f ca="1">IF($E79="","",(1-$B$24*($B$10-$E79))*MIN($B$22+(1-$B$22)*$E79/MIN($B$23,$B$9),1)*(Pricing!$U79-$I79))</f>
        <v/>
      </c>
      <c r="W79" s="35">
        <f>IF($E79="","",IF(F79&gt;16,0,MAX(INDEX($L$6:$L$116,$W$4)*(1+2.25%)^0.5-INDEX($N$6:$N$116,$W$4)/$B$11*Pricing!M79,0)))</f>
        <v>0</v>
      </c>
      <c r="X79" s="428">
        <f>SUMPRODUCT(Reserve!G79:G$116,W79:W$116)/Reserve!H79</f>
        <v>0</v>
      </c>
    </row>
    <row r="80" spans="4:24" x14ac:dyDescent="0.3">
      <c r="D80" s="215">
        <v>75</v>
      </c>
      <c r="E80" s="233">
        <f t="shared" si="6"/>
        <v>75</v>
      </c>
      <c r="F80" s="234">
        <f t="shared" si="7"/>
        <v>110</v>
      </c>
      <c r="G80" s="165">
        <f>IF($E80="","",ROUND((1-$B$24*($B$10-$E80))*MIN($B$22+(1-$B$22)*$E80/MIN($B$23,$B$9),1)*(Pricing!$U80-$I80),0))</f>
        <v>0</v>
      </c>
      <c r="H80" s="166">
        <f t="shared" si="8"/>
        <v>0</v>
      </c>
      <c r="I80" s="166">
        <f>IF($E80="","",Pricing!$N80+Pricing!$O80)</f>
        <v>34000</v>
      </c>
      <c r="J80" s="235">
        <f>IF(OR($E80=0,$E80=""),"",(NPV($B$13,$I$5:$I80)+$G80*(1+$B$13)^-($E80+1))/NPV($B$13,$H$5:$H79))</f>
        <v>1.9977106484723814</v>
      </c>
      <c r="K80" s="235" t="str">
        <f ca="1">IF($E80="","",IFERROR(((G80+I80)/(NPV(K80,H$5:H79)*(1+K80)-NPV(K80,I$5:I79)*(1+K80)))^(1/E80)-1,0))</f>
        <v/>
      </c>
      <c r="L80" s="166" t="str">
        <f>IF(OR($E80&gt;=$B$9,$E80=0),"",MAX(Pricing!$U80-$I80-0.01*$B$11,$V80))</f>
        <v/>
      </c>
      <c r="M80" s="166">
        <f>IF($E80="","",ROUND(Pricing!Q80+Pricing!R80-SUMPRODUCT(Pricing!G80:G$116,Pricing!L80:L$116)/Pricing!H80-$I80,0))</f>
        <v>0</v>
      </c>
      <c r="N80" s="166" t="str">
        <f t="shared" si="9"/>
        <v/>
      </c>
      <c r="O80" s="166">
        <f>IF(E80="","",IF(AND(Pricing!$K$3,$B$19),SUMIF(F80:F$116,"&gt;=" &amp; 16,Pricing!G80:G$116),SUM(Pricing!$G80:$G$116)))</f>
        <v>0</v>
      </c>
      <c r="P80" s="429">
        <f>IF(OR($E80="",$E80=0),"",IF(OR(NOT($B$19),$F80&gt;=16,$E80=$B$10),0,((1+2.25%)*$P81*Pricing!$H81+(1+Pricing!$K$3)^0.5*Pricing!$G80)/Pricing!$H80))</f>
        <v>0</v>
      </c>
      <c r="Q80" s="166" t="str">
        <f>IF(OR($E80&gt;=$B$9,$E80=0,AND(NOT($B$19),$F80&lt;16)),"",MAX(Pricing!$I79,Pricing!$U80))</f>
        <v/>
      </c>
      <c r="R80" s="166" t="str">
        <f>IF($Q80="","",IF($L80=0,E80,COUNTIF($O81:$O$116,"&gt;=" &amp; $O80-$L80*(1-$P80)/$Q80*Pricing!$H80)+$E80))</f>
        <v/>
      </c>
      <c r="S80" s="166" t="str">
        <f>IF($Q80="","",IF($L80=0,0,IF(R80&lt;$B$10,ROUND((L80*(1-P80)-(O80-INDEX(O80:O$116,R80-E80+1))/Pricing!H80*Q80)/(INDEX(Pricing!G80:G$116,R80-E80+1)/Pricing!H80*Q80)*365,0),0)))</f>
        <v/>
      </c>
      <c r="T80" s="235" t="str">
        <f>IF(OR($Q80="",NOT($B$17)),"",IF($R80&lt;$B$10,0,ROUND(MIN(1,($L80-$O80/Pricing!$H80*$Q80)/(Pricing!$R80-Pricing!$O80)),4)))</f>
        <v/>
      </c>
      <c r="U80" s="166" t="str">
        <f>IF($Q80="","",IF($L80=0,0,IF(OR(R80&lt;$B$10,AND($B$17,$T80&lt;1)),0,$L80*(1-$P80)-$O80/Pricing!$H80*$Q80-IF($B$17,Pricing!$R80-Pricing!$O80,0))*IF($B$18=1,1,Pricing!$H80/IF($B$18=2,INDEX(Pricing!$H$5:$H$116,$B$9+1),INDEX(Pricing!$H$5:$H$116,$B$10+1)))))</f>
        <v/>
      </c>
      <c r="V80" s="425">
        <f>IF($E80="","",(1-$B$24*($B$10-$E80))*MIN($B$22+(1-$B$22)*$E80/MIN($B$23,$B$9),1)*(Pricing!$U80-$I80))</f>
        <v>0</v>
      </c>
      <c r="W80" s="35">
        <f>IF($E80="","",IF(F80&gt;16,0,MAX(INDEX($L$6:$L$116,$W$4)*(1+2.25%)^0.5-INDEX($N$6:$N$116,$W$4)/$B$11*Pricing!M80,0)))</f>
        <v>0</v>
      </c>
      <c r="X80" s="428">
        <f>SUMPRODUCT(Reserve!G80:G$116,W80:W$116)/Reserve!H80</f>
        <v>0</v>
      </c>
    </row>
    <row r="81" spans="4:24" x14ac:dyDescent="0.3">
      <c r="D81" s="215">
        <v>76</v>
      </c>
      <c r="E81" s="217" t="str">
        <f t="shared" si="6"/>
        <v/>
      </c>
      <c r="F81" s="228" t="str">
        <f t="shared" si="7"/>
        <v/>
      </c>
      <c r="G81" s="162" t="str">
        <f>IF($E81="","",ROUND((1-$B$24*($B$10-$E81))*MIN($B$22+(1-$B$22)*$E81/MIN($B$23,$B$9),1)*(Pricing!$U81-$I81),0))</f>
        <v/>
      </c>
      <c r="H81" s="163" t="str">
        <f t="shared" si="8"/>
        <v/>
      </c>
      <c r="I81" s="163" t="str">
        <f>IF($E81="","",Pricing!$N81+Pricing!$O81)</f>
        <v/>
      </c>
      <c r="J81" s="220" t="str">
        <f>IF(OR($E81=0,$E81=""),"",(NPV($B$13,$I$5:$I81)+$G81*(1+$B$13)^-($E81+1))/NPV($B$13,$H$5:$H80))</f>
        <v/>
      </c>
      <c r="K81" s="220" t="str">
        <f>IF($E81="","",IFERROR(((G81+I81)/(NPV(K81,H$5:H80)*(1+K81)-NPV(K81,I$5:I80)*(1+K81)))^(1/E81)-1,0))</f>
        <v/>
      </c>
      <c r="L81" s="163" t="str">
        <f>IF(OR($E81&gt;=$B$9,$E81=0),"",MAX(Pricing!$U81-$I81-0.01*$B$11,$V81))</f>
        <v/>
      </c>
      <c r="M81" s="163" t="str">
        <f>IF($E81="","",ROUND(Pricing!Q81+Pricing!R81-SUMPRODUCT(Pricing!G81:G$116,Pricing!L81:L$116)/Pricing!H81-$I81,0))</f>
        <v/>
      </c>
      <c r="N81" s="163" t="str">
        <f t="shared" si="9"/>
        <v/>
      </c>
      <c r="O81" s="163" t="str">
        <f>IF(E81="","",IF(AND(Pricing!$K$3,$B$19),SUMIF(F81:F$116,"&gt;=" &amp; 16,Pricing!G81:G$116),SUM(Pricing!$G81:$G$116)))</f>
        <v/>
      </c>
      <c r="P81" s="427" t="str">
        <f>IF(OR($E81="",$E81=0),"",IF(OR(NOT($B$19),$F81&gt;=16,$E81=$B$10),0,((1+2.25%)*$P82*Pricing!$H82+(1+Pricing!$K$3)^0.5*Pricing!$G81)/Pricing!$H81))</f>
        <v/>
      </c>
      <c r="Q81" s="163" t="str">
        <f>IF(OR($E81&gt;=$B$9,$E81=0,AND(NOT($B$19),$F81&lt;16)),"",MAX(Pricing!$I80,Pricing!$U81))</f>
        <v/>
      </c>
      <c r="R81" s="163" t="str">
        <f>IF($Q81="","",IF($L81=0,E81,COUNTIF($O82:$O$116,"&gt;=" &amp; $O81-$L81*(1-$P81)/$Q81*Pricing!$H81)+$E81))</f>
        <v/>
      </c>
      <c r="S81" s="163" t="str">
        <f>IF($Q81="","",IF($L81=0,0,IF(R81&lt;$B$10,ROUND((L81*(1-P81)-(O81-INDEX(O81:O$116,R81-E81+1))/Pricing!H81*Q81)/(INDEX(Pricing!G81:G$116,R81-E81+1)/Pricing!H81*Q81)*365,0),0)))</f>
        <v/>
      </c>
      <c r="T81" s="220" t="str">
        <f>IF(OR($Q81="",NOT($B$17)),"",IF($R81&lt;$B$10,0,ROUND(MIN(1,($L81-$O81/Pricing!$H81*$Q81)/(Pricing!$R81-Pricing!$O81)),4)))</f>
        <v/>
      </c>
      <c r="U81" s="163" t="str">
        <f>IF($Q81="","",IF($L81=0,0,IF(OR(R81&lt;$B$10,AND($B$17,$T81&lt;1)),0,$L81*(1-$P81)-$O81/Pricing!$H81*$Q81-IF($B$17,Pricing!$R81-Pricing!$O81,0))*IF($B$18=1,1,Pricing!$H81/IF($B$18=2,INDEX(Pricing!$H$5:$H$116,$B$9+1),INDEX(Pricing!$H$5:$H$116,$B$10+1)))))</f>
        <v/>
      </c>
      <c r="V81" s="425" t="str">
        <f>IF($E81="","",(1-$B$24*($B$10-$E81))*MIN($B$22+(1-$B$22)*$E81/MIN($B$23,$B$9),1)*(Pricing!$U81-$I81))</f>
        <v/>
      </c>
      <c r="W81" s="35" t="str">
        <f>IF($E81="","",IF(F81&gt;16,0,MAX(INDEX($L$6:$L$116,$W$4)*(1+2.25%)^0.5-INDEX($N$6:$N$116,$W$4)/$B$11*Pricing!M81,0)))</f>
        <v/>
      </c>
      <c r="X81" s="428" t="e">
        <f>SUMPRODUCT(Reserve!G81:G$116,W81:W$116)/Reserve!H81</f>
        <v>#VALUE!</v>
      </c>
    </row>
    <row r="82" spans="4:24" x14ac:dyDescent="0.3">
      <c r="D82" s="215">
        <v>77</v>
      </c>
      <c r="E82" s="217" t="str">
        <f t="shared" si="6"/>
        <v/>
      </c>
      <c r="F82" s="228" t="str">
        <f t="shared" si="7"/>
        <v/>
      </c>
      <c r="G82" s="162" t="str">
        <f>IF($E82="","",ROUND((1-$B$24*($B$10-$E82))*MIN($B$22+(1-$B$22)*$E82/MIN($B$23,$B$9),1)*(Pricing!$U82-$I82),0))</f>
        <v/>
      </c>
      <c r="H82" s="163" t="str">
        <f t="shared" si="8"/>
        <v/>
      </c>
      <c r="I82" s="163" t="str">
        <f>IF($E82="","",Pricing!$N82+Pricing!$O82)</f>
        <v/>
      </c>
      <c r="J82" s="220" t="str">
        <f>IF(OR($E82=0,$E82=""),"",(NPV($B$13,$I$5:$I82)+$G82*(1+$B$13)^-($E82+1))/NPV($B$13,$H$5:$H81))</f>
        <v/>
      </c>
      <c r="K82" s="220" t="str">
        <f>IF($E82="","",IFERROR(((G82+I82)/(NPV(K82,H$5:H81)*(1+K82)-NPV(K82,I$5:I81)*(1+K82)))^(1/E82)-1,0))</f>
        <v/>
      </c>
      <c r="L82" s="163" t="str">
        <f>IF(OR($E82&gt;=$B$9,$E82=0),"",MAX(Pricing!$U82-$I82-0.01*$B$11,$V82))</f>
        <v/>
      </c>
      <c r="M82" s="163" t="str">
        <f>IF($E82="","",ROUND(Pricing!Q82+Pricing!R82-SUMPRODUCT(Pricing!G82:G$116,Pricing!L82:L$116)/Pricing!H82-$I82,0))</f>
        <v/>
      </c>
      <c r="N82" s="163" t="str">
        <f t="shared" si="9"/>
        <v/>
      </c>
      <c r="O82" s="163" t="str">
        <f>IF(E82="","",IF(AND(Pricing!$K$3,$B$19),SUMIF(F82:F$116,"&gt;=" &amp; 16,Pricing!G82:G$116),SUM(Pricing!$G82:$G$116)))</f>
        <v/>
      </c>
      <c r="P82" s="427" t="str">
        <f>IF(OR($E82="",$E82=0),"",IF(OR(NOT($B$19),$F82&gt;=16,$E82=$B$10),0,((1+2.25%)*$P83*Pricing!$H83+(1+Pricing!$K$3)^0.5*Pricing!$G82)/Pricing!$H82))</f>
        <v/>
      </c>
      <c r="Q82" s="163" t="str">
        <f>IF(OR($E82&gt;=$B$9,$E82=0,AND(NOT($B$19),$F82&lt;16)),"",MAX(Pricing!$I81,Pricing!$U82))</f>
        <v/>
      </c>
      <c r="R82" s="163" t="str">
        <f>IF($Q82="","",IF($L82=0,E82,COUNTIF($O83:$O$116,"&gt;=" &amp; $O82-$L82*(1-$P82)/$Q82*Pricing!$H82)+$E82))</f>
        <v/>
      </c>
      <c r="S82" s="163" t="str">
        <f>IF($Q82="","",IF($L82=0,0,IF(R82&lt;$B$10,ROUND((L82*(1-P82)-(O82-INDEX(O82:O$116,R82-E82+1))/Pricing!H82*Q82)/(INDEX(Pricing!G82:G$116,R82-E82+1)/Pricing!H82*Q82)*365,0),0)))</f>
        <v/>
      </c>
      <c r="T82" s="220" t="str">
        <f>IF(OR($Q82="",NOT($B$17)),"",IF($R82&lt;$B$10,0,ROUND(MIN(1,($L82-$O82/Pricing!$H82*$Q82)/(Pricing!$R82-Pricing!$O82)),4)))</f>
        <v/>
      </c>
      <c r="U82" s="163" t="str">
        <f>IF($Q82="","",IF($L82=0,0,IF(OR(R82&lt;$B$10,AND($B$17,$T82&lt;1)),0,$L82*(1-$P82)-$O82/Pricing!$H82*$Q82-IF($B$17,Pricing!$R82-Pricing!$O82,0))*IF($B$18=1,1,Pricing!$H82/IF($B$18=2,INDEX(Pricing!$H$5:$H$116,$B$9+1),INDEX(Pricing!$H$5:$H$116,$B$10+1)))))</f>
        <v/>
      </c>
      <c r="V82" s="425" t="str">
        <f>IF($E82="","",(1-$B$24*($B$10-$E82))*MIN($B$22+(1-$B$22)*$E82/MIN($B$23,$B$9),1)*(Pricing!$U82-$I82))</f>
        <v/>
      </c>
      <c r="W82" s="35" t="str">
        <f>IF($E82="","",IF(F82&gt;16,0,MAX(INDEX($L$6:$L$116,$W$4)*(1+2.25%)^0.5-INDEX($N$6:$N$116,$W$4)/$B$11*Pricing!M82,0)))</f>
        <v/>
      </c>
      <c r="X82" s="428" t="e">
        <f>SUMPRODUCT(Reserve!G82:G$116,W82:W$116)/Reserve!H82</f>
        <v>#VALUE!</v>
      </c>
    </row>
    <row r="83" spans="4:24" x14ac:dyDescent="0.3">
      <c r="D83" s="215">
        <v>78</v>
      </c>
      <c r="E83" s="217" t="str">
        <f t="shared" si="6"/>
        <v/>
      </c>
      <c r="F83" s="228" t="str">
        <f t="shared" si="7"/>
        <v/>
      </c>
      <c r="G83" s="162" t="str">
        <f>IF($E83="","",ROUND((1-$B$24*($B$10-$E83))*MIN($B$22+(1-$B$22)*$E83/MIN($B$23,$B$9),1)*(Pricing!$U83-$I83),0))</f>
        <v/>
      </c>
      <c r="H83" s="163" t="str">
        <f t="shared" si="8"/>
        <v/>
      </c>
      <c r="I83" s="163" t="str">
        <f>IF($E83="","",Pricing!$N83+Pricing!$O83)</f>
        <v/>
      </c>
      <c r="J83" s="220" t="str">
        <f>IF(OR($E83=0,$E83=""),"",(NPV($B$13,$I$5:$I83)+$G83*(1+$B$13)^-($E83+1))/NPV($B$13,$H$5:$H82))</f>
        <v/>
      </c>
      <c r="K83" s="220" t="str">
        <f>IF($E83="","",IFERROR(((G83+I83)/(NPV(K83,H$5:H82)*(1+K83)-NPV(K83,I$5:I82)*(1+K83)))^(1/E83)-1,0))</f>
        <v/>
      </c>
      <c r="L83" s="163" t="str">
        <f>IF(OR($E83&gt;=$B$9,$E83=0),"",MAX(Pricing!$U83-$I83-0.01*$B$11,$V83))</f>
        <v/>
      </c>
      <c r="M83" s="163" t="str">
        <f>IF($E83="","",ROUND(Pricing!Q83+Pricing!R83-SUMPRODUCT(Pricing!G83:G$116,Pricing!L83:L$116)/Pricing!H83-$I83,0))</f>
        <v/>
      </c>
      <c r="N83" s="163" t="str">
        <f t="shared" si="9"/>
        <v/>
      </c>
      <c r="O83" s="163" t="str">
        <f>IF(E83="","",IF(AND(Pricing!$K$3,$B$19),SUMIF(F83:F$116,"&gt;=" &amp; 16,Pricing!G83:G$116),SUM(Pricing!$G83:$G$116)))</f>
        <v/>
      </c>
      <c r="P83" s="427" t="str">
        <f>IF(OR($E83="",$E83=0),"",IF(OR(NOT($B$19),$F83&gt;=16,$E83=$B$10),0,((1+2.25%)*$P84*Pricing!$H84+(1+Pricing!$K$3)^0.5*Pricing!$G83)/Pricing!$H83))</f>
        <v/>
      </c>
      <c r="Q83" s="163" t="str">
        <f>IF(OR($E83&gt;=$B$9,$E83=0,AND(NOT($B$19),$F83&lt;16)),"",MAX(Pricing!$I82,Pricing!$U83))</f>
        <v/>
      </c>
      <c r="R83" s="163" t="str">
        <f>IF($Q83="","",IF($L83=0,E83,COUNTIF($O84:$O$116,"&gt;=" &amp; $O83-$L83*(1-$P83)/$Q83*Pricing!$H83)+$E83))</f>
        <v/>
      </c>
      <c r="S83" s="163" t="str">
        <f>IF($Q83="","",IF($L83=0,0,IF(R83&lt;$B$10,ROUND((L83*(1-P83)-(O83-INDEX(O83:O$116,R83-E83+1))/Pricing!H83*Q83)/(INDEX(Pricing!G83:G$116,R83-E83+1)/Pricing!H83*Q83)*365,0),0)))</f>
        <v/>
      </c>
      <c r="T83" s="220" t="str">
        <f>IF(OR($Q83="",NOT($B$17)),"",IF($R83&lt;$B$10,0,ROUND(MIN(1,($L83-$O83/Pricing!$H83*$Q83)/(Pricing!$R83-Pricing!$O83)),4)))</f>
        <v/>
      </c>
      <c r="U83" s="163" t="str">
        <f>IF($Q83="","",IF($L83=0,0,IF(OR(R83&lt;$B$10,AND($B$17,$T83&lt;1)),0,$L83*(1-$P83)-$O83/Pricing!$H83*$Q83-IF($B$17,Pricing!$R83-Pricing!$O83,0))*IF($B$18=1,1,Pricing!$H83/IF($B$18=2,INDEX(Pricing!$H$5:$H$116,$B$9+1),INDEX(Pricing!$H$5:$H$116,$B$10+1)))))</f>
        <v/>
      </c>
      <c r="V83" s="425" t="str">
        <f>IF($E83="","",(1-$B$24*($B$10-$E83))*MIN($B$22+(1-$B$22)*$E83/MIN($B$23,$B$9),1)*(Pricing!$U83-$I83))</f>
        <v/>
      </c>
      <c r="W83" s="35" t="str">
        <f>IF($E83="","",IF(F83&gt;16,0,MAX(INDEX($L$6:$L$116,$W$4)*(1+2.25%)^0.5-INDEX($N$6:$N$116,$W$4)/$B$11*Pricing!M83,0)))</f>
        <v/>
      </c>
      <c r="X83" s="428" t="e">
        <f>SUMPRODUCT(Reserve!G83:G$116,W83:W$116)/Reserve!H83</f>
        <v>#VALUE!</v>
      </c>
    </row>
    <row r="84" spans="4:24" x14ac:dyDescent="0.3">
      <c r="D84" s="215">
        <v>79</v>
      </c>
      <c r="E84" s="217" t="str">
        <f t="shared" si="6"/>
        <v/>
      </c>
      <c r="F84" s="228" t="str">
        <f t="shared" si="7"/>
        <v/>
      </c>
      <c r="G84" s="162" t="str">
        <f>IF($E84="","",ROUND((1-$B$24*($B$10-$E84))*MIN($B$22+(1-$B$22)*$E84/MIN($B$23,$B$9),1)*(Pricing!$U84-$I84),0))</f>
        <v/>
      </c>
      <c r="H84" s="163" t="str">
        <f t="shared" si="8"/>
        <v/>
      </c>
      <c r="I84" s="163" t="str">
        <f>IF($E84="","",Pricing!$N84+Pricing!$O84)</f>
        <v/>
      </c>
      <c r="J84" s="220" t="str">
        <f>IF(OR($E84=0,$E84=""),"",(NPV($B$13,$I$5:$I84)+$G84*(1+$B$13)^-($E84+1))/NPV($B$13,$H$5:$H83))</f>
        <v/>
      </c>
      <c r="K84" s="220" t="str">
        <f>IF($E84="","",IFERROR(((G84+I84)/(NPV(K84,H$5:H83)*(1+K84)-NPV(K84,I$5:I83)*(1+K84)))^(1/E84)-1,0))</f>
        <v/>
      </c>
      <c r="L84" s="163" t="str">
        <f>IF(OR($E84&gt;=$B$9,$E84=0),"",MAX(Pricing!$U84-$I84-0.01*$B$11,$V84))</f>
        <v/>
      </c>
      <c r="M84" s="163" t="str">
        <f>IF($E84="","",ROUND(Pricing!Q84+Pricing!R84-SUMPRODUCT(Pricing!G84:G$116,Pricing!L84:L$116)/Pricing!H84-$I84,0))</f>
        <v/>
      </c>
      <c r="N84" s="163" t="str">
        <f t="shared" si="9"/>
        <v/>
      </c>
      <c r="O84" s="163" t="str">
        <f>IF(E84="","",IF(AND(Pricing!$K$3,$B$19),SUMIF(F84:F$116,"&gt;=" &amp; 16,Pricing!G84:G$116),SUM(Pricing!$G84:$G$116)))</f>
        <v/>
      </c>
      <c r="P84" s="427" t="str">
        <f>IF(OR($E84="",$E84=0),"",IF(OR(NOT($B$19),$F84&gt;=16,$E84=$B$10),0,((1+2.25%)*$P85*Pricing!$H85+(1+Pricing!$K$3)^0.5*Pricing!$G84)/Pricing!$H84))</f>
        <v/>
      </c>
      <c r="Q84" s="163" t="str">
        <f>IF(OR($E84&gt;=$B$9,$E84=0,AND(NOT($B$19),$F84&lt;16)),"",MAX(Pricing!$I83,Pricing!$U84))</f>
        <v/>
      </c>
      <c r="R84" s="163" t="str">
        <f>IF($Q84="","",IF($L84=0,E84,COUNTIF($O85:$O$116,"&gt;=" &amp; $O84-$L84*(1-$P84)/$Q84*Pricing!$H84)+$E84))</f>
        <v/>
      </c>
      <c r="S84" s="163" t="str">
        <f>IF($Q84="","",IF($L84=0,0,IF(R84&lt;$B$10,ROUND((L84*(1-P84)-(O84-INDEX(O84:O$116,R84-E84+1))/Pricing!H84*Q84)/(INDEX(Pricing!G84:G$116,R84-E84+1)/Pricing!H84*Q84)*365,0),0)))</f>
        <v/>
      </c>
      <c r="T84" s="220" t="str">
        <f>IF(OR($Q84="",NOT($B$17)),"",IF($R84&lt;$B$10,0,ROUND(MIN(1,($L84-$O84/Pricing!$H84*$Q84)/(Pricing!$R84-Pricing!$O84)),4)))</f>
        <v/>
      </c>
      <c r="U84" s="163" t="str">
        <f>IF($Q84="","",IF($L84=0,0,IF(OR(R84&lt;$B$10,AND($B$17,$T84&lt;1)),0,$L84*(1-$P84)-$O84/Pricing!$H84*$Q84-IF($B$17,Pricing!$R84-Pricing!$O84,0))*IF($B$18=1,1,Pricing!$H84/IF($B$18=2,INDEX(Pricing!$H$5:$H$116,$B$9+1),INDEX(Pricing!$H$5:$H$116,$B$10+1)))))</f>
        <v/>
      </c>
      <c r="V84" s="425" t="str">
        <f>IF($E84="","",(1-$B$24*($B$10-$E84))*MIN($B$22+(1-$B$22)*$E84/MIN($B$23,$B$9),1)*(Pricing!$U84-$I84))</f>
        <v/>
      </c>
      <c r="W84" s="35" t="str">
        <f>IF($E84="","",IF(F84&gt;16,0,MAX(INDEX($L$6:$L$116,$W$4)*(1+2.25%)^0.5-INDEX($N$6:$N$116,$W$4)/$B$11*Pricing!M84,0)))</f>
        <v/>
      </c>
      <c r="X84" s="428" t="e">
        <f>SUMPRODUCT(Reserve!G84:G$116,W84:W$116)/Reserve!H84</f>
        <v>#VALUE!</v>
      </c>
    </row>
    <row r="85" spans="4:24" x14ac:dyDescent="0.3">
      <c r="D85" s="215">
        <v>80</v>
      </c>
      <c r="E85" s="233" t="str">
        <f t="shared" si="6"/>
        <v/>
      </c>
      <c r="F85" s="234" t="str">
        <f t="shared" si="7"/>
        <v/>
      </c>
      <c r="G85" s="165" t="str">
        <f>IF($E85="","",ROUND((1-$B$24*($B$10-$E85))*MIN($B$22+(1-$B$22)*$E85/MIN($B$23,$B$9),1)*(Pricing!$U85-$I85),0))</f>
        <v/>
      </c>
      <c r="H85" s="166" t="str">
        <f t="shared" si="8"/>
        <v/>
      </c>
      <c r="I85" s="166" t="str">
        <f>IF($E85="","",Pricing!$N85+Pricing!$O85)</f>
        <v/>
      </c>
      <c r="J85" s="235" t="str">
        <f>IF(OR($E85=0,$E85=""),"",(NPV($B$13,$I$5:$I85)+$G85*(1+$B$13)^-($E85+1))/NPV($B$13,$H$5:$H84))</f>
        <v/>
      </c>
      <c r="K85" s="235" t="str">
        <f>IF($E85="","",IFERROR(((G85+I85)/(NPV(K85,H$5:H84)*(1+K85)-NPV(K85,I$5:I84)*(1+K85)))^(1/E85)-1,0))</f>
        <v/>
      </c>
      <c r="L85" s="166" t="str">
        <f>IF(OR($E85&gt;=$B$9,$E85=0),"",MAX(Pricing!$U85-$I85-0.01*$B$11,$V85))</f>
        <v/>
      </c>
      <c r="M85" s="166" t="str">
        <f>IF($E85="","",ROUND(Pricing!Q85+Pricing!R85-SUMPRODUCT(Pricing!G85:G$116,Pricing!L85:L$116)/Pricing!H85-$I85,0))</f>
        <v/>
      </c>
      <c r="N85" s="166" t="str">
        <f t="shared" si="9"/>
        <v/>
      </c>
      <c r="O85" s="166" t="str">
        <f>IF(E85="","",IF(AND(Pricing!$K$3,$B$19),SUMIF(F85:F$116,"&gt;=" &amp; 16,Pricing!G85:G$116),SUM(Pricing!$G85:$G$116)))</f>
        <v/>
      </c>
      <c r="P85" s="429" t="str">
        <f>IF(OR($E85="",$E85=0),"",IF(OR(NOT($B$19),$F85&gt;=16,$E85=$B$10),0,((1+2.25%)*$P86*Pricing!$H86+(1+Pricing!$K$3)^0.5*Pricing!$G85)/Pricing!$H85))</f>
        <v/>
      </c>
      <c r="Q85" s="166" t="str">
        <f>IF(OR($E85&gt;=$B$9,$E85=0,AND(NOT($B$19),$F85&lt;16)),"",MAX(Pricing!$I84,Pricing!$U85))</f>
        <v/>
      </c>
      <c r="R85" s="166" t="str">
        <f>IF($Q85="","",IF($L85=0,E85,COUNTIF($O86:$O$116,"&gt;=" &amp; $O85-$L85*(1-$P85)/$Q85*Pricing!$H85)+$E85))</f>
        <v/>
      </c>
      <c r="S85" s="166" t="str">
        <f>IF($Q85="","",IF($L85=0,0,IF(R85&lt;$B$10,ROUND((L85*(1-P85)-(O85-INDEX(O85:O$116,R85-E85+1))/Pricing!H85*Q85)/(INDEX(Pricing!G85:G$116,R85-E85+1)/Pricing!H85*Q85)*365,0),0)))</f>
        <v/>
      </c>
      <c r="T85" s="235" t="str">
        <f>IF(OR($Q85="",NOT($B$17)),"",IF($R85&lt;$B$10,0,ROUND(MIN(1,($L85-$O85/Pricing!$H85*$Q85)/(Pricing!$R85-Pricing!$O85)),4)))</f>
        <v/>
      </c>
      <c r="U85" s="166" t="str">
        <f>IF($Q85="","",IF($L85=0,0,IF(OR(R85&lt;$B$10,AND($B$17,$T85&lt;1)),0,$L85*(1-$P85)-$O85/Pricing!$H85*$Q85-IF($B$17,Pricing!$R85-Pricing!$O85,0))*IF($B$18=1,1,Pricing!$H85/IF($B$18=2,INDEX(Pricing!$H$5:$H$116,$B$9+1),INDEX(Pricing!$H$5:$H$116,$B$10+1)))))</f>
        <v/>
      </c>
      <c r="V85" s="425" t="str">
        <f>IF($E85="","",(1-$B$24*($B$10-$E85))*MIN($B$22+(1-$B$22)*$E85/MIN($B$23,$B$9),1)*(Pricing!$U85-$I85))</f>
        <v/>
      </c>
      <c r="W85" s="35" t="str">
        <f>IF($E85="","",IF(F85&gt;16,0,MAX(INDEX($L$6:$L$116,$W$4)*(1+2.25%)^0.5-INDEX($N$6:$N$116,$W$4)/$B$11*Pricing!M85,0)))</f>
        <v/>
      </c>
      <c r="X85" s="428" t="e">
        <f>SUMPRODUCT(Reserve!G85:G$116,W85:W$116)/Reserve!H85</f>
        <v>#VALUE!</v>
      </c>
    </row>
    <row r="86" spans="4:24" x14ac:dyDescent="0.3">
      <c r="D86" s="215">
        <v>81</v>
      </c>
      <c r="E86" s="217" t="str">
        <f t="shared" si="6"/>
        <v/>
      </c>
      <c r="F86" s="228" t="str">
        <f t="shared" si="7"/>
        <v/>
      </c>
      <c r="G86" s="162" t="str">
        <f>IF($E86="","",ROUND((1-$B$24*($B$10-$E86))*MIN($B$22+(1-$B$22)*$E86/MIN($B$23,$B$9),1)*(Pricing!$U86-$I86),0))</f>
        <v/>
      </c>
      <c r="H86" s="163" t="str">
        <f t="shared" si="8"/>
        <v/>
      </c>
      <c r="I86" s="163" t="str">
        <f>IF($E86="","",Pricing!$N86+Pricing!$O86)</f>
        <v/>
      </c>
      <c r="J86" s="220" t="str">
        <f>IF(OR($E86=0,$E86=""),"",(NPV($B$13,$I$5:$I86)+$G86*(1+$B$13)^-($E86+1))/NPV($B$13,$H$5:$H85))</f>
        <v/>
      </c>
      <c r="K86" s="220" t="str">
        <f>IF($E86="","",IFERROR(((G86+I86)/(NPV(K86,H$5:H85)*(1+K86)-NPV(K86,I$5:I85)*(1+K86)))^(1/E86)-1,0))</f>
        <v/>
      </c>
      <c r="L86" s="163" t="str">
        <f>IF(OR($E86&gt;=$B$9,$E86=0),"",MAX(Pricing!$U86-$I86-0.01*$B$11,$V86))</f>
        <v/>
      </c>
      <c r="M86" s="163" t="str">
        <f>IF($E86="","",ROUND(Pricing!Q86+Pricing!R86-SUMPRODUCT(Pricing!G86:G$116,Pricing!L86:L$116)/Pricing!H86-$I86,0))</f>
        <v/>
      </c>
      <c r="N86" s="163" t="str">
        <f t="shared" si="9"/>
        <v/>
      </c>
      <c r="O86" s="163" t="str">
        <f>IF(E86="","",IF(AND(Pricing!$K$3,$B$19),SUMIF(F86:F$116,"&gt;=" &amp; 16,Pricing!G86:G$116),SUM(Pricing!$G86:$G$116)))</f>
        <v/>
      </c>
      <c r="P86" s="427" t="str">
        <f>IF(OR($E86="",$E86=0),"",IF(OR(NOT($B$19),$F86&gt;=16,$E86=$B$10),0,((1+2.25%)*$P87*Pricing!$H87+(1+Pricing!$K$3)^0.5*Pricing!$G86)/Pricing!$H86))</f>
        <v/>
      </c>
      <c r="Q86" s="163" t="str">
        <f>IF(OR($E86&gt;=$B$9,$E86=0,AND(NOT($B$19),$F86&lt;16)),"",MAX(Pricing!$I85,Pricing!$U86))</f>
        <v/>
      </c>
      <c r="R86" s="163" t="str">
        <f>IF($Q86="","",IF($L86=0,E86,COUNTIF($O87:$O$116,"&gt;=" &amp; $O86-$L86*(1-$P86)/$Q86*Pricing!$H86)+$E86))</f>
        <v/>
      </c>
      <c r="S86" s="163" t="str">
        <f>IF($Q86="","",IF($L86=0,0,IF(R86&lt;$B$10,ROUND((L86*(1-P86)-(O86-INDEX(O86:O$116,R86-E86+1))/Pricing!H86*Q86)/(INDEX(Pricing!G86:G$116,R86-E86+1)/Pricing!H86*Q86)*365,0),0)))</f>
        <v/>
      </c>
      <c r="T86" s="220" t="str">
        <f>IF(OR($Q86="",NOT($B$17)),"",IF($R86&lt;$B$10,0,ROUND(MIN(1,($L86-$O86/Pricing!$H86*$Q86)/(Pricing!$R86-Pricing!$O86)),4)))</f>
        <v/>
      </c>
      <c r="U86" s="163" t="str">
        <f>IF($Q86="","",IF($L86=0,0,IF(OR(R86&lt;$B$10,AND($B$17,$T86&lt;1)),0,$L86*(1-$P86)-$O86/Pricing!$H86*$Q86-IF($B$17,Pricing!$R86-Pricing!$O86,0))*IF($B$18=1,1,Pricing!$H86/IF($B$18=2,INDEX(Pricing!$H$5:$H$116,$B$9+1),INDEX(Pricing!$H$5:$H$116,$B$10+1)))))</f>
        <v/>
      </c>
      <c r="V86" s="425" t="str">
        <f>IF($E86="","",(1-$B$24*($B$10-$E86))*MIN($B$22+(1-$B$22)*$E86/MIN($B$23,$B$9),1)*(Pricing!$U86-$I86))</f>
        <v/>
      </c>
      <c r="W86" s="35" t="str">
        <f>IF($E86="","",IF(F86&gt;16,0,MAX(INDEX($L$6:$L$116,$W$4)*(1+2.25%)^0.5-INDEX($N$6:$N$116,$W$4)/$B$11*Pricing!M86,0)))</f>
        <v/>
      </c>
      <c r="X86" s="428" t="e">
        <f>SUMPRODUCT(Reserve!G86:G$116,W86:W$116)/Reserve!H86</f>
        <v>#VALUE!</v>
      </c>
    </row>
    <row r="87" spans="4:24" x14ac:dyDescent="0.3">
      <c r="D87" s="215">
        <v>82</v>
      </c>
      <c r="E87" s="217" t="str">
        <f t="shared" si="6"/>
        <v/>
      </c>
      <c r="F87" s="228" t="str">
        <f t="shared" si="7"/>
        <v/>
      </c>
      <c r="G87" s="162" t="str">
        <f>IF($E87="","",ROUND((1-$B$24*($B$10-$E87))*MIN($B$22+(1-$B$22)*$E87/MIN($B$23,$B$9),1)*(Pricing!$U87-$I87),0))</f>
        <v/>
      </c>
      <c r="H87" s="163" t="str">
        <f t="shared" si="8"/>
        <v/>
      </c>
      <c r="I87" s="163" t="str">
        <f>IF($E87="","",Pricing!$N87+Pricing!$O87)</f>
        <v/>
      </c>
      <c r="J87" s="220" t="str">
        <f>IF(OR($E87=0,$E87=""),"",(NPV($B$13,$I$5:$I87)+$G87*(1+$B$13)^-($E87+1))/NPV($B$13,$H$5:$H86))</f>
        <v/>
      </c>
      <c r="K87" s="220" t="str">
        <f>IF($E87="","",IFERROR(((G87+I87)/(NPV(K87,H$5:H86)*(1+K87)-NPV(K87,I$5:I86)*(1+K87)))^(1/E87)-1,0))</f>
        <v/>
      </c>
      <c r="L87" s="163" t="str">
        <f>IF(OR($E87&gt;=$B$9,$E87=0),"",MAX(Pricing!$U87-$I87-0.01*$B$11,$V87))</f>
        <v/>
      </c>
      <c r="M87" s="163" t="str">
        <f>IF($E87="","",ROUND(Pricing!Q87+Pricing!R87-SUMPRODUCT(Pricing!G87:G$116,Pricing!L87:L$116)/Pricing!H87-$I87,0))</f>
        <v/>
      </c>
      <c r="N87" s="163" t="str">
        <f t="shared" si="9"/>
        <v/>
      </c>
      <c r="O87" s="163" t="str">
        <f>IF(E87="","",IF(AND(Pricing!$K$3,$B$19),SUMIF(F87:F$116,"&gt;=" &amp; 16,Pricing!G87:G$116),SUM(Pricing!$G87:$G$116)))</f>
        <v/>
      </c>
      <c r="P87" s="427" t="str">
        <f>IF(OR($E87="",$E87=0),"",IF(OR(NOT($B$19),$F87&gt;=16,$E87=$B$10),0,((1+2.25%)*$P88*Pricing!$H88+(1+Pricing!$K$3)^0.5*Pricing!$G87)/Pricing!$H87))</f>
        <v/>
      </c>
      <c r="Q87" s="163" t="str">
        <f>IF(OR($E87&gt;=$B$9,$E87=0,AND(NOT($B$19),$F87&lt;16)),"",MAX(Pricing!$I86,Pricing!$U87))</f>
        <v/>
      </c>
      <c r="R87" s="163" t="str">
        <f>IF($Q87="","",IF($L87=0,E87,COUNTIF($O88:$O$116,"&gt;=" &amp; $O87-$L87*(1-$P87)/$Q87*Pricing!$H87)+$E87))</f>
        <v/>
      </c>
      <c r="S87" s="163" t="str">
        <f>IF($Q87="","",IF($L87=0,0,IF(R87&lt;$B$10,ROUND((L87*(1-P87)-(O87-INDEX(O87:O$116,R87-E87+1))/Pricing!H87*Q87)/(INDEX(Pricing!G87:G$116,R87-E87+1)/Pricing!H87*Q87)*365,0),0)))</f>
        <v/>
      </c>
      <c r="T87" s="220" t="str">
        <f>IF(OR($Q87="",NOT($B$17)),"",IF($R87&lt;$B$10,0,ROUND(MIN(1,($L87-$O87/Pricing!$H87*$Q87)/(Pricing!$R87-Pricing!$O87)),4)))</f>
        <v/>
      </c>
      <c r="U87" s="163" t="str">
        <f>IF($Q87="","",IF($L87=0,0,IF(OR(R87&lt;$B$10,AND($B$17,$T87&lt;1)),0,$L87*(1-$P87)-$O87/Pricing!$H87*$Q87-IF($B$17,Pricing!$R87-Pricing!$O87,0))*IF($B$18=1,1,Pricing!$H87/IF($B$18=2,INDEX(Pricing!$H$5:$H$116,$B$9+1),INDEX(Pricing!$H$5:$H$116,$B$10+1)))))</f>
        <v/>
      </c>
      <c r="V87" s="425" t="str">
        <f>IF($E87="","",(1-$B$24*($B$10-$E87))*MIN($B$22+(1-$B$22)*$E87/MIN($B$23,$B$9),1)*(Pricing!$U87-$I87))</f>
        <v/>
      </c>
      <c r="W87" s="35" t="str">
        <f>IF($E87="","",IF(F87&gt;16,0,MAX(INDEX($L$6:$L$116,$W$4)*(1+2.25%)^0.5-INDEX($N$6:$N$116,$W$4)/$B$11*Pricing!M87,0)))</f>
        <v/>
      </c>
      <c r="X87" s="428" t="e">
        <f>SUMPRODUCT(Reserve!G87:G$116,W87:W$116)/Reserve!H87</f>
        <v>#VALUE!</v>
      </c>
    </row>
    <row r="88" spans="4:24" x14ac:dyDescent="0.3">
      <c r="D88" s="215">
        <v>83</v>
      </c>
      <c r="E88" s="217" t="str">
        <f t="shared" si="6"/>
        <v/>
      </c>
      <c r="F88" s="228" t="str">
        <f t="shared" si="7"/>
        <v/>
      </c>
      <c r="G88" s="162" t="str">
        <f>IF($E88="","",ROUND((1-$B$24*($B$10-$E88))*MIN($B$22+(1-$B$22)*$E88/MIN($B$23,$B$9),1)*(Pricing!$U88-$I88),0))</f>
        <v/>
      </c>
      <c r="H88" s="163" t="str">
        <f t="shared" si="8"/>
        <v/>
      </c>
      <c r="I88" s="163" t="str">
        <f>IF($E88="","",Pricing!$N88+Pricing!$O88)</f>
        <v/>
      </c>
      <c r="J88" s="220" t="str">
        <f>IF(OR($E88=0,$E88=""),"",(NPV($B$13,$I$5:$I88)+$G88*(1+$B$13)^-($E88+1))/NPV($B$13,$H$5:$H87))</f>
        <v/>
      </c>
      <c r="K88" s="220" t="str">
        <f>IF($E88="","",IFERROR(((G88+I88)/(NPV(K88,H$5:H87)*(1+K88)-NPV(K88,I$5:I87)*(1+K88)))^(1/E88)-1,0))</f>
        <v/>
      </c>
      <c r="L88" s="163" t="str">
        <f>IF(OR($E88&gt;=$B$9,$E88=0),"",MAX(Pricing!$U88-$I88-0.01*$B$11,$V88))</f>
        <v/>
      </c>
      <c r="M88" s="163" t="str">
        <f>IF($E88="","",ROUND(Pricing!Q88+Pricing!R88-SUMPRODUCT(Pricing!G88:G$116,Pricing!L88:L$116)/Pricing!H88-$I88,0))</f>
        <v/>
      </c>
      <c r="N88" s="163" t="str">
        <f t="shared" si="9"/>
        <v/>
      </c>
      <c r="O88" s="163" t="str">
        <f>IF(E88="","",IF(AND(Pricing!$K$3,$B$19),SUMIF(F88:F$116,"&gt;=" &amp; 16,Pricing!G88:G$116),SUM(Pricing!$G88:$G$116)))</f>
        <v/>
      </c>
      <c r="P88" s="427" t="str">
        <f>IF(OR($E88="",$E88=0),"",IF(OR(NOT($B$19),$F88&gt;=16,$E88=$B$10),0,((1+2.25%)*$P89*Pricing!$H89+(1+Pricing!$K$3)^0.5*Pricing!$G88)/Pricing!$H88))</f>
        <v/>
      </c>
      <c r="Q88" s="163" t="str">
        <f>IF(OR($E88&gt;=$B$9,$E88=0,AND(NOT($B$19),$F88&lt;16)),"",MAX(Pricing!$I87,Pricing!$U88))</f>
        <v/>
      </c>
      <c r="R88" s="163" t="str">
        <f>IF($Q88="","",IF($L88=0,E88,COUNTIF($O89:$O$116,"&gt;=" &amp; $O88-$L88*(1-$P88)/$Q88*Pricing!$H88)+$E88))</f>
        <v/>
      </c>
      <c r="S88" s="163" t="str">
        <f>IF($Q88="","",IF($L88=0,0,IF(R88&lt;$B$10,ROUND((L88*(1-P88)-(O88-INDEX(O88:O$116,R88-E88+1))/Pricing!H88*Q88)/(INDEX(Pricing!G88:G$116,R88-E88+1)/Pricing!H88*Q88)*365,0),0)))</f>
        <v/>
      </c>
      <c r="T88" s="220" t="str">
        <f>IF(OR($Q88="",NOT($B$17)),"",IF($R88&lt;$B$10,0,ROUND(MIN(1,($L88-$O88/Pricing!$H88*$Q88)/(Pricing!$R88-Pricing!$O88)),4)))</f>
        <v/>
      </c>
      <c r="U88" s="163" t="str">
        <f>IF($Q88="","",IF($L88=0,0,IF(OR(R88&lt;$B$10,AND($B$17,$T88&lt;1)),0,$L88*(1-$P88)-$O88/Pricing!$H88*$Q88-IF($B$17,Pricing!$R88-Pricing!$O88,0))*IF($B$18=1,1,Pricing!$H88/IF($B$18=2,INDEX(Pricing!$H$5:$H$116,$B$9+1),INDEX(Pricing!$H$5:$H$116,$B$10+1)))))</f>
        <v/>
      </c>
      <c r="V88" s="425" t="str">
        <f>IF($E88="","",(1-$B$24*($B$10-$E88))*MIN($B$22+(1-$B$22)*$E88/MIN($B$23,$B$9),1)*(Pricing!$U88-$I88))</f>
        <v/>
      </c>
      <c r="W88" s="35" t="str">
        <f>IF($E88="","",IF(F88&gt;16,0,MAX(INDEX($L$6:$L$116,$W$4)*(1+2.25%)^0.5-INDEX($N$6:$N$116,$W$4)/$B$11*Pricing!M88,0)))</f>
        <v/>
      </c>
      <c r="X88" s="428" t="e">
        <f>SUMPRODUCT(Reserve!G88:G$116,W88:W$116)/Reserve!H88</f>
        <v>#VALUE!</v>
      </c>
    </row>
    <row r="89" spans="4:24" x14ac:dyDescent="0.3">
      <c r="D89" s="215">
        <v>84</v>
      </c>
      <c r="E89" s="217" t="str">
        <f t="shared" si="6"/>
        <v/>
      </c>
      <c r="F89" s="228" t="str">
        <f t="shared" si="7"/>
        <v/>
      </c>
      <c r="G89" s="162" t="str">
        <f>IF($E89="","",ROUND((1-$B$24*($B$10-$E89))*MIN($B$22+(1-$B$22)*$E89/MIN($B$23,$B$9),1)*(Pricing!$U89-$I89),0))</f>
        <v/>
      </c>
      <c r="H89" s="163" t="str">
        <f t="shared" si="8"/>
        <v/>
      </c>
      <c r="I89" s="163" t="str">
        <f>IF($E89="","",Pricing!$N89+Pricing!$O89)</f>
        <v/>
      </c>
      <c r="J89" s="220" t="str">
        <f>IF(OR($E89=0,$E89=""),"",(NPV($B$13,$I$5:$I89)+$G89*(1+$B$13)^-($E89+1))/NPV($B$13,$H$5:$H88))</f>
        <v/>
      </c>
      <c r="K89" s="220" t="str">
        <f>IF($E89="","",IFERROR(((G89+I89)/(NPV(K89,H$5:H88)*(1+K89)-NPV(K89,I$5:I88)*(1+K89)))^(1/E89)-1,0))</f>
        <v/>
      </c>
      <c r="L89" s="163" t="str">
        <f>IF(OR($E89&gt;=$B$9,$E89=0),"",MAX(Pricing!$U89-$I89-0.01*$B$11,$V89))</f>
        <v/>
      </c>
      <c r="M89" s="163" t="str">
        <f>IF($E89="","",ROUND(Pricing!Q89+Pricing!R89-SUMPRODUCT(Pricing!G89:G$116,Pricing!L89:L$116)/Pricing!H89-$I89,0))</f>
        <v/>
      </c>
      <c r="N89" s="163" t="str">
        <f t="shared" si="9"/>
        <v/>
      </c>
      <c r="O89" s="163" t="str">
        <f>IF(E89="","",IF(AND(Pricing!$K$3,$B$19),SUMIF(F89:F$116,"&gt;=" &amp; 16,Pricing!G89:G$116),SUM(Pricing!$G89:$G$116)))</f>
        <v/>
      </c>
      <c r="P89" s="427" t="str">
        <f>IF(OR($E89="",$E89=0),"",IF(OR(NOT($B$19),$F89&gt;=16,$E89=$B$10),0,((1+2.25%)*$P90*Pricing!$H90+(1+Pricing!$K$3)^0.5*Pricing!$G89)/Pricing!$H89))</f>
        <v/>
      </c>
      <c r="Q89" s="163" t="str">
        <f>IF(OR($E89&gt;=$B$9,$E89=0,AND(NOT($B$19),$F89&lt;16)),"",MAX(Pricing!$I88,Pricing!$U89))</f>
        <v/>
      </c>
      <c r="R89" s="163" t="str">
        <f>IF($Q89="","",IF($L89=0,E89,COUNTIF($O90:$O$116,"&gt;=" &amp; $O89-$L89*(1-$P89)/$Q89*Pricing!$H89)+$E89))</f>
        <v/>
      </c>
      <c r="S89" s="163" t="str">
        <f>IF($Q89="","",IF($L89=0,0,IF(R89&lt;$B$10,ROUND((L89*(1-P89)-(O89-INDEX(O89:O$116,R89-E89+1))/Pricing!H89*Q89)/(INDEX(Pricing!G89:G$116,R89-E89+1)/Pricing!H89*Q89)*365,0),0)))</f>
        <v/>
      </c>
      <c r="T89" s="220" t="str">
        <f>IF(OR($Q89="",NOT($B$17)),"",IF($R89&lt;$B$10,0,ROUND(MIN(1,($L89-$O89/Pricing!$H89*$Q89)/(Pricing!$R89-Pricing!$O89)),4)))</f>
        <v/>
      </c>
      <c r="U89" s="163" t="str">
        <f>IF($Q89="","",IF($L89=0,0,IF(OR(R89&lt;$B$10,AND($B$17,$T89&lt;1)),0,$L89*(1-$P89)-$O89/Pricing!$H89*$Q89-IF($B$17,Pricing!$R89-Pricing!$O89,0))*IF($B$18=1,1,Pricing!$H89/IF($B$18=2,INDEX(Pricing!$H$5:$H$116,$B$9+1),INDEX(Pricing!$H$5:$H$116,$B$10+1)))))</f>
        <v/>
      </c>
      <c r="V89" s="425" t="str">
        <f>IF($E89="","",(1-$B$24*($B$10-$E89))*MIN($B$22+(1-$B$22)*$E89/MIN($B$23,$B$9),1)*(Pricing!$U89-$I89))</f>
        <v/>
      </c>
      <c r="W89" s="35" t="str">
        <f>IF($E89="","",IF(F89&gt;16,0,MAX(INDEX($L$6:$L$116,$W$4)*(1+2.25%)^0.5-INDEX($N$6:$N$116,$W$4)/$B$11*Pricing!M89,0)))</f>
        <v/>
      </c>
      <c r="X89" s="428" t="e">
        <f>SUMPRODUCT(Reserve!G89:G$116,W89:W$116)/Reserve!H89</f>
        <v>#VALUE!</v>
      </c>
    </row>
    <row r="90" spans="4:24" x14ac:dyDescent="0.3">
      <c r="D90" s="215">
        <v>85</v>
      </c>
      <c r="E90" s="233" t="str">
        <f t="shared" si="6"/>
        <v/>
      </c>
      <c r="F90" s="234" t="str">
        <f t="shared" si="7"/>
        <v/>
      </c>
      <c r="G90" s="165" t="str">
        <f>IF($E90="","",ROUND((1-$B$24*($B$10-$E90))*MIN($B$22+(1-$B$22)*$E90/MIN($B$23,$B$9),1)*(Pricing!$U90-$I90),0))</f>
        <v/>
      </c>
      <c r="H90" s="166" t="str">
        <f t="shared" si="8"/>
        <v/>
      </c>
      <c r="I90" s="166" t="str">
        <f>IF($E90="","",Pricing!$N90+Pricing!$O90)</f>
        <v/>
      </c>
      <c r="J90" s="235" t="str">
        <f>IF(OR($E90=0,$E90=""),"",(NPV($B$13,$I$5:$I90)+$G90*(1+$B$13)^-($E90+1))/NPV($B$13,$H$5:$H89))</f>
        <v/>
      </c>
      <c r="K90" s="235" t="str">
        <f>IF($E90="","",IFERROR(((G90+I90)/(NPV(K90,H$5:H89)*(1+K90)-NPV(K90,I$5:I89)*(1+K90)))^(1/E90)-1,0))</f>
        <v/>
      </c>
      <c r="L90" s="166" t="str">
        <f>IF(OR($E90&gt;=$B$9,$E90=0),"",MAX(Pricing!$U90-$I90-0.01*$B$11,$V90))</f>
        <v/>
      </c>
      <c r="M90" s="166" t="str">
        <f>IF($E90="","",ROUND(Pricing!Q90+Pricing!R90-SUMPRODUCT(Pricing!G90:G$116,Pricing!L90:L$116)/Pricing!H90-$I90,0))</f>
        <v/>
      </c>
      <c r="N90" s="166" t="str">
        <f t="shared" si="9"/>
        <v/>
      </c>
      <c r="O90" s="166" t="str">
        <f>IF(E90="","",IF(AND(Pricing!$K$3,$B$19),SUMIF(F90:F$116,"&gt;=" &amp; 16,Pricing!G90:G$116),SUM(Pricing!$G90:$G$116)))</f>
        <v/>
      </c>
      <c r="P90" s="429" t="str">
        <f>IF(OR($E90="",$E90=0),"",IF(OR(NOT($B$19),$F90&gt;=16,$E90=$B$10),0,((1+2.25%)*$P91*Pricing!$H91+(1+Pricing!$K$3)^0.5*Pricing!$G90)/Pricing!$H90))</f>
        <v/>
      </c>
      <c r="Q90" s="166" t="str">
        <f>IF(OR($E90&gt;=$B$9,$E90=0,AND(NOT($B$19),$F90&lt;16)),"",MAX(Pricing!$I89,Pricing!$U90))</f>
        <v/>
      </c>
      <c r="R90" s="166" t="str">
        <f>IF($Q90="","",IF($L90=0,E90,COUNTIF($O91:$O$116,"&gt;=" &amp; $O90-$L90*(1-$P90)/$Q90*Pricing!$H90)+$E90))</f>
        <v/>
      </c>
      <c r="S90" s="166" t="str">
        <f>IF($Q90="","",IF($L90=0,0,IF(R90&lt;$B$10,ROUND((L90*(1-P90)-(O90-INDEX(O90:O$116,R90-E90+1))/Pricing!H90*Q90)/(INDEX(Pricing!G90:G$116,R90-E90+1)/Pricing!H90*Q90)*365,0),0)))</f>
        <v/>
      </c>
      <c r="T90" s="235" t="str">
        <f>IF(OR($Q90="",NOT($B$17)),"",IF($R90&lt;$B$10,0,ROUND(MIN(1,($L90-$O90/Pricing!$H90*$Q90)/(Pricing!$R90-Pricing!$O90)),4)))</f>
        <v/>
      </c>
      <c r="U90" s="166" t="str">
        <f>IF($Q90="","",IF($L90=0,0,IF(OR(R90&lt;$B$10,AND($B$17,$T90&lt;1)),0,$L90*(1-$P90)-$O90/Pricing!$H90*$Q90-IF($B$17,Pricing!$R90-Pricing!$O90,0))*IF($B$18=1,1,Pricing!$H90/IF($B$18=2,INDEX(Pricing!$H$5:$H$116,$B$9+1),INDEX(Pricing!$H$5:$H$116,$B$10+1)))))</f>
        <v/>
      </c>
      <c r="V90" s="425" t="str">
        <f>IF($E90="","",(1-$B$24*($B$10-$E90))*MIN($B$22+(1-$B$22)*$E90/MIN($B$23,$B$9),1)*(Pricing!$U90-$I90))</f>
        <v/>
      </c>
      <c r="W90" s="35" t="str">
        <f>IF($E90="","",IF(F90&gt;16,0,MAX(INDEX($L$6:$L$116,$W$4)*(1+2.25%)^0.5-INDEX($N$6:$N$116,$W$4)/$B$11*Pricing!M90,0)))</f>
        <v/>
      </c>
      <c r="X90" s="428" t="e">
        <f>SUMPRODUCT(Reserve!G90:G$116,W90:W$116)/Reserve!H90</f>
        <v>#VALUE!</v>
      </c>
    </row>
    <row r="91" spans="4:24" x14ac:dyDescent="0.3">
      <c r="D91" s="215">
        <v>86</v>
      </c>
      <c r="E91" s="217" t="str">
        <f t="shared" si="6"/>
        <v/>
      </c>
      <c r="F91" s="228" t="str">
        <f t="shared" si="7"/>
        <v/>
      </c>
      <c r="G91" s="162" t="str">
        <f>IF($E91="","",ROUND((1-$B$24*($B$10-$E91))*MIN($B$22+(1-$B$22)*$E91/MIN($B$23,$B$9),1)*(Pricing!$U91-$I91),0))</f>
        <v/>
      </c>
      <c r="H91" s="163" t="str">
        <f t="shared" si="8"/>
        <v/>
      </c>
      <c r="I91" s="163" t="str">
        <f>IF($E91="","",Pricing!$N91+Pricing!$O91)</f>
        <v/>
      </c>
      <c r="J91" s="220" t="str">
        <f>IF(OR($E91=0,$E91=""),"",(NPV($B$13,$I$5:$I91)+$G91*(1+$B$13)^-($E91+1))/NPV($B$13,$H$5:$H90))</f>
        <v/>
      </c>
      <c r="K91" s="220" t="str">
        <f>IF($E91="","",IFERROR(((G91+I91)/(NPV(K91,H$5:H90)*(1+K91)-NPV(K91,I$5:I90)*(1+K91)))^(1/E91)-1,0))</f>
        <v/>
      </c>
      <c r="L91" s="163" t="str">
        <f>IF(OR($E91&gt;=$B$9,$E91=0),"",MAX(Pricing!$U91-$I91-0.01*$B$11,$V91))</f>
        <v/>
      </c>
      <c r="M91" s="163" t="str">
        <f>IF($E91="","",ROUND(Pricing!Q91+Pricing!R91-SUMPRODUCT(Pricing!G91:G$116,Pricing!L91:L$116)/Pricing!H91-$I91,0))</f>
        <v/>
      </c>
      <c r="N91" s="163" t="str">
        <f t="shared" si="9"/>
        <v/>
      </c>
      <c r="O91" s="163" t="str">
        <f>IF(E91="","",IF(AND(Pricing!$K$3,$B$19),SUMIF(F91:F$116,"&gt;=" &amp; 16,Pricing!G91:G$116),SUM(Pricing!$G91:$G$116)))</f>
        <v/>
      </c>
      <c r="P91" s="427" t="str">
        <f>IF(OR($E91="",$E91=0),"",IF(OR(NOT($B$19),$F91&gt;=16,$E91=$B$10),0,((1+2.25%)*$P92*Pricing!$H92+(1+Pricing!$K$3)^0.5*Pricing!$G91)/Pricing!$H91))</f>
        <v/>
      </c>
      <c r="Q91" s="163" t="str">
        <f>IF(OR($E91&gt;=$B$9,$E91=0,AND(NOT($B$19),$F91&lt;16)),"",MAX(Pricing!$I90,Pricing!$U91))</f>
        <v/>
      </c>
      <c r="R91" s="163" t="str">
        <f>IF($Q91="","",IF($L91=0,E91,COUNTIF($O92:$O$116,"&gt;=" &amp; $O91-$L91*(1-$P91)/$Q91*Pricing!$H91)+$E91))</f>
        <v/>
      </c>
      <c r="S91" s="163" t="str">
        <f>IF($Q91="","",IF($L91=0,0,IF(R91&lt;$B$10,ROUND((L91*(1-P91)-(O91-INDEX(O91:O$116,R91-E91+1))/Pricing!H91*Q91)/(INDEX(Pricing!G91:G$116,R91-E91+1)/Pricing!H91*Q91)*365,0),0)))</f>
        <v/>
      </c>
      <c r="T91" s="220" t="str">
        <f>IF(OR($Q91="",NOT($B$17)),"",IF($R91&lt;$B$10,0,ROUND(MIN(1,($L91-$O91/Pricing!$H91*$Q91)/(Pricing!$R91-Pricing!$O91)),4)))</f>
        <v/>
      </c>
      <c r="U91" s="163" t="str">
        <f>IF($Q91="","",IF($L91=0,0,IF(OR(R91&lt;$B$10,AND($B$17,$T91&lt;1)),0,$L91*(1-$P91)-$O91/Pricing!$H91*$Q91-IF($B$17,Pricing!$R91-Pricing!$O91,0))*IF($B$18=1,1,Pricing!$H91/IF($B$18=2,INDEX(Pricing!$H$5:$H$116,$B$9+1),INDEX(Pricing!$H$5:$H$116,$B$10+1)))))</f>
        <v/>
      </c>
      <c r="V91" s="425" t="str">
        <f>IF($E91="","",(1-$B$24*($B$10-$E91))*MIN($B$22+(1-$B$22)*$E91/MIN($B$23,$B$9),1)*(Pricing!$U91-$I91))</f>
        <v/>
      </c>
      <c r="W91" s="35" t="str">
        <f>IF($E91="","",IF(F91&gt;16,0,MAX(INDEX($L$6:$L$116,$W$4)*(1+2.25%)^0.5-INDEX($N$6:$N$116,$W$4)/$B$11*Pricing!M91,0)))</f>
        <v/>
      </c>
      <c r="X91" s="428" t="e">
        <f>SUMPRODUCT(Reserve!G91:G$116,W91:W$116)/Reserve!H91</f>
        <v>#VALUE!</v>
      </c>
    </row>
    <row r="92" spans="4:24" x14ac:dyDescent="0.3">
      <c r="D92" s="215">
        <v>87</v>
      </c>
      <c r="E92" s="217" t="str">
        <f t="shared" si="6"/>
        <v/>
      </c>
      <c r="F92" s="228" t="str">
        <f t="shared" si="7"/>
        <v/>
      </c>
      <c r="G92" s="162" t="str">
        <f>IF($E92="","",ROUND((1-$B$24*($B$10-$E92))*MIN($B$22+(1-$B$22)*$E92/MIN($B$23,$B$9),1)*(Pricing!$U92-$I92),0))</f>
        <v/>
      </c>
      <c r="H92" s="163" t="str">
        <f t="shared" si="8"/>
        <v/>
      </c>
      <c r="I92" s="163" t="str">
        <f>IF($E92="","",Pricing!$N92+Pricing!$O92)</f>
        <v/>
      </c>
      <c r="J92" s="220" t="str">
        <f>IF(OR($E92=0,$E92=""),"",(NPV($B$13,$I$5:$I92)+$G92*(1+$B$13)^-($E92+1))/NPV($B$13,$H$5:$H91))</f>
        <v/>
      </c>
      <c r="K92" s="220" t="str">
        <f>IF($E92="","",IFERROR(((G92+I92)/(NPV(K92,H$5:H91)*(1+K92)-NPV(K92,I$5:I91)*(1+K92)))^(1/E92)-1,0))</f>
        <v/>
      </c>
      <c r="L92" s="163" t="str">
        <f>IF(OR($E92&gt;=$B$9,$E92=0),"",MAX(Pricing!$U92-$I92-0.01*$B$11,$V92))</f>
        <v/>
      </c>
      <c r="M92" s="163" t="str">
        <f>IF($E92="","",ROUND(Pricing!Q92+Pricing!R92-SUMPRODUCT(Pricing!G92:G$116,Pricing!L92:L$116)/Pricing!H92-$I92,0))</f>
        <v/>
      </c>
      <c r="N92" s="163" t="str">
        <f t="shared" si="9"/>
        <v/>
      </c>
      <c r="O92" s="163" t="str">
        <f>IF(E92="","",IF(AND(Pricing!$K$3,$B$19),SUMIF(F92:F$116,"&gt;=" &amp; 16,Pricing!G92:G$116),SUM(Pricing!$G92:$G$116)))</f>
        <v/>
      </c>
      <c r="P92" s="427" t="str">
        <f>IF(OR($E92="",$E92=0),"",IF(OR(NOT($B$19),$F92&gt;=16,$E92=$B$10),0,((1+2.25%)*$P93*Pricing!$H93+(1+Pricing!$K$3)^0.5*Pricing!$G92)/Pricing!$H92))</f>
        <v/>
      </c>
      <c r="Q92" s="163" t="str">
        <f>IF(OR($E92&gt;=$B$9,$E92=0,AND(NOT($B$19),$F92&lt;16)),"",MAX(Pricing!$I91,Pricing!$U92))</f>
        <v/>
      </c>
      <c r="R92" s="163" t="str">
        <f>IF($Q92="","",IF($L92=0,E92,COUNTIF($O93:$O$116,"&gt;=" &amp; $O92-$L92*(1-$P92)/$Q92*Pricing!$H92)+$E92))</f>
        <v/>
      </c>
      <c r="S92" s="163" t="str">
        <f>IF($Q92="","",IF($L92=0,0,IF(R92&lt;$B$10,ROUND((L92*(1-P92)-(O92-INDEX(O92:O$116,R92-E92+1))/Pricing!H92*Q92)/(INDEX(Pricing!G92:G$116,R92-E92+1)/Pricing!H92*Q92)*365,0),0)))</f>
        <v/>
      </c>
      <c r="T92" s="220" t="str">
        <f>IF(OR($Q92="",NOT($B$17)),"",IF($R92&lt;$B$10,0,ROUND(MIN(1,($L92-$O92/Pricing!$H92*$Q92)/(Pricing!$R92-Pricing!$O92)),4)))</f>
        <v/>
      </c>
      <c r="U92" s="163" t="str">
        <f>IF($Q92="","",IF($L92=0,0,IF(OR(R92&lt;$B$10,AND($B$17,$T92&lt;1)),0,$L92*(1-$P92)-$O92/Pricing!$H92*$Q92-IF($B$17,Pricing!$R92-Pricing!$O92,0))*IF($B$18=1,1,Pricing!$H92/IF($B$18=2,INDEX(Pricing!$H$5:$H$116,$B$9+1),INDEX(Pricing!$H$5:$H$116,$B$10+1)))))</f>
        <v/>
      </c>
      <c r="V92" s="425" t="str">
        <f>IF($E92="","",(1-$B$24*($B$10-$E92))*MIN($B$22+(1-$B$22)*$E92/MIN($B$23,$B$9),1)*(Pricing!$U92-$I92))</f>
        <v/>
      </c>
      <c r="W92" s="35" t="str">
        <f>IF($E92="","",IF(F92&gt;16,0,MAX(INDEX($L$6:$L$116,$W$4)*(1+2.25%)^0.5-INDEX($N$6:$N$116,$W$4)/$B$11*Pricing!M92,0)))</f>
        <v/>
      </c>
      <c r="X92" s="428" t="e">
        <f>SUMPRODUCT(Reserve!G92:G$116,W92:W$116)/Reserve!H92</f>
        <v>#VALUE!</v>
      </c>
    </row>
    <row r="93" spans="4:24" x14ac:dyDescent="0.3">
      <c r="D93" s="215">
        <v>88</v>
      </c>
      <c r="E93" s="217" t="str">
        <f t="shared" si="6"/>
        <v/>
      </c>
      <c r="F93" s="228" t="str">
        <f t="shared" si="7"/>
        <v/>
      </c>
      <c r="G93" s="162" t="str">
        <f>IF($E93="","",ROUND((1-$B$24*($B$10-$E93))*MIN($B$22+(1-$B$22)*$E93/MIN($B$23,$B$9),1)*(Pricing!$U93-$I93),0))</f>
        <v/>
      </c>
      <c r="H93" s="163" t="str">
        <f t="shared" si="8"/>
        <v/>
      </c>
      <c r="I93" s="163" t="str">
        <f>IF($E93="","",Pricing!$N93+Pricing!$O93)</f>
        <v/>
      </c>
      <c r="J93" s="220" t="str">
        <f>IF(OR($E93=0,$E93=""),"",(NPV($B$13,$I$5:$I93)+$G93*(1+$B$13)^-($E93+1))/NPV($B$13,$H$5:$H92))</f>
        <v/>
      </c>
      <c r="K93" s="220" t="str">
        <f>IF($E93="","",IFERROR(((G93+I93)/(NPV(K93,H$5:H92)*(1+K93)-NPV(K93,I$5:I92)*(1+K93)))^(1/E93)-1,0))</f>
        <v/>
      </c>
      <c r="L93" s="163" t="str">
        <f>IF(OR($E93&gt;=$B$9,$E93=0),"",MAX(Pricing!$U93-$I93-0.01*$B$11,$V93))</f>
        <v/>
      </c>
      <c r="M93" s="163" t="str">
        <f>IF($E93="","",ROUND(Pricing!Q93+Pricing!R93-SUMPRODUCT(Pricing!G93:G$116,Pricing!L93:L$116)/Pricing!H93-$I93,0))</f>
        <v/>
      </c>
      <c r="N93" s="163" t="str">
        <f t="shared" si="9"/>
        <v/>
      </c>
      <c r="O93" s="163" t="str">
        <f>IF(E93="","",IF(AND(Pricing!$K$3,$B$19),SUMIF(F93:F$116,"&gt;=" &amp; 16,Pricing!G93:G$116),SUM(Pricing!$G93:$G$116)))</f>
        <v/>
      </c>
      <c r="P93" s="427" t="str">
        <f>IF(OR($E93="",$E93=0),"",IF(OR(NOT($B$19),$F93&gt;=16,$E93=$B$10),0,((1+2.25%)*$P94*Pricing!$H94+(1+Pricing!$K$3)^0.5*Pricing!$G93)/Pricing!$H93))</f>
        <v/>
      </c>
      <c r="Q93" s="163" t="str">
        <f>IF(OR($E93&gt;=$B$9,$E93=0,AND(NOT($B$19),$F93&lt;16)),"",MAX(Pricing!$I92,Pricing!$U93))</f>
        <v/>
      </c>
      <c r="R93" s="163" t="str">
        <f>IF($Q93="","",IF($L93=0,E93,COUNTIF($O94:$O$116,"&gt;=" &amp; $O93-$L93*(1-$P93)/$Q93*Pricing!$H93)+$E93))</f>
        <v/>
      </c>
      <c r="S93" s="163" t="str">
        <f>IF($Q93="","",IF($L93=0,0,IF(R93&lt;$B$10,ROUND((L93*(1-P93)-(O93-INDEX(O93:O$116,R93-E93+1))/Pricing!H93*Q93)/(INDEX(Pricing!G93:G$116,R93-E93+1)/Pricing!H93*Q93)*365,0),0)))</f>
        <v/>
      </c>
      <c r="T93" s="220" t="str">
        <f>IF(OR($Q93="",NOT($B$17)),"",IF($R93&lt;$B$10,0,ROUND(MIN(1,($L93-$O93/Pricing!$H93*$Q93)/(Pricing!$R93-Pricing!$O93)),4)))</f>
        <v/>
      </c>
      <c r="U93" s="163" t="str">
        <f>IF($Q93="","",IF($L93=0,0,IF(OR(R93&lt;$B$10,AND($B$17,$T93&lt;1)),0,$L93*(1-$P93)-$O93/Pricing!$H93*$Q93-IF($B$17,Pricing!$R93-Pricing!$O93,0))*IF($B$18=1,1,Pricing!$H93/IF($B$18=2,INDEX(Pricing!$H$5:$H$116,$B$9+1),INDEX(Pricing!$H$5:$H$116,$B$10+1)))))</f>
        <v/>
      </c>
      <c r="V93" s="425" t="str">
        <f>IF($E93="","",(1-$B$24*($B$10-$E93))*MIN($B$22+(1-$B$22)*$E93/MIN($B$23,$B$9),1)*(Pricing!$U93-$I93))</f>
        <v/>
      </c>
      <c r="W93" s="35" t="str">
        <f>IF($E93="","",IF(F93&gt;16,0,MAX(INDEX($L$6:$L$116,$W$4)*(1+2.25%)^0.5-INDEX($N$6:$N$116,$W$4)/$B$11*Pricing!M93,0)))</f>
        <v/>
      </c>
      <c r="X93" s="428" t="e">
        <f>SUMPRODUCT(Reserve!G93:G$116,W93:W$116)/Reserve!H93</f>
        <v>#VALUE!</v>
      </c>
    </row>
    <row r="94" spans="4:24" x14ac:dyDescent="0.3">
      <c r="D94" s="215">
        <v>89</v>
      </c>
      <c r="E94" s="217" t="str">
        <f t="shared" si="6"/>
        <v/>
      </c>
      <c r="F94" s="228" t="str">
        <f t="shared" si="7"/>
        <v/>
      </c>
      <c r="G94" s="162" t="str">
        <f>IF($E94="","",ROUND((1-$B$24*($B$10-$E94))*MIN($B$22+(1-$B$22)*$E94/MIN($B$23,$B$9),1)*(Pricing!$U94-$I94),0))</f>
        <v/>
      </c>
      <c r="H94" s="163" t="str">
        <f t="shared" si="8"/>
        <v/>
      </c>
      <c r="I94" s="163" t="str">
        <f>IF($E94="","",Pricing!$N94+Pricing!$O94)</f>
        <v/>
      </c>
      <c r="J94" s="220" t="str">
        <f>IF(OR($E94=0,$E94=""),"",(NPV($B$13,$I$5:$I94)+$G94*(1+$B$13)^-($E94+1))/NPV($B$13,$H$5:$H93))</f>
        <v/>
      </c>
      <c r="K94" s="220" t="str">
        <f>IF($E94="","",IFERROR(((G94+I94)/(NPV(K94,H$5:H93)*(1+K94)-NPV(K94,I$5:I93)*(1+K94)))^(1/E94)-1,0))</f>
        <v/>
      </c>
      <c r="L94" s="163" t="str">
        <f>IF(OR($E94&gt;=$B$9,$E94=0),"",MAX(Pricing!$U94-$I94-0.01*$B$11,$V94))</f>
        <v/>
      </c>
      <c r="M94" s="163" t="str">
        <f>IF($E94="","",ROUND(Pricing!Q94+Pricing!R94-SUMPRODUCT(Pricing!G94:G$116,Pricing!L94:L$116)/Pricing!H94-$I94,0))</f>
        <v/>
      </c>
      <c r="N94" s="163" t="str">
        <f t="shared" si="9"/>
        <v/>
      </c>
      <c r="O94" s="163" t="str">
        <f>IF(E94="","",IF(AND(Pricing!$K$3,$B$19),SUMIF(F94:F$116,"&gt;=" &amp; 16,Pricing!G94:G$116),SUM(Pricing!$G94:$G$116)))</f>
        <v/>
      </c>
      <c r="P94" s="427" t="str">
        <f>IF(OR($E94="",$E94=0),"",IF(OR(NOT($B$19),$F94&gt;=16,$E94=$B$10),0,((1+2.25%)*$P95*Pricing!$H95+(1+Pricing!$K$3)^0.5*Pricing!$G94)/Pricing!$H94))</f>
        <v/>
      </c>
      <c r="Q94" s="163" t="str">
        <f>IF(OR($E94&gt;=$B$9,$E94=0,AND(NOT($B$19),$F94&lt;16)),"",MAX(Pricing!$I93,Pricing!$U94))</f>
        <v/>
      </c>
      <c r="R94" s="163" t="str">
        <f>IF($Q94="","",IF($L94=0,E94,COUNTIF($O95:$O$116,"&gt;=" &amp; $O94-$L94*(1-$P94)/$Q94*Pricing!$H94)+$E94))</f>
        <v/>
      </c>
      <c r="S94" s="163" t="str">
        <f>IF($Q94="","",IF($L94=0,0,IF(R94&lt;$B$10,ROUND((L94*(1-P94)-(O94-INDEX(O94:O$116,R94-E94+1))/Pricing!H94*Q94)/(INDEX(Pricing!G94:G$116,R94-E94+1)/Pricing!H94*Q94)*365,0),0)))</f>
        <v/>
      </c>
      <c r="T94" s="220" t="str">
        <f>IF(OR($Q94="",NOT($B$17)),"",IF($R94&lt;$B$10,0,ROUND(MIN(1,($L94-$O94/Pricing!$H94*$Q94)/(Pricing!$R94-Pricing!$O94)),4)))</f>
        <v/>
      </c>
      <c r="U94" s="163" t="str">
        <f>IF($Q94="","",IF($L94=0,0,IF(OR(R94&lt;$B$10,AND($B$17,$T94&lt;1)),0,$L94*(1-$P94)-$O94/Pricing!$H94*$Q94-IF($B$17,Pricing!$R94-Pricing!$O94,0))*IF($B$18=1,1,Pricing!$H94/IF($B$18=2,INDEX(Pricing!$H$5:$H$116,$B$9+1),INDEX(Pricing!$H$5:$H$116,$B$10+1)))))</f>
        <v/>
      </c>
      <c r="V94" s="425" t="str">
        <f>IF($E94="","",(1-$B$24*($B$10-$E94))*MIN($B$22+(1-$B$22)*$E94/MIN($B$23,$B$9),1)*(Pricing!$U94-$I94))</f>
        <v/>
      </c>
      <c r="W94" s="35" t="str">
        <f>IF($E94="","",IF(F94&gt;16,0,MAX(INDEX($L$6:$L$116,$W$4)*(1+2.25%)^0.5-INDEX($N$6:$N$116,$W$4)/$B$11*Pricing!M94,0)))</f>
        <v/>
      </c>
      <c r="X94" s="428" t="e">
        <f>SUMPRODUCT(Reserve!G94:G$116,W94:W$116)/Reserve!H94</f>
        <v>#VALUE!</v>
      </c>
    </row>
    <row r="95" spans="4:24" x14ac:dyDescent="0.3">
      <c r="D95" s="215">
        <v>90</v>
      </c>
      <c r="E95" s="233" t="str">
        <f t="shared" si="6"/>
        <v/>
      </c>
      <c r="F95" s="234" t="str">
        <f t="shared" si="7"/>
        <v/>
      </c>
      <c r="G95" s="165" t="str">
        <f>IF($E95="","",ROUND((1-$B$24*($B$10-$E95))*MIN($B$22+(1-$B$22)*$E95/MIN($B$23,$B$9),1)*(Pricing!$U95-$I95),0))</f>
        <v/>
      </c>
      <c r="H95" s="166" t="str">
        <f t="shared" si="8"/>
        <v/>
      </c>
      <c r="I95" s="166" t="str">
        <f>IF($E95="","",Pricing!$N95+Pricing!$O95)</f>
        <v/>
      </c>
      <c r="J95" s="235" t="str">
        <f>IF(OR($E95=0,$E95=""),"",(NPV($B$13,$I$5:$I95)+$G95*(1+$B$13)^-($E95+1))/NPV($B$13,$H$5:$H94))</f>
        <v/>
      </c>
      <c r="K95" s="235" t="str">
        <f>IF($E95="","",IFERROR(((G95+I95)/(NPV(K95,H$5:H94)*(1+K95)-NPV(K95,I$5:I94)*(1+K95)))^(1/E95)-1,0))</f>
        <v/>
      </c>
      <c r="L95" s="166" t="str">
        <f>IF(OR($E95&gt;=$B$9,$E95=0),"",MAX(Pricing!$U95-$I95-0.01*$B$11,$V95))</f>
        <v/>
      </c>
      <c r="M95" s="166" t="str">
        <f>IF($E95="","",ROUND(Pricing!Q95+Pricing!R95-SUMPRODUCT(Pricing!G95:G$116,Pricing!L95:L$116)/Pricing!H95-$I95,0))</f>
        <v/>
      </c>
      <c r="N95" s="166" t="str">
        <f t="shared" si="9"/>
        <v/>
      </c>
      <c r="O95" s="166" t="str">
        <f>IF(E95="","",IF(AND(Pricing!$K$3,$B$19),SUMIF(F95:F$116,"&gt;=" &amp; 16,Pricing!G95:G$116),SUM(Pricing!$G95:$G$116)))</f>
        <v/>
      </c>
      <c r="P95" s="429" t="str">
        <f>IF(OR($E95="",$E95=0),"",IF(OR(NOT($B$19),$F95&gt;=16,$E95=$B$10),0,((1+2.25%)*$P96*Pricing!$H96+(1+Pricing!$K$3)^0.5*Pricing!$G95)/Pricing!$H95))</f>
        <v/>
      </c>
      <c r="Q95" s="166" t="str">
        <f>IF(OR($E95&gt;=$B$9,$E95=0,AND(NOT($B$19),$F95&lt;16)),"",MAX(Pricing!$I94,Pricing!$U95))</f>
        <v/>
      </c>
      <c r="R95" s="166" t="str">
        <f>IF($Q95="","",IF($L95=0,E95,COUNTIF($O96:$O$116,"&gt;=" &amp; $O95-$L95*(1-$P95)/$Q95*Pricing!$H95)+$E95))</f>
        <v/>
      </c>
      <c r="S95" s="166" t="str">
        <f>IF($Q95="","",IF($L95=0,0,IF(R95&lt;$B$10,ROUND((L95*(1-P95)-(O95-INDEX(O95:O$116,R95-E95+1))/Pricing!H95*Q95)/(INDEX(Pricing!G95:G$116,R95-E95+1)/Pricing!H95*Q95)*365,0),0)))</f>
        <v/>
      </c>
      <c r="T95" s="235" t="str">
        <f>IF(OR($Q95="",NOT($B$17)),"",IF($R95&lt;$B$10,0,ROUND(MIN(1,($L95-$O95/Pricing!$H95*$Q95)/(Pricing!$R95-Pricing!$O95)),4)))</f>
        <v/>
      </c>
      <c r="U95" s="166" t="str">
        <f>IF($Q95="","",IF($L95=0,0,IF(OR(R95&lt;$B$10,AND($B$17,$T95&lt;1)),0,$L95*(1-$P95)-$O95/Pricing!$H95*$Q95-IF($B$17,Pricing!$R95-Pricing!$O95,0))*IF($B$18=1,1,Pricing!$H95/IF($B$18=2,INDEX(Pricing!$H$5:$H$116,$B$9+1),INDEX(Pricing!$H$5:$H$116,$B$10+1)))))</f>
        <v/>
      </c>
      <c r="V95" s="425" t="str">
        <f>IF($E95="","",(1-$B$24*($B$10-$E95))*MIN($B$22+(1-$B$22)*$E95/MIN($B$23,$B$9),1)*(Pricing!$U95-$I95))</f>
        <v/>
      </c>
      <c r="W95" s="35" t="str">
        <f>IF($E95="","",IF(F95&gt;16,0,MAX(INDEX($L$6:$L$116,$W$4)*(1+2.25%)^0.5-INDEX($N$6:$N$116,$W$4)/$B$11*Pricing!M95,0)))</f>
        <v/>
      </c>
      <c r="X95" s="428" t="e">
        <f>SUMPRODUCT(Reserve!G95:G$116,W95:W$116)/Reserve!H95</f>
        <v>#VALUE!</v>
      </c>
    </row>
    <row r="96" spans="4:24" x14ac:dyDescent="0.3">
      <c r="D96" s="215">
        <v>91</v>
      </c>
      <c r="E96" s="217" t="str">
        <f t="shared" si="6"/>
        <v/>
      </c>
      <c r="F96" s="228" t="str">
        <f t="shared" si="7"/>
        <v/>
      </c>
      <c r="G96" s="162" t="str">
        <f>IF($E96="","",ROUND((1-$B$24*($B$10-$E96))*MIN($B$22+(1-$B$22)*$E96/MIN($B$23,$B$9),1)*(Pricing!$U96-$I96),0))</f>
        <v/>
      </c>
      <c r="H96" s="163" t="str">
        <f t="shared" si="8"/>
        <v/>
      </c>
      <c r="I96" s="163" t="str">
        <f>IF($E96="","",Pricing!$N96+Pricing!$O96)</f>
        <v/>
      </c>
      <c r="J96" s="220" t="str">
        <f>IF(OR($E96=0,$E96=""),"",(NPV($B$13,$I$5:$I96)+$G96*(1+$B$13)^-($E96+1))/NPV($B$13,$H$5:$H95))</f>
        <v/>
      </c>
      <c r="K96" s="220" t="str">
        <f>IF($E96="","",IFERROR(((G96+I96)/(NPV(K96,H$5:H95)*(1+K96)-NPV(K96,I$5:I95)*(1+K96)))^(1/E96)-1,0))</f>
        <v/>
      </c>
      <c r="L96" s="163" t="str">
        <f>IF(OR($E96&gt;=$B$9,$E96=0),"",MAX(Pricing!$U96-$I96-0.01*$B$11,$V96))</f>
        <v/>
      </c>
      <c r="M96" s="163" t="str">
        <f>IF($E96="","",ROUND(Pricing!Q96+Pricing!R96-SUMPRODUCT(Pricing!G96:G$116,Pricing!L96:L$116)/Pricing!H96-$I96,0))</f>
        <v/>
      </c>
      <c r="N96" s="163" t="str">
        <f t="shared" si="9"/>
        <v/>
      </c>
      <c r="O96" s="163" t="str">
        <f>IF(E96="","",IF(AND(Pricing!$K$3,$B$19),SUMIF(F96:F$116,"&gt;=" &amp; 16,Pricing!G96:G$116),SUM(Pricing!$G96:$G$116)))</f>
        <v/>
      </c>
      <c r="P96" s="427" t="str">
        <f>IF(OR($E96="",$E96=0),"",IF(OR(NOT($B$19),$F96&gt;=16,$E96=$B$10),0,((1+2.25%)*$P97*Pricing!$H97+(1+Pricing!$K$3)^0.5*Pricing!$G96)/Pricing!$H96))</f>
        <v/>
      </c>
      <c r="Q96" s="163" t="str">
        <f>IF(OR($E96&gt;=$B$9,$E96=0,AND(NOT($B$19),$F96&lt;16)),"",MAX(Pricing!$I95,Pricing!$U96))</f>
        <v/>
      </c>
      <c r="R96" s="163" t="str">
        <f>IF($Q96="","",IF($L96=0,E96,COUNTIF($O97:$O$116,"&gt;=" &amp; $O96-$L96*(1-$P96)/$Q96*Pricing!$H96)+$E96))</f>
        <v/>
      </c>
      <c r="S96" s="163" t="str">
        <f>IF($Q96="","",IF($L96=0,0,IF(R96&lt;$B$10,ROUND((L96*(1-P96)-(O96-INDEX(O96:O$116,R96-E96+1))/Pricing!H96*Q96)/(INDEX(Pricing!G96:G$116,R96-E96+1)/Pricing!H96*Q96)*365,0),0)))</f>
        <v/>
      </c>
      <c r="T96" s="220" t="str">
        <f>IF(OR($Q96="",NOT($B$17)),"",IF($R96&lt;$B$10,0,ROUND(MIN(1,($L96-$O96/Pricing!$H96*$Q96)/(Pricing!$R96-Pricing!$O96)),4)))</f>
        <v/>
      </c>
      <c r="U96" s="163" t="str">
        <f>IF($Q96="","",IF($L96=0,0,IF(OR(R96&lt;$B$10,AND($B$17,$T96&lt;1)),0,$L96*(1-$P96)-$O96/Pricing!$H96*$Q96-IF($B$17,Pricing!$R96-Pricing!$O96,0))*IF($B$18=1,1,Pricing!$H96/IF($B$18=2,INDEX(Pricing!$H$5:$H$116,$B$9+1),INDEX(Pricing!$H$5:$H$116,$B$10+1)))))</f>
        <v/>
      </c>
      <c r="V96" s="425" t="str">
        <f>IF($E96="","",(1-$B$24*($B$10-$E96))*MIN($B$22+(1-$B$22)*$E96/MIN($B$23,$B$9),1)*(Pricing!$U96-$I96))</f>
        <v/>
      </c>
      <c r="W96" s="35" t="str">
        <f>IF($E96="","",IF(F96&gt;16,0,MAX(INDEX($L$6:$L$116,$W$4)*(1+2.25%)^0.5-INDEX($N$6:$N$116,$W$4)/$B$11*Pricing!M96,0)))</f>
        <v/>
      </c>
      <c r="X96" s="428" t="e">
        <f>SUMPRODUCT(Reserve!G96:G$116,W96:W$116)/Reserve!H96</f>
        <v>#VALUE!</v>
      </c>
    </row>
    <row r="97" spans="4:24" x14ac:dyDescent="0.3">
      <c r="D97" s="215">
        <v>92</v>
      </c>
      <c r="E97" s="217" t="str">
        <f t="shared" si="6"/>
        <v/>
      </c>
      <c r="F97" s="228" t="str">
        <f t="shared" si="7"/>
        <v/>
      </c>
      <c r="G97" s="162" t="str">
        <f>IF($E97="","",ROUND((1-$B$24*($B$10-$E97))*MIN($B$22+(1-$B$22)*$E97/MIN($B$23,$B$9),1)*(Pricing!$U97-$I97),0))</f>
        <v/>
      </c>
      <c r="H97" s="163" t="str">
        <f t="shared" si="8"/>
        <v/>
      </c>
      <c r="I97" s="163" t="str">
        <f>IF($E97="","",Pricing!$N97+Pricing!$O97)</f>
        <v/>
      </c>
      <c r="J97" s="220" t="str">
        <f>IF(OR($E97=0,$E97=""),"",(NPV($B$13,$I$5:$I97)+$G97*(1+$B$13)^-($E97+1))/NPV($B$13,$H$5:$H96))</f>
        <v/>
      </c>
      <c r="K97" s="220" t="str">
        <f>IF($E97="","",IFERROR(((G97+I97)/(NPV(K97,H$5:H96)*(1+K97)-NPV(K97,I$5:I96)*(1+K97)))^(1/E97)-1,0))</f>
        <v/>
      </c>
      <c r="L97" s="163" t="str">
        <f>IF(OR($E97&gt;=$B$9,$E97=0),"",MAX(Pricing!$U97-$I97-0.01*$B$11,$V97))</f>
        <v/>
      </c>
      <c r="M97" s="163" t="str">
        <f>IF($E97="","",ROUND(Pricing!Q97+Pricing!R97-SUMPRODUCT(Pricing!G97:G$116,Pricing!L97:L$116)/Pricing!H97-$I97,0))</f>
        <v/>
      </c>
      <c r="N97" s="163" t="str">
        <f t="shared" si="9"/>
        <v/>
      </c>
      <c r="O97" s="163" t="str">
        <f>IF(E97="","",IF(AND(Pricing!$K$3,$B$19),SUMIF(F97:F$116,"&gt;=" &amp; 16,Pricing!G97:G$116),SUM(Pricing!$G97:$G$116)))</f>
        <v/>
      </c>
      <c r="P97" s="427" t="str">
        <f>IF(OR($E97="",$E97=0),"",IF(OR(NOT($B$19),$F97&gt;=16,$E97=$B$10),0,((1+2.25%)*$P98*Pricing!$H98+(1+Pricing!$K$3)^0.5*Pricing!$G97)/Pricing!$H97))</f>
        <v/>
      </c>
      <c r="Q97" s="163" t="str">
        <f>IF(OR($E97&gt;=$B$9,$E97=0,AND(NOT($B$19),$F97&lt;16)),"",MAX(Pricing!$I96,Pricing!$U97))</f>
        <v/>
      </c>
      <c r="R97" s="163" t="str">
        <f>IF($Q97="","",IF($L97=0,E97,COUNTIF($O98:$O$116,"&gt;=" &amp; $O97-$L97*(1-$P97)/$Q97*Pricing!$H97)+$E97))</f>
        <v/>
      </c>
      <c r="S97" s="163" t="str">
        <f>IF($Q97="","",IF($L97=0,0,IF(R97&lt;$B$10,ROUND((L97*(1-P97)-(O97-INDEX(O97:O$116,R97-E97+1))/Pricing!H97*Q97)/(INDEX(Pricing!G97:G$116,R97-E97+1)/Pricing!H97*Q97)*365,0),0)))</f>
        <v/>
      </c>
      <c r="T97" s="220" t="str">
        <f>IF(OR($Q97="",NOT($B$17)),"",IF($R97&lt;$B$10,0,ROUND(MIN(1,($L97-$O97/Pricing!$H97*$Q97)/(Pricing!$R97-Pricing!$O97)),4)))</f>
        <v/>
      </c>
      <c r="U97" s="163" t="str">
        <f>IF($Q97="","",IF($L97=0,0,IF(OR(R97&lt;$B$10,AND($B$17,$T97&lt;1)),0,$L97*(1-$P97)-$O97/Pricing!$H97*$Q97-IF($B$17,Pricing!$R97-Pricing!$O97,0))*IF($B$18=1,1,Pricing!$H97/IF($B$18=2,INDEX(Pricing!$H$5:$H$116,$B$9+1),INDEX(Pricing!$H$5:$H$116,$B$10+1)))))</f>
        <v/>
      </c>
      <c r="V97" s="425" t="str">
        <f>IF($E97="","",(1-$B$24*($B$10-$E97))*MIN($B$22+(1-$B$22)*$E97/MIN($B$23,$B$9),1)*(Pricing!$U97-$I97))</f>
        <v/>
      </c>
      <c r="W97" s="35" t="str">
        <f>IF($E97="","",IF(F97&gt;16,0,MAX(INDEX($L$6:$L$116,$W$4)*(1+2.25%)^0.5-INDEX($N$6:$N$116,$W$4)/$B$11*Pricing!M97,0)))</f>
        <v/>
      </c>
      <c r="X97" s="428" t="e">
        <f>SUMPRODUCT(Reserve!G97:G$116,W97:W$116)/Reserve!H97</f>
        <v>#VALUE!</v>
      </c>
    </row>
    <row r="98" spans="4:24" x14ac:dyDescent="0.3">
      <c r="D98" s="215">
        <v>93</v>
      </c>
      <c r="E98" s="217" t="str">
        <f t="shared" si="6"/>
        <v/>
      </c>
      <c r="F98" s="228" t="str">
        <f t="shared" si="7"/>
        <v/>
      </c>
      <c r="G98" s="162" t="str">
        <f>IF($E98="","",ROUND((1-$B$24*($B$10-$E98))*MIN($B$22+(1-$B$22)*$E98/MIN($B$23,$B$9),1)*(Pricing!$U98-$I98),0))</f>
        <v/>
      </c>
      <c r="H98" s="163" t="str">
        <f t="shared" si="8"/>
        <v/>
      </c>
      <c r="I98" s="163" t="str">
        <f>IF($E98="","",Pricing!$N98+Pricing!$O98)</f>
        <v/>
      </c>
      <c r="J98" s="220" t="str">
        <f>IF(OR($E98=0,$E98=""),"",(NPV($B$13,$I$5:$I98)+$G98*(1+$B$13)^-($E98+1))/NPV($B$13,$H$5:$H97))</f>
        <v/>
      </c>
      <c r="K98" s="220" t="str">
        <f>IF($E98="","",IFERROR(((G98+I98)/(NPV(K98,H$5:H97)*(1+K98)-NPV(K98,I$5:I97)*(1+K98)))^(1/E98)-1,0))</f>
        <v/>
      </c>
      <c r="L98" s="163" t="str">
        <f>IF(OR($E98&gt;=$B$9,$E98=0),"",MAX(Pricing!$U98-$I98-0.01*$B$11,$V98))</f>
        <v/>
      </c>
      <c r="M98" s="163" t="str">
        <f>IF($E98="","",ROUND(Pricing!Q98+Pricing!R98-SUMPRODUCT(Pricing!G98:G$116,Pricing!L98:L$116)/Pricing!H98-$I98,0))</f>
        <v/>
      </c>
      <c r="N98" s="163" t="str">
        <f t="shared" si="9"/>
        <v/>
      </c>
      <c r="O98" s="163" t="str">
        <f>IF(E98="","",IF(AND(Pricing!$K$3,$B$19),SUMIF(F98:F$116,"&gt;=" &amp; 16,Pricing!G98:G$116),SUM(Pricing!$G98:$G$116)))</f>
        <v/>
      </c>
      <c r="P98" s="427" t="str">
        <f>IF(OR($E98="",$E98=0),"",IF(OR(NOT($B$19),$F98&gt;=16,$E98=$B$10),0,((1+2.25%)*$P99*Pricing!$H99+(1+Pricing!$K$3)^0.5*Pricing!$G98)/Pricing!$H98))</f>
        <v/>
      </c>
      <c r="Q98" s="163" t="str">
        <f>IF(OR($E98&gt;=$B$9,$E98=0,AND(NOT($B$19),$F98&lt;16)),"",MAX(Pricing!$I97,Pricing!$U98))</f>
        <v/>
      </c>
      <c r="R98" s="163" t="str">
        <f>IF($Q98="","",IF($L98=0,E98,COUNTIF($O99:$O$116,"&gt;=" &amp; $O98-$L98*(1-$P98)/$Q98*Pricing!$H98)+$E98))</f>
        <v/>
      </c>
      <c r="S98" s="163" t="str">
        <f>IF($Q98="","",IF($L98=0,0,IF(R98&lt;$B$10,ROUND((L98*(1-P98)-(O98-INDEX(O98:O$116,R98-E98+1))/Pricing!H98*Q98)/(INDEX(Pricing!G98:G$116,R98-E98+1)/Pricing!H98*Q98)*365,0),0)))</f>
        <v/>
      </c>
      <c r="T98" s="220" t="str">
        <f>IF(OR($Q98="",NOT($B$17)),"",IF($R98&lt;$B$10,0,ROUND(MIN(1,($L98-$O98/Pricing!$H98*$Q98)/(Pricing!$R98-Pricing!$O98)),4)))</f>
        <v/>
      </c>
      <c r="U98" s="163" t="str">
        <f>IF($Q98="","",IF($L98=0,0,IF(OR(R98&lt;$B$10,AND($B$17,$T98&lt;1)),0,$L98*(1-$P98)-$O98/Pricing!$H98*$Q98-IF($B$17,Pricing!$R98-Pricing!$O98,0))*IF($B$18=1,1,Pricing!$H98/IF($B$18=2,INDEX(Pricing!$H$5:$H$116,$B$9+1),INDEX(Pricing!$H$5:$H$116,$B$10+1)))))</f>
        <v/>
      </c>
      <c r="V98" s="425" t="str">
        <f>IF($E98="","",(1-$B$24*($B$10-$E98))*MIN($B$22+(1-$B$22)*$E98/MIN($B$23,$B$9),1)*(Pricing!$U98-$I98))</f>
        <v/>
      </c>
      <c r="W98" s="35" t="str">
        <f>IF($E98="","",IF(F98&gt;16,0,MAX(INDEX($L$6:$L$116,$W$4)*(1+2.25%)^0.5-INDEX($N$6:$N$116,$W$4)/$B$11*Pricing!M98,0)))</f>
        <v/>
      </c>
      <c r="X98" s="428" t="e">
        <f>SUMPRODUCT(Reserve!G98:G$116,W98:W$116)/Reserve!H98</f>
        <v>#VALUE!</v>
      </c>
    </row>
    <row r="99" spans="4:24" x14ac:dyDescent="0.3">
      <c r="D99" s="215">
        <v>94</v>
      </c>
      <c r="E99" s="217" t="str">
        <f t="shared" si="6"/>
        <v/>
      </c>
      <c r="F99" s="228" t="str">
        <f t="shared" si="7"/>
        <v/>
      </c>
      <c r="G99" s="162" t="str">
        <f>IF($E99="","",ROUND((1-$B$24*($B$10-$E99))*MIN($B$22+(1-$B$22)*$E99/MIN($B$23,$B$9),1)*(Pricing!$U99-$I99),0))</f>
        <v/>
      </c>
      <c r="H99" s="163" t="str">
        <f t="shared" si="8"/>
        <v/>
      </c>
      <c r="I99" s="163" t="str">
        <f>IF($E99="","",Pricing!$N99+Pricing!$O99)</f>
        <v/>
      </c>
      <c r="J99" s="220" t="str">
        <f>IF(OR($E99=0,$E99=""),"",(NPV($B$13,$I$5:$I99)+$G99*(1+$B$13)^-($E99+1))/NPV($B$13,$H$5:$H98))</f>
        <v/>
      </c>
      <c r="K99" s="220" t="str">
        <f>IF($E99="","",IFERROR(((G99+I99)/(NPV(K99,H$5:H98)*(1+K99)-NPV(K99,I$5:I98)*(1+K99)))^(1/E99)-1,0))</f>
        <v/>
      </c>
      <c r="L99" s="163" t="str">
        <f>IF(OR($E99&gt;=$B$9,$E99=0),"",MAX(Pricing!$U99-$I99-0.01*$B$11,$V99))</f>
        <v/>
      </c>
      <c r="M99" s="163" t="str">
        <f>IF($E99="","",ROUND(Pricing!Q99+Pricing!R99-SUMPRODUCT(Pricing!G99:G$116,Pricing!L99:L$116)/Pricing!H99-$I99,0))</f>
        <v/>
      </c>
      <c r="N99" s="163" t="str">
        <f t="shared" si="9"/>
        <v/>
      </c>
      <c r="O99" s="163" t="str">
        <f>IF(E99="","",IF(AND(Pricing!$K$3,$B$19),SUMIF(F99:F$116,"&gt;=" &amp; 16,Pricing!G99:G$116),SUM(Pricing!$G99:$G$116)))</f>
        <v/>
      </c>
      <c r="P99" s="427" t="str">
        <f>IF(OR($E99="",$E99=0),"",IF(OR(NOT($B$19),$F99&gt;=16,$E99=$B$10),0,((1+2.25%)*$P100*Pricing!$H100+(1+Pricing!$K$3)^0.5*Pricing!$G99)/Pricing!$H99))</f>
        <v/>
      </c>
      <c r="Q99" s="163" t="str">
        <f>IF(OR($E99&gt;=$B$9,$E99=0,AND(NOT($B$19),$F99&lt;16)),"",MAX(Pricing!$I98,Pricing!$U99))</f>
        <v/>
      </c>
      <c r="R99" s="163" t="str">
        <f>IF($Q99="","",IF($L99=0,E99,COUNTIF($O100:$O$116,"&gt;=" &amp; $O99-$L99*(1-$P99)/$Q99*Pricing!$H99)+$E99))</f>
        <v/>
      </c>
      <c r="S99" s="163" t="str">
        <f>IF($Q99="","",IF($L99=0,0,IF(R99&lt;$B$10,ROUND((L99*(1-P99)-(O99-INDEX(O99:O$116,R99-E99+1))/Pricing!H99*Q99)/(INDEX(Pricing!G99:G$116,R99-E99+1)/Pricing!H99*Q99)*365,0),0)))</f>
        <v/>
      </c>
      <c r="T99" s="220" t="str">
        <f>IF(OR($Q99="",NOT($B$17)),"",IF($R99&lt;$B$10,0,ROUND(MIN(1,($L99-$O99/Pricing!$H99*$Q99)/(Pricing!$R99-Pricing!$O99)),4)))</f>
        <v/>
      </c>
      <c r="U99" s="163" t="str">
        <f>IF($Q99="","",IF($L99=0,0,IF(OR(R99&lt;$B$10,AND($B$17,$T99&lt;1)),0,$L99*(1-$P99)-$O99/Pricing!$H99*$Q99-IF($B$17,Pricing!$R99-Pricing!$O99,0))*IF($B$18=1,1,Pricing!$H99/IF($B$18=2,INDEX(Pricing!$H$5:$H$116,$B$9+1),INDEX(Pricing!$H$5:$H$116,$B$10+1)))))</f>
        <v/>
      </c>
      <c r="V99" s="425" t="str">
        <f>IF($E99="","",(1-$B$24*($B$10-$E99))*MIN($B$22+(1-$B$22)*$E99/MIN($B$23,$B$9),1)*(Pricing!$U99-$I99))</f>
        <v/>
      </c>
      <c r="W99" s="35" t="str">
        <f>IF($E99="","",IF(F99&gt;16,0,MAX(INDEX($L$6:$L$116,$W$4)*(1+2.25%)^0.5-INDEX($N$6:$N$116,$W$4)/$B$11*Pricing!M99,0)))</f>
        <v/>
      </c>
      <c r="X99" s="428" t="e">
        <f>SUMPRODUCT(Reserve!G99:G$116,W99:W$116)/Reserve!H99</f>
        <v>#VALUE!</v>
      </c>
    </row>
    <row r="100" spans="4:24" x14ac:dyDescent="0.3">
      <c r="D100" s="215">
        <v>95</v>
      </c>
      <c r="E100" s="233" t="str">
        <f t="shared" si="6"/>
        <v/>
      </c>
      <c r="F100" s="234" t="str">
        <f t="shared" si="7"/>
        <v/>
      </c>
      <c r="G100" s="165" t="str">
        <f>IF($E100="","",ROUND((1-$B$24*($B$10-$E100))*MIN($B$22+(1-$B$22)*$E100/MIN($B$23,$B$9),1)*(Pricing!$U100-$I100),0))</f>
        <v/>
      </c>
      <c r="H100" s="166" t="str">
        <f t="shared" si="8"/>
        <v/>
      </c>
      <c r="I100" s="166" t="str">
        <f>IF($E100="","",Pricing!$N100+Pricing!$O100)</f>
        <v/>
      </c>
      <c r="J100" s="235" t="str">
        <f>IF(OR($E100=0,$E100=""),"",(NPV($B$13,$I$5:$I100)+$G100*(1+$B$13)^-($E100+1))/NPV($B$13,$H$5:$H99))</f>
        <v/>
      </c>
      <c r="K100" s="235" t="str">
        <f>IF($E100="","",IFERROR(((G100+I100)/(NPV(K100,H$5:H99)*(1+K100)-NPV(K100,I$5:I99)*(1+K100)))^(1/E100)-1,0))</f>
        <v/>
      </c>
      <c r="L100" s="166" t="str">
        <f>IF(OR($E100&gt;=$B$9,$E100=0),"",MAX(Pricing!$U100-$I100-0.01*$B$11,$V100))</f>
        <v/>
      </c>
      <c r="M100" s="166" t="str">
        <f>IF($E100="","",ROUND(Pricing!Q100+Pricing!R100-SUMPRODUCT(Pricing!G100:G$116,Pricing!L100:L$116)/Pricing!H100-$I100,0))</f>
        <v/>
      </c>
      <c r="N100" s="166" t="str">
        <f t="shared" si="9"/>
        <v/>
      </c>
      <c r="O100" s="166" t="str">
        <f>IF(E100="","",IF(AND(Pricing!$K$3,$B$19),SUMIF(F100:F$116,"&gt;=" &amp; 16,Pricing!G100:G$116),SUM(Pricing!$G100:$G$116)))</f>
        <v/>
      </c>
      <c r="P100" s="429" t="str">
        <f>IF(OR($E100="",$E100=0),"",IF(OR(NOT($B$19),$F100&gt;=16,$E100=$B$10),0,((1+2.25%)*$P101*Pricing!$H101+(1+Pricing!$K$3)^0.5*Pricing!$G100)/Pricing!$H100))</f>
        <v/>
      </c>
      <c r="Q100" s="166" t="str">
        <f>IF(OR($E100&gt;=$B$9,$E100=0,AND(NOT($B$19),$F100&lt;16)),"",MAX(Pricing!$I99,Pricing!$U100))</f>
        <v/>
      </c>
      <c r="R100" s="166" t="str">
        <f>IF($Q100="","",IF($L100=0,E100,COUNTIF($O101:$O$116,"&gt;=" &amp; $O100-$L100*(1-$P100)/$Q100*Pricing!$H100)+$E100))</f>
        <v/>
      </c>
      <c r="S100" s="166" t="str">
        <f>IF($Q100="","",IF($L100=0,0,IF(R100&lt;$B$10,ROUND((L100*(1-P100)-(O100-INDEX(O100:O$116,R100-E100+1))/Pricing!H100*Q100)/(INDEX(Pricing!G100:G$116,R100-E100+1)/Pricing!H100*Q100)*365,0),0)))</f>
        <v/>
      </c>
      <c r="T100" s="235" t="str">
        <f>IF(OR($Q100="",NOT($B$17)),"",IF($R100&lt;$B$10,0,ROUND(MIN(1,($L100-$O100/Pricing!$H100*$Q100)/(Pricing!$R100-Pricing!$O100)),4)))</f>
        <v/>
      </c>
      <c r="U100" s="166" t="str">
        <f>IF($Q100="","",IF($L100=0,0,IF(OR(R100&lt;$B$10,AND($B$17,$T100&lt;1)),0,$L100*(1-$P100)-$O100/Pricing!$H100*$Q100-IF($B$17,Pricing!$R100-Pricing!$O100,0))*IF($B$18=1,1,Pricing!$H100/IF($B$18=2,INDEX(Pricing!$H$5:$H$116,$B$9+1),INDEX(Pricing!$H$5:$H$116,$B$10+1)))))</f>
        <v/>
      </c>
      <c r="V100" s="425" t="str">
        <f>IF($E100="","",(1-$B$24*($B$10-$E100))*MIN($B$22+(1-$B$22)*$E100/MIN($B$23,$B$9),1)*(Pricing!$U100-$I100))</f>
        <v/>
      </c>
      <c r="W100" s="35" t="str">
        <f>IF($E100="","",IF(F100&gt;16,0,MAX(INDEX($L$6:$L$116,$W$4)*(1+2.25%)^0.5-INDEX($N$6:$N$116,$W$4)/$B$11*Pricing!M100,0)))</f>
        <v/>
      </c>
      <c r="X100" s="428" t="e">
        <f>SUMPRODUCT(Reserve!G100:G$116,W100:W$116)/Reserve!H100</f>
        <v>#VALUE!</v>
      </c>
    </row>
    <row r="101" spans="4:24" x14ac:dyDescent="0.3">
      <c r="D101" s="215">
        <v>96</v>
      </c>
      <c r="E101" s="217" t="str">
        <f t="shared" ref="E101:E116" si="10">IF(D101&lt;=$B$10,D101,"")</f>
        <v/>
      </c>
      <c r="F101" s="228" t="str">
        <f t="shared" ref="F101:F116" si="11">IF(E101="","",E101+$B$7)</f>
        <v/>
      </c>
      <c r="G101" s="162" t="str">
        <f>IF($E101="","",ROUND((1-$B$24*($B$10-$E101))*MIN($B$22+(1-$B$22)*$E101/MIN($B$23,$B$9),1)*(Pricing!$U101-$I101),0))</f>
        <v/>
      </c>
      <c r="H101" s="163" t="str">
        <f t="shared" si="8"/>
        <v/>
      </c>
      <c r="I101" s="163" t="str">
        <f>IF($E101="","",Pricing!$N101+Pricing!$O101)</f>
        <v/>
      </c>
      <c r="J101" s="220" t="str">
        <f>IF(OR($E101=0,$E101=""),"",(NPV($B$13,$I$5:$I101)+$G101*(1+$B$13)^-($E101+1))/NPV($B$13,$H$5:$H100))</f>
        <v/>
      </c>
      <c r="K101" s="220" t="str">
        <f>IF($E101="","",IFERROR(((G101+I101)/(NPV(K101,H$5:H100)*(1+K101)-NPV(K101,I$5:I100)*(1+K101)))^(1/E101)-1,0))</f>
        <v/>
      </c>
      <c r="L101" s="163" t="str">
        <f>IF(OR($E101&gt;=$B$9,$E101=0),"",MAX(Pricing!$U101-$I101-0.01*$B$11,$V101))</f>
        <v/>
      </c>
      <c r="M101" s="163" t="str">
        <f>IF($E101="","",ROUND(Pricing!Q101+Pricing!R101-SUMPRODUCT(Pricing!G101:G$116,Pricing!L101:L$116)/Pricing!H101-$I101,0))</f>
        <v/>
      </c>
      <c r="N101" s="163" t="str">
        <f t="shared" si="9"/>
        <v/>
      </c>
      <c r="O101" s="163" t="str">
        <f>IF(E101="","",IF(AND(Pricing!$K$3,$B$19),SUMIF(F101:F$116,"&gt;=" &amp; 16,Pricing!G101:G$116),SUM(Pricing!$G101:$G$116)))</f>
        <v/>
      </c>
      <c r="P101" s="427" t="str">
        <f>IF(OR($E101="",$E101=0),"",IF(OR(NOT($B$19),$F101&gt;=16,$E101=$B$10),0,((1+2.25%)*$P102*Pricing!$H102+(1+Pricing!$K$3)^0.5*Pricing!$G101)/Pricing!$H101))</f>
        <v/>
      </c>
      <c r="Q101" s="163" t="str">
        <f>IF(OR($E101&gt;=$B$9,$E101=0,AND(NOT($B$19),$F101&lt;16)),"",MAX(Pricing!$I100,Pricing!$U101))</f>
        <v/>
      </c>
      <c r="R101" s="163" t="str">
        <f>IF($Q101="","",IF($L101=0,E101,COUNTIF($O102:$O$116,"&gt;=" &amp; $O101-$L101*(1-$P101)/$Q101*Pricing!$H101)+$E101))</f>
        <v/>
      </c>
      <c r="S101" s="163" t="str">
        <f>IF($Q101="","",IF($L101=0,0,IF(R101&lt;$B$10,ROUND((L101*(1-P101)-(O101-INDEX(O101:O$116,R101-E101+1))/Pricing!H101*Q101)/(INDEX(Pricing!G101:G$116,R101-E101+1)/Pricing!H101*Q101)*365,0),0)))</f>
        <v/>
      </c>
      <c r="T101" s="220" t="str">
        <f>IF(OR($Q101="",NOT($B$17)),"",IF($R101&lt;$B$10,0,ROUND(MIN(1,($L101-$O101/Pricing!$H101*$Q101)/(Pricing!$R101-Pricing!$O101)),4)))</f>
        <v/>
      </c>
      <c r="U101" s="163" t="str">
        <f>IF($Q101="","",IF($L101=0,0,IF(OR(R101&lt;$B$10,AND($B$17,$T101&lt;1)),0,$L101*(1-$P101)-$O101/Pricing!$H101*$Q101-IF($B$17,Pricing!$R101-Pricing!$O101,0))*IF($B$18=1,1,Pricing!$H101/IF($B$18=2,INDEX(Pricing!$H$5:$H$116,$B$9+1),INDEX(Pricing!$H$5:$H$116,$B$10+1)))))</f>
        <v/>
      </c>
      <c r="V101" s="425" t="str">
        <f>IF($E101="","",(1-$B$24*($B$10-$E101))*MIN($B$22+(1-$B$22)*$E101/MIN($B$23,$B$9),1)*(Pricing!$U101-$I101))</f>
        <v/>
      </c>
      <c r="W101" s="35" t="str">
        <f>IF($E101="","",IF(F101&gt;16,0,MAX(INDEX($L$6:$L$116,$W$4)*(1+2.25%)^0.5-INDEX($N$6:$N$116,$W$4)/$B$11*Pricing!M101,0)))</f>
        <v/>
      </c>
      <c r="X101" s="428" t="e">
        <f>SUMPRODUCT(Reserve!G101:G$116,W101:W$116)/Reserve!H101</f>
        <v>#VALUE!</v>
      </c>
    </row>
    <row r="102" spans="4:24" x14ac:dyDescent="0.3">
      <c r="D102" s="215">
        <v>97</v>
      </c>
      <c r="E102" s="217" t="str">
        <f t="shared" si="10"/>
        <v/>
      </c>
      <c r="F102" s="228" t="str">
        <f t="shared" si="11"/>
        <v/>
      </c>
      <c r="G102" s="162" t="str">
        <f>IF($E102="","",ROUND((1-$B$24*($B$10-$E102))*MIN($B$22+(1-$B$22)*$E102/MIN($B$23,$B$9),1)*(Pricing!$U102-$I102),0))</f>
        <v/>
      </c>
      <c r="H102" s="163" t="str">
        <f t="shared" si="8"/>
        <v/>
      </c>
      <c r="I102" s="163" t="str">
        <f>IF($E102="","",Pricing!$N102+Pricing!$O102)</f>
        <v/>
      </c>
      <c r="J102" s="220" t="str">
        <f>IF(OR($E102=0,$E102=""),"",(NPV($B$13,$I$5:$I102)+$G102*(1+$B$13)^-($E102+1))/NPV($B$13,$H$5:$H101))</f>
        <v/>
      </c>
      <c r="K102" s="220" t="str">
        <f>IF($E102="","",IFERROR(((G102+I102)/(NPV(K102,H$5:H101)*(1+K102)-NPV(K102,I$5:I101)*(1+K102)))^(1/E102)-1,0))</f>
        <v/>
      </c>
      <c r="L102" s="163" t="str">
        <f>IF(OR($E102&gt;=$B$9,$E102=0),"",MAX(Pricing!$U102-$I102-0.01*$B$11,$V102))</f>
        <v/>
      </c>
      <c r="M102" s="163" t="str">
        <f>IF($E102="","",ROUND(Pricing!Q102+Pricing!R102-SUMPRODUCT(Pricing!G102:G$116,Pricing!L102:L$116)/Pricing!H102-$I102,0))</f>
        <v/>
      </c>
      <c r="N102" s="163" t="str">
        <f t="shared" si="9"/>
        <v/>
      </c>
      <c r="O102" s="163" t="str">
        <f>IF(E102="","",IF(AND(Pricing!$K$3,$B$19),SUMIF(F102:F$116,"&gt;=" &amp; 16,Pricing!G102:G$116),SUM(Pricing!$G102:$G$116)))</f>
        <v/>
      </c>
      <c r="P102" s="427" t="str">
        <f>IF(OR($E102="",$E102=0),"",IF(OR(NOT($B$19),$F102&gt;=16,$E102=$B$10),0,((1+2.25%)*$P103*Pricing!$H103+(1+Pricing!$K$3)^0.5*Pricing!$G102)/Pricing!$H102))</f>
        <v/>
      </c>
      <c r="Q102" s="163" t="str">
        <f>IF(OR($E102&gt;=$B$9,$E102=0,AND(NOT($B$19),$F102&lt;16)),"",MAX(Pricing!$I101,Pricing!$U102))</f>
        <v/>
      </c>
      <c r="R102" s="163" t="str">
        <f>IF($Q102="","",IF($L102=0,E102,COUNTIF($O103:$O$116,"&gt;=" &amp; $O102-$L102*(1-$P102)/$Q102*Pricing!$H102)+$E102))</f>
        <v/>
      </c>
      <c r="S102" s="163" t="str">
        <f>IF($Q102="","",IF($L102=0,0,IF(R102&lt;$B$10,ROUND((L102*(1-P102)-(O102-INDEX(O102:O$116,R102-E102+1))/Pricing!H102*Q102)/(INDEX(Pricing!G102:G$116,R102-E102+1)/Pricing!H102*Q102)*365,0),0)))</f>
        <v/>
      </c>
      <c r="T102" s="220" t="str">
        <f>IF(OR($Q102="",NOT($B$17)),"",IF($R102&lt;$B$10,0,ROUND(MIN(1,($L102-$O102/Pricing!$H102*$Q102)/(Pricing!$R102-Pricing!$O102)),4)))</f>
        <v/>
      </c>
      <c r="U102" s="163" t="str">
        <f>IF($Q102="","",IF($L102=0,0,IF(OR(R102&lt;$B$10,AND($B$17,$T102&lt;1)),0,$L102*(1-$P102)-$O102/Pricing!$H102*$Q102-IF($B$17,Pricing!$R102-Pricing!$O102,0))*IF($B$18=1,1,Pricing!$H102/IF($B$18=2,INDEX(Pricing!$H$5:$H$116,$B$9+1),INDEX(Pricing!$H$5:$H$116,$B$10+1)))))</f>
        <v/>
      </c>
      <c r="V102" s="425" t="str">
        <f>IF($E102="","",(1-$B$24*($B$10-$E102))*MIN($B$22+(1-$B$22)*$E102/MIN($B$23,$B$9),1)*(Pricing!$U102-$I102))</f>
        <v/>
      </c>
      <c r="W102" s="35" t="str">
        <f>IF($E102="","",IF(F102&gt;16,0,MAX(INDEX($L$6:$L$116,$W$4)*(1+2.25%)^0.5-INDEX($N$6:$N$116,$W$4)/$B$11*Pricing!M102,0)))</f>
        <v/>
      </c>
      <c r="X102" s="428" t="e">
        <f>SUMPRODUCT(Reserve!G102:G$116,W102:W$116)/Reserve!H102</f>
        <v>#VALUE!</v>
      </c>
    </row>
    <row r="103" spans="4:24" x14ac:dyDescent="0.3">
      <c r="D103" s="215">
        <v>98</v>
      </c>
      <c r="E103" s="217" t="str">
        <f t="shared" si="10"/>
        <v/>
      </c>
      <c r="F103" s="228" t="str">
        <f t="shared" si="11"/>
        <v/>
      </c>
      <c r="G103" s="162" t="str">
        <f>IF($E103="","",ROUND((1-$B$24*($B$10-$E103))*MIN($B$22+(1-$B$22)*$E103/MIN($B$23,$B$9),1)*(Pricing!$U103-$I103),0))</f>
        <v/>
      </c>
      <c r="H103" s="163" t="str">
        <f t="shared" si="8"/>
        <v/>
      </c>
      <c r="I103" s="163" t="str">
        <f>IF($E103="","",Pricing!$N103+Pricing!$O103)</f>
        <v/>
      </c>
      <c r="J103" s="220" t="str">
        <f>IF(OR($E103=0,$E103=""),"",(NPV($B$13,$I$5:$I103)+$G103*(1+$B$13)^-($E103+1))/NPV($B$13,$H$5:$H102))</f>
        <v/>
      </c>
      <c r="K103" s="220" t="str">
        <f>IF($E103="","",IFERROR(((G103+I103)/(NPV(K103,H$5:H102)*(1+K103)-NPV(K103,I$5:I102)*(1+K103)))^(1/E103)-1,0))</f>
        <v/>
      </c>
      <c r="L103" s="163" t="str">
        <f>IF(OR($E103&gt;=$B$9,$E103=0),"",MAX(Pricing!$U103-$I103-0.01*$B$11,$V103))</f>
        <v/>
      </c>
      <c r="M103" s="163" t="str">
        <f>IF($E103="","",ROUND(Pricing!Q103+Pricing!R103-SUMPRODUCT(Pricing!G103:G$116,Pricing!L103:L$116)/Pricing!H103-$I103,0))</f>
        <v/>
      </c>
      <c r="N103" s="163" t="str">
        <f t="shared" si="9"/>
        <v/>
      </c>
      <c r="O103" s="163" t="str">
        <f>IF(E103="","",IF(AND(Pricing!$K$3,$B$19),SUMIF(F103:F$116,"&gt;=" &amp; 16,Pricing!G103:G$116),SUM(Pricing!$G103:$G$116)))</f>
        <v/>
      </c>
      <c r="P103" s="427" t="str">
        <f>IF(OR($E103="",$E103=0),"",IF(OR(NOT($B$19),$F103&gt;=16,$E103=$B$10),0,((1+2.25%)*$P104*Pricing!$H104+(1+Pricing!$K$3)^0.5*Pricing!$G103)/Pricing!$H103))</f>
        <v/>
      </c>
      <c r="Q103" s="163" t="str">
        <f>IF(OR($E103&gt;=$B$9,$E103=0,AND(NOT($B$19),$F103&lt;16)),"",MAX(Pricing!$I102,Pricing!$U103))</f>
        <v/>
      </c>
      <c r="R103" s="163" t="str">
        <f>IF($Q103="","",IF($L103=0,E103,COUNTIF($O104:$O$116,"&gt;=" &amp; $O103-$L103*(1-$P103)/$Q103*Pricing!$H103)+$E103))</f>
        <v/>
      </c>
      <c r="S103" s="163" t="str">
        <f>IF($Q103="","",IF($L103=0,0,IF(R103&lt;$B$10,ROUND((L103*(1-P103)-(O103-INDEX(O103:O$116,R103-E103+1))/Pricing!H103*Q103)/(INDEX(Pricing!G103:G$116,R103-E103+1)/Pricing!H103*Q103)*365,0),0)))</f>
        <v/>
      </c>
      <c r="T103" s="220" t="str">
        <f>IF(OR($Q103="",NOT($B$17)),"",IF($R103&lt;$B$10,0,ROUND(MIN(1,($L103-$O103/Pricing!$H103*$Q103)/(Pricing!$R103-Pricing!$O103)),4)))</f>
        <v/>
      </c>
      <c r="U103" s="163" t="str">
        <f>IF($Q103="","",IF($L103=0,0,IF(OR(R103&lt;$B$10,AND($B$17,$T103&lt;1)),0,$L103*(1-$P103)-$O103/Pricing!$H103*$Q103-IF($B$17,Pricing!$R103-Pricing!$O103,0))*IF($B$18=1,1,Pricing!$H103/IF($B$18=2,INDEX(Pricing!$H$5:$H$116,$B$9+1),INDEX(Pricing!$H$5:$H$116,$B$10+1)))))</f>
        <v/>
      </c>
      <c r="V103" s="425" t="str">
        <f>IF($E103="","",(1-$B$24*($B$10-$E103))*MIN($B$22+(1-$B$22)*$E103/MIN($B$23,$B$9),1)*(Pricing!$U103-$I103))</f>
        <v/>
      </c>
      <c r="W103" s="35" t="str">
        <f>IF($E103="","",IF(F103&gt;16,0,MAX(INDEX($L$6:$L$116,$W$4)*(1+2.25%)^0.5-INDEX($N$6:$N$116,$W$4)/$B$11*Pricing!M103,0)))</f>
        <v/>
      </c>
      <c r="X103" s="428" t="e">
        <f>SUMPRODUCT(Reserve!G103:G$116,W103:W$116)/Reserve!H103</f>
        <v>#VALUE!</v>
      </c>
    </row>
    <row r="104" spans="4:24" x14ac:dyDescent="0.3">
      <c r="D104" s="215">
        <v>99</v>
      </c>
      <c r="E104" s="217" t="str">
        <f t="shared" si="10"/>
        <v/>
      </c>
      <c r="F104" s="228" t="str">
        <f t="shared" si="11"/>
        <v/>
      </c>
      <c r="G104" s="162" t="str">
        <f>IF($E104="","",ROUND((1-$B$24*($B$10-$E104))*MIN($B$22+(1-$B$22)*$E104/MIN($B$23,$B$9),1)*(Pricing!$U104-$I104),0))</f>
        <v/>
      </c>
      <c r="H104" s="163" t="str">
        <f t="shared" si="8"/>
        <v/>
      </c>
      <c r="I104" s="163" t="str">
        <f>IF($E104="","",Pricing!$N104+Pricing!$O104)</f>
        <v/>
      </c>
      <c r="J104" s="220" t="str">
        <f>IF(OR($E104=0,$E104=""),"",(NPV($B$13,$I$5:$I104)+$G104*(1+$B$13)^-($E104+1))/NPV($B$13,$H$5:$H103))</f>
        <v/>
      </c>
      <c r="K104" s="220" t="str">
        <f>IF($E104="","",IFERROR(((G104+I104)/(NPV(K104,H$5:H103)*(1+K104)-NPV(K104,I$5:I103)*(1+K104)))^(1/E104)-1,0))</f>
        <v/>
      </c>
      <c r="L104" s="163" t="str">
        <f>IF(OR($E104&gt;=$B$9,$E104=0),"",MAX(Pricing!$U104-$I104-0.01*$B$11,$V104))</f>
        <v/>
      </c>
      <c r="M104" s="163" t="str">
        <f>IF($E104="","",ROUND(Pricing!Q104+Pricing!R104-SUMPRODUCT(Pricing!G104:G$116,Pricing!L104:L$116)/Pricing!H104-$I104,0))</f>
        <v/>
      </c>
      <c r="N104" s="163" t="str">
        <f t="shared" si="9"/>
        <v/>
      </c>
      <c r="O104" s="163" t="str">
        <f>IF(E104="","",IF(AND(Pricing!$K$3,$B$19),SUMIF(F104:F$116,"&gt;=" &amp; 16,Pricing!G104:G$116),SUM(Pricing!$G104:$G$116)))</f>
        <v/>
      </c>
      <c r="P104" s="427" t="str">
        <f>IF(OR($E104="",$E104=0),"",IF(OR(NOT($B$19),$F104&gt;=16,$E104=$B$10),0,((1+2.25%)*$P105*Pricing!$H105+(1+Pricing!$K$3)^0.5*Pricing!$G104)/Pricing!$H104))</f>
        <v/>
      </c>
      <c r="Q104" s="163" t="str">
        <f>IF(OR($E104&gt;=$B$9,$E104=0,AND(NOT($B$19),$F104&lt;16)),"",MAX(Pricing!$I103,Pricing!$U104))</f>
        <v/>
      </c>
      <c r="R104" s="163" t="str">
        <f>IF($Q104="","",IF($L104=0,E104,COUNTIF($O105:$O$116,"&gt;=" &amp; $O104-$L104*(1-$P104)/$Q104*Pricing!$H104)+$E104))</f>
        <v/>
      </c>
      <c r="S104" s="163" t="str">
        <f>IF($Q104="","",IF($L104=0,0,IF(R104&lt;$B$10,ROUND((L104*(1-P104)-(O104-INDEX(O104:O$116,R104-E104+1))/Pricing!H104*Q104)/(INDEX(Pricing!G104:G$116,R104-E104+1)/Pricing!H104*Q104)*365,0),0)))</f>
        <v/>
      </c>
      <c r="T104" s="220" t="str">
        <f>IF(OR($Q104="",NOT($B$17)),"",IF($R104&lt;$B$10,0,ROUND(MIN(1,($L104-$O104/Pricing!$H104*$Q104)/(Pricing!$R104-Pricing!$O104)),4)))</f>
        <v/>
      </c>
      <c r="U104" s="163" t="str">
        <f>IF($Q104="","",IF($L104=0,0,IF(OR(R104&lt;$B$10,AND($B$17,$T104&lt;1)),0,$L104*(1-$P104)-$O104/Pricing!$H104*$Q104-IF($B$17,Pricing!$R104-Pricing!$O104,0))*IF($B$18=1,1,Pricing!$H104/IF($B$18=2,INDEX(Pricing!$H$5:$H$116,$B$9+1),INDEX(Pricing!$H$5:$H$116,$B$10+1)))))</f>
        <v/>
      </c>
      <c r="V104" s="425" t="str">
        <f>IF($E104="","",(1-$B$24*($B$10-$E104))*MIN($B$22+(1-$B$22)*$E104/MIN($B$23,$B$9),1)*(Pricing!$U104-$I104))</f>
        <v/>
      </c>
      <c r="W104" s="35" t="str">
        <f>IF($E104="","",IF(F104&gt;16,0,MAX(INDEX($L$6:$L$116,$W$4)*(1+2.25%)^0.5-INDEX($N$6:$N$116,$W$4)/$B$11*Pricing!M104,0)))</f>
        <v/>
      </c>
      <c r="X104" s="428" t="e">
        <f>SUMPRODUCT(Reserve!G104:G$116,W104:W$116)/Reserve!H104</f>
        <v>#VALUE!</v>
      </c>
    </row>
    <row r="105" spans="4:24" x14ac:dyDescent="0.3">
      <c r="D105" s="215">
        <v>100</v>
      </c>
      <c r="E105" s="233" t="str">
        <f t="shared" si="10"/>
        <v/>
      </c>
      <c r="F105" s="234" t="str">
        <f t="shared" si="11"/>
        <v/>
      </c>
      <c r="G105" s="165" t="str">
        <f>IF($E105="","",ROUND((1-$B$24*($B$10-$E105))*MIN($B$22+(1-$B$22)*$E105/MIN($B$23,$B$9),1)*(Pricing!$U105-$I105),0))</f>
        <v/>
      </c>
      <c r="H105" s="166" t="str">
        <f t="shared" si="8"/>
        <v/>
      </c>
      <c r="I105" s="166" t="str">
        <f>IF($E105="","",Pricing!$N105+Pricing!$O105)</f>
        <v/>
      </c>
      <c r="J105" s="235" t="str">
        <f>IF(OR($E105=0,$E105=""),"",(NPV($B$13,$I$5:$I105)+$G105*(1+$B$13)^-($E105+1))/NPV($B$13,$H$5:$H104))</f>
        <v/>
      </c>
      <c r="K105" s="235" t="str">
        <f>IF($E105="","",IFERROR(((G105+I105)/(NPV(K105,H$5:H104)*(1+K105)-NPV(K105,I$5:I104)*(1+K105)))^(1/E105)-1,0))</f>
        <v/>
      </c>
      <c r="L105" s="166" t="str">
        <f>IF(OR($E105&gt;=$B$9,$E105=0),"",MAX(Pricing!$U105-$I105-0.01*$B$11,$V105))</f>
        <v/>
      </c>
      <c r="M105" s="166" t="str">
        <f>IF($E105="","",ROUND(Pricing!Q105+Pricing!R105-SUMPRODUCT(Pricing!G105:G$116,Pricing!L105:L$116)/Pricing!H105-$I105,0))</f>
        <v/>
      </c>
      <c r="N105" s="166" t="str">
        <f t="shared" si="9"/>
        <v/>
      </c>
      <c r="O105" s="166" t="str">
        <f>IF(E105="","",IF(AND(Pricing!$K$3,$B$19),SUMIF(F105:F$116,"&gt;=" &amp; 16,Pricing!G105:G$116),SUM(Pricing!$G105:$G$116)))</f>
        <v/>
      </c>
      <c r="P105" s="429" t="str">
        <f>IF(OR($E105="",$E105=0),"",IF(OR(NOT($B$19),$F105&gt;=16,$E105=$B$10),0,((1+2.25%)*$P106*Pricing!$H106+(1+Pricing!$K$3)^0.5*Pricing!$G105)/Pricing!$H105))</f>
        <v/>
      </c>
      <c r="Q105" s="166" t="str">
        <f>IF(OR($E105&gt;=$B$9,$E105=0,AND(NOT($B$19),$F105&lt;16)),"",MAX(Pricing!$I104,Pricing!$U105))</f>
        <v/>
      </c>
      <c r="R105" s="166" t="str">
        <f>IF($Q105="","",IF($L105=0,E105,COUNTIF($O106:$O$116,"&gt;=" &amp; $O105-$L105*(1-$P105)/$Q105*Pricing!$H105)+$E105))</f>
        <v/>
      </c>
      <c r="S105" s="166" t="str">
        <f>IF($Q105="","",IF($L105=0,0,IF(R105&lt;$B$10,ROUND((L105*(1-P105)-(O105-INDEX(O105:O$116,R105-E105+1))/Pricing!H105*Q105)/(INDEX(Pricing!G105:G$116,R105-E105+1)/Pricing!H105*Q105)*365,0),0)))</f>
        <v/>
      </c>
      <c r="T105" s="235" t="str">
        <f>IF(OR($Q105="",NOT($B$17)),"",IF($R105&lt;$B$10,0,ROUND(MIN(1,($L105-$O105/Pricing!$H105*$Q105)/(Pricing!$R105-Pricing!$O105)),4)))</f>
        <v/>
      </c>
      <c r="U105" s="166" t="str">
        <f>IF($Q105="","",IF($L105=0,0,IF(OR(R105&lt;$B$10,AND($B$17,$T105&lt;1)),0,$L105*(1-$P105)-$O105/Pricing!$H105*$Q105-IF($B$17,Pricing!$R105-Pricing!$O105,0))*IF($B$18=1,1,Pricing!$H105/IF($B$18=2,INDEX(Pricing!$H$5:$H$116,$B$9+1),INDEX(Pricing!$H$5:$H$116,$B$10+1)))))</f>
        <v/>
      </c>
      <c r="V105" s="425" t="str">
        <f>IF($E105="","",(1-$B$24*($B$10-$E105))*MIN($B$22+(1-$B$22)*$E105/MIN($B$23,$B$9),1)*(Pricing!$U105-$I105))</f>
        <v/>
      </c>
      <c r="W105" s="35" t="str">
        <f>IF($E105="","",IF(F105&gt;16,0,MAX(INDEX($L$6:$L$116,$W$4)*(1+2.25%)^0.5-INDEX($N$6:$N$116,$W$4)/$B$11*Pricing!M105,0)))</f>
        <v/>
      </c>
      <c r="X105" s="428" t="e">
        <f>SUMPRODUCT(Reserve!G105:G$116,W105:W$116)/Reserve!H105</f>
        <v>#VALUE!</v>
      </c>
    </row>
    <row r="106" spans="4:24" x14ac:dyDescent="0.3">
      <c r="D106" s="215">
        <v>101</v>
      </c>
      <c r="E106" s="217" t="str">
        <f t="shared" si="10"/>
        <v/>
      </c>
      <c r="F106" s="228" t="str">
        <f t="shared" si="11"/>
        <v/>
      </c>
      <c r="G106" s="162" t="str">
        <f>IF($E106="","",ROUND((1-$B$24*($B$10-$E106))*MIN($B$22+(1-$B$22)*$E106/MIN($B$23,$B$9),1)*(Pricing!$U106-$I106),0))</f>
        <v/>
      </c>
      <c r="H106" s="163" t="str">
        <f t="shared" si="8"/>
        <v/>
      </c>
      <c r="I106" s="163" t="str">
        <f>IF($E106="","",Pricing!$N106+Pricing!$O106)</f>
        <v/>
      </c>
      <c r="J106" s="220" t="str">
        <f>IF(OR($E106=0,$E106=""),"",(NPV($B$13,$I$5:$I106)+$G106*(1+$B$13)^-($E106+1))/NPV($B$13,$H$5:$H105))</f>
        <v/>
      </c>
      <c r="K106" s="220" t="str">
        <f>IF($E106="","",IFERROR(((G106+I106)/(NPV(K106,H$5:H105)*(1+K106)-NPV(K106,I$5:I105)*(1+K106)))^(1/E106)-1,0))</f>
        <v/>
      </c>
      <c r="L106" s="163" t="str">
        <f>IF(OR($E106&gt;=$B$9,$E106=0),"",MAX(Pricing!$U106-$I106-0.01*$B$11,$V106))</f>
        <v/>
      </c>
      <c r="M106" s="163" t="str">
        <f>IF($E106="","",ROUND(Pricing!Q106+Pricing!R106-SUMPRODUCT(Pricing!G106:G$116,Pricing!L106:L$116)/Pricing!H106-$I106,0))</f>
        <v/>
      </c>
      <c r="N106" s="163" t="str">
        <f t="shared" si="9"/>
        <v/>
      </c>
      <c r="O106" s="163" t="str">
        <f>IF(E106="","",IF(AND(Pricing!$K$3,$B$19),SUMIF(F106:F$116,"&gt;=" &amp; 16,Pricing!G106:G$116),SUM(Pricing!$G106:$G$116)))</f>
        <v/>
      </c>
      <c r="P106" s="427" t="str">
        <f>IF(OR($E106="",$E106=0),"",IF(OR(NOT($B$19),$F106&gt;=16,$E106=$B$10),0,((1+2.25%)*$P107*Pricing!$H107+(1+Pricing!$K$3)^0.5*Pricing!$G106)/Pricing!$H106))</f>
        <v/>
      </c>
      <c r="Q106" s="163" t="str">
        <f>IF(OR($E106&gt;=$B$9,$E106=0,AND(NOT($B$19),$F106&lt;16)),"",MAX(Pricing!$I105,Pricing!$U106))</f>
        <v/>
      </c>
      <c r="R106" s="163" t="str">
        <f>IF($Q106="","",IF($L106=0,E106,COUNTIF($O107:$O$116,"&gt;=" &amp; $O106-$L106*(1-$P106)/$Q106*Pricing!$H106)+$E106))</f>
        <v/>
      </c>
      <c r="S106" s="163" t="str">
        <f>IF($Q106="","",IF($L106=0,0,IF(R106&lt;$B$10,ROUND((L106*(1-P106)-(O106-INDEX(O106:O$116,R106-E106+1))/Pricing!H106*Q106)/(INDEX(Pricing!G106:G$116,R106-E106+1)/Pricing!H106*Q106)*365,0),0)))</f>
        <v/>
      </c>
      <c r="T106" s="220" t="str">
        <f>IF(OR($Q106="",NOT($B$17)),"",IF($R106&lt;$B$10,0,ROUND(MIN(1,($L106-$O106/Pricing!$H106*$Q106)/(Pricing!$R106-Pricing!$O106)),4)))</f>
        <v/>
      </c>
      <c r="U106" s="163" t="str">
        <f>IF($Q106="","",IF($L106=0,0,IF(OR(R106&lt;$B$10,AND($B$17,$T106&lt;1)),0,$L106*(1-$P106)-$O106/Pricing!$H106*$Q106-IF($B$17,Pricing!$R106-Pricing!$O106,0))*IF($B$18=1,1,Pricing!$H106/IF($B$18=2,INDEX(Pricing!$H$5:$H$116,$B$9+1),INDEX(Pricing!$H$5:$H$116,$B$10+1)))))</f>
        <v/>
      </c>
      <c r="V106" s="425" t="str">
        <f>IF($E106="","",(1-$B$24*($B$10-$E106))*MIN($B$22+(1-$B$22)*$E106/MIN($B$23,$B$9),1)*(Pricing!$U106-$I106))</f>
        <v/>
      </c>
      <c r="W106" s="35" t="str">
        <f>IF($E106="","",IF(F106&gt;16,0,MAX(INDEX($L$6:$L$116,$W$4)*(1+2.25%)^0.5-INDEX($N$6:$N$116,$W$4)/$B$11*Pricing!M106,0)))</f>
        <v/>
      </c>
      <c r="X106" s="428" t="e">
        <f>SUMPRODUCT(Reserve!G106:G$116,W106:W$116)/Reserve!H106</f>
        <v>#VALUE!</v>
      </c>
    </row>
    <row r="107" spans="4:24" x14ac:dyDescent="0.3">
      <c r="D107" s="215">
        <v>102</v>
      </c>
      <c r="E107" s="217" t="str">
        <f t="shared" si="10"/>
        <v/>
      </c>
      <c r="F107" s="228" t="str">
        <f t="shared" si="11"/>
        <v/>
      </c>
      <c r="G107" s="162" t="str">
        <f>IF($E107="","",ROUND((1-$B$24*($B$10-$E107))*MIN($B$22+(1-$B$22)*$E107/MIN($B$23,$B$9),1)*(Pricing!$U107-$I107),0))</f>
        <v/>
      </c>
      <c r="H107" s="163" t="str">
        <f t="shared" si="8"/>
        <v/>
      </c>
      <c r="I107" s="163" t="str">
        <f>IF($E107="","",Pricing!$N107+Pricing!$O107)</f>
        <v/>
      </c>
      <c r="J107" s="220" t="str">
        <f>IF(OR($E107=0,$E107=""),"",(NPV($B$13,$I$5:$I107)+$G107*(1+$B$13)^-($E107+1))/NPV($B$13,$H$5:$H106))</f>
        <v/>
      </c>
      <c r="K107" s="220" t="str">
        <f>IF($E107="","",IFERROR(((G107+I107)/(NPV(K107,H$5:H106)*(1+K107)-NPV(K107,I$5:I106)*(1+K107)))^(1/E107)-1,0))</f>
        <v/>
      </c>
      <c r="L107" s="163" t="str">
        <f>IF(OR($E107&gt;=$B$9,$E107=0),"",MAX(Pricing!$U107-$I107-0.01*$B$11,$V107))</f>
        <v/>
      </c>
      <c r="M107" s="163" t="str">
        <f>IF($E107="","",ROUND(Pricing!Q107+Pricing!R107-SUMPRODUCT(Pricing!G107:G$116,Pricing!L107:L$116)/Pricing!H107-$I107,0))</f>
        <v/>
      </c>
      <c r="N107" s="163" t="str">
        <f t="shared" si="9"/>
        <v/>
      </c>
      <c r="O107" s="163" t="str">
        <f>IF(E107="","",IF(AND(Pricing!$K$3,$B$19),SUMIF(F107:F$116,"&gt;=" &amp; 16,Pricing!G107:G$116),SUM(Pricing!$G107:$G$116)))</f>
        <v/>
      </c>
      <c r="P107" s="427" t="str">
        <f>IF(OR($E107="",$E107=0),"",IF(OR(NOT($B$19),$F107&gt;=16,$E107=$B$10),0,((1+2.25%)*$P108*Pricing!$H108+(1+Pricing!$K$3)^0.5*Pricing!$G107)/Pricing!$H107))</f>
        <v/>
      </c>
      <c r="Q107" s="163" t="str">
        <f>IF(OR($E107&gt;=$B$9,$E107=0,AND(NOT($B$19),$F107&lt;16)),"",MAX(Pricing!$I106,Pricing!$U107))</f>
        <v/>
      </c>
      <c r="R107" s="163" t="str">
        <f>IF($Q107="","",IF($L107=0,E107,COUNTIF($O108:$O$116,"&gt;=" &amp; $O107-$L107*(1-$P107)/$Q107*Pricing!$H107)+$E107))</f>
        <v/>
      </c>
      <c r="S107" s="163" t="str">
        <f>IF($Q107="","",IF($L107=0,0,IF(R107&lt;$B$10,ROUND((L107*(1-P107)-(O107-INDEX(O107:O$116,R107-E107+1))/Pricing!H107*Q107)/(INDEX(Pricing!G107:G$116,R107-E107+1)/Pricing!H107*Q107)*365,0),0)))</f>
        <v/>
      </c>
      <c r="T107" s="220" t="str">
        <f>IF(OR($Q107="",NOT($B$17)),"",IF($R107&lt;$B$10,0,ROUND(MIN(1,($L107-$O107/Pricing!$H107*$Q107)/(Pricing!$R107-Pricing!$O107)),4)))</f>
        <v/>
      </c>
      <c r="U107" s="163" t="str">
        <f>IF($Q107="","",IF($L107=0,0,IF(OR(R107&lt;$B$10,AND($B$17,$T107&lt;1)),0,$L107*(1-$P107)-$O107/Pricing!$H107*$Q107-IF($B$17,Pricing!$R107-Pricing!$O107,0))*IF($B$18=1,1,Pricing!$H107/IF($B$18=2,INDEX(Pricing!$H$5:$H$116,$B$9+1),INDEX(Pricing!$H$5:$H$116,$B$10+1)))))</f>
        <v/>
      </c>
      <c r="V107" s="425" t="str">
        <f>IF($E107="","",(1-$B$24*($B$10-$E107))*MIN($B$22+(1-$B$22)*$E107/MIN($B$23,$B$9),1)*(Pricing!$U107-$I107))</f>
        <v/>
      </c>
      <c r="W107" s="35" t="str">
        <f>IF($E107="","",IF(F107&gt;16,0,MAX(INDEX($L$6:$L$116,$W$4)*(1+2.25%)^0.5-INDEX($N$6:$N$116,$W$4)/$B$11*Pricing!M107,0)))</f>
        <v/>
      </c>
      <c r="X107" s="428" t="e">
        <f>SUMPRODUCT(Reserve!G107:G$116,W107:W$116)/Reserve!H107</f>
        <v>#VALUE!</v>
      </c>
    </row>
    <row r="108" spans="4:24" x14ac:dyDescent="0.3">
      <c r="D108" s="215">
        <v>103</v>
      </c>
      <c r="E108" s="217" t="str">
        <f t="shared" si="10"/>
        <v/>
      </c>
      <c r="F108" s="228" t="str">
        <f t="shared" si="11"/>
        <v/>
      </c>
      <c r="G108" s="162" t="str">
        <f>IF($E108="","",ROUND((1-$B$24*($B$10-$E108))*MIN($B$22+(1-$B$22)*$E108/MIN($B$23,$B$9),1)*(Pricing!$U108-$I108),0))</f>
        <v/>
      </c>
      <c r="H108" s="163" t="str">
        <f t="shared" si="8"/>
        <v/>
      </c>
      <c r="I108" s="163" t="str">
        <f>IF($E108="","",Pricing!$N108+Pricing!$O108)</f>
        <v/>
      </c>
      <c r="J108" s="220" t="str">
        <f>IF(OR($E108=0,$E108=""),"",(NPV($B$13,$I$5:$I108)+$G108*(1+$B$13)^-($E108+1))/NPV($B$13,$H$5:$H107))</f>
        <v/>
      </c>
      <c r="K108" s="220" t="str">
        <f>IF($E108="","",IFERROR(((G108+I108)/(NPV(K108,H$5:H107)*(1+K108)-NPV(K108,I$5:I107)*(1+K108)))^(1/E108)-1,0))</f>
        <v/>
      </c>
      <c r="L108" s="163" t="str">
        <f>IF(OR($E108&gt;=$B$9,$E108=0),"",MAX(Pricing!$U108-$I108-0.01*$B$11,$V108))</f>
        <v/>
      </c>
      <c r="M108" s="163" t="str">
        <f>IF($E108="","",ROUND(Pricing!Q108+Pricing!R108-SUMPRODUCT(Pricing!G108:G$116,Pricing!L108:L$116)/Pricing!H108-$I108,0))</f>
        <v/>
      </c>
      <c r="N108" s="163" t="str">
        <f t="shared" si="9"/>
        <v/>
      </c>
      <c r="O108" s="163" t="str">
        <f>IF(E108="","",IF(AND(Pricing!$K$3,$B$19),SUMIF(F108:F$116,"&gt;=" &amp; 16,Pricing!G108:G$116),SUM(Pricing!$G108:$G$116)))</f>
        <v/>
      </c>
      <c r="P108" s="427" t="str">
        <f>IF(OR($E108="",$E108=0),"",IF(OR(NOT($B$19),$F108&gt;=16,$E108=$B$10),0,((1+2.25%)*$P109*Pricing!$H109+(1+Pricing!$K$3)^0.5*Pricing!$G108)/Pricing!$H108))</f>
        <v/>
      </c>
      <c r="Q108" s="163" t="str">
        <f>IF(OR($E108&gt;=$B$9,$E108=0,AND(NOT($B$19),$F108&lt;16)),"",MAX(Pricing!$I107,Pricing!$U108))</f>
        <v/>
      </c>
      <c r="R108" s="163" t="str">
        <f>IF($Q108="","",IF($L108=0,E108,COUNTIF($O109:$O$116,"&gt;=" &amp; $O108-$L108*(1-$P108)/$Q108*Pricing!$H108)+$E108))</f>
        <v/>
      </c>
      <c r="S108" s="163" t="str">
        <f>IF($Q108="","",IF($L108=0,0,IF(R108&lt;$B$10,ROUND((L108*(1-P108)-(O108-INDEX(O108:O$116,R108-E108+1))/Pricing!H108*Q108)/(INDEX(Pricing!G108:G$116,R108-E108+1)/Pricing!H108*Q108)*365,0),0)))</f>
        <v/>
      </c>
      <c r="T108" s="220" t="str">
        <f>IF(OR($Q108="",NOT($B$17)),"",IF($R108&lt;$B$10,0,ROUND(MIN(1,($L108-$O108/Pricing!$H108*$Q108)/(Pricing!$R108-Pricing!$O108)),4)))</f>
        <v/>
      </c>
      <c r="U108" s="163" t="str">
        <f>IF($Q108="","",IF($L108=0,0,IF(OR(R108&lt;$B$10,AND($B$17,$T108&lt;1)),0,$L108*(1-$P108)-$O108/Pricing!$H108*$Q108-IF($B$17,Pricing!$R108-Pricing!$O108,0))*IF($B$18=1,1,Pricing!$H108/IF($B$18=2,INDEX(Pricing!$H$5:$H$116,$B$9+1),INDEX(Pricing!$H$5:$H$116,$B$10+1)))))</f>
        <v/>
      </c>
      <c r="V108" s="425" t="str">
        <f>IF($E108="","",(1-$B$24*($B$10-$E108))*MIN($B$22+(1-$B$22)*$E108/MIN($B$23,$B$9),1)*(Pricing!$U108-$I108))</f>
        <v/>
      </c>
      <c r="W108" s="35" t="str">
        <f>IF($E108="","",IF(F108&gt;16,0,MAX(INDEX($L$6:$L$116,$W$4)*(1+2.25%)^0.5-INDEX($N$6:$N$116,$W$4)/$B$11*Pricing!M108,0)))</f>
        <v/>
      </c>
      <c r="X108" s="428" t="e">
        <f>SUMPRODUCT(Reserve!G108:G$116,W108:W$116)/Reserve!H108</f>
        <v>#VALUE!</v>
      </c>
    </row>
    <row r="109" spans="4:24" x14ac:dyDescent="0.3">
      <c r="D109" s="215">
        <v>104</v>
      </c>
      <c r="E109" s="217" t="str">
        <f t="shared" si="10"/>
        <v/>
      </c>
      <c r="F109" s="228" t="str">
        <f t="shared" si="11"/>
        <v/>
      </c>
      <c r="G109" s="162" t="str">
        <f>IF($E109="","",ROUND((1-$B$24*($B$10-$E109))*MIN($B$22+(1-$B$22)*$E109/MIN($B$23,$B$9),1)*(Pricing!$U109-$I109),0))</f>
        <v/>
      </c>
      <c r="H109" s="163" t="str">
        <f t="shared" si="8"/>
        <v/>
      </c>
      <c r="I109" s="163" t="str">
        <f>IF($E109="","",Pricing!$N109+Pricing!$O109)</f>
        <v/>
      </c>
      <c r="J109" s="220" t="str">
        <f>IF(OR($E109=0,$E109=""),"",(NPV($B$13,$I$5:$I109)+$G109*(1+$B$13)^-($E109+1))/NPV($B$13,$H$5:$H108))</f>
        <v/>
      </c>
      <c r="K109" s="220" t="str">
        <f>IF($E109="","",IFERROR(((G109+I109)/(NPV(K109,H$5:H108)*(1+K109)-NPV(K109,I$5:I108)*(1+K109)))^(1/E109)-1,0))</f>
        <v/>
      </c>
      <c r="L109" s="163" t="str">
        <f>IF(OR($E109&gt;=$B$9,$E109=0),"",MAX(Pricing!$U109-$I109-0.01*$B$11,$V109))</f>
        <v/>
      </c>
      <c r="M109" s="163" t="str">
        <f>IF($E109="","",ROUND(Pricing!Q109+Pricing!R109-SUMPRODUCT(Pricing!G109:G$116,Pricing!L109:L$116)/Pricing!H109-$I109,0))</f>
        <v/>
      </c>
      <c r="N109" s="163" t="str">
        <f t="shared" si="9"/>
        <v/>
      </c>
      <c r="O109" s="163" t="str">
        <f>IF(E109="","",IF(AND(Pricing!$K$3,$B$19),SUMIF(F109:F$116,"&gt;=" &amp; 16,Pricing!G109:G$116),SUM(Pricing!$G109:$G$116)))</f>
        <v/>
      </c>
      <c r="P109" s="427" t="str">
        <f>IF(OR($E109="",$E109=0),"",IF(OR(NOT($B$19),$F109&gt;=16,$E109=$B$10),0,((1+2.25%)*$P110*Pricing!$H110+(1+Pricing!$K$3)^0.5*Pricing!$G109)/Pricing!$H109))</f>
        <v/>
      </c>
      <c r="Q109" s="163" t="str">
        <f>IF(OR($E109&gt;=$B$9,$E109=0,AND(NOT($B$19),$F109&lt;16)),"",MAX(Pricing!$I108,Pricing!$U109))</f>
        <v/>
      </c>
      <c r="R109" s="163" t="str">
        <f>IF($Q109="","",IF($L109=0,E109,COUNTIF($O110:$O$116,"&gt;=" &amp; $O109-$L109*(1-$P109)/$Q109*Pricing!$H109)+$E109))</f>
        <v/>
      </c>
      <c r="S109" s="163" t="str">
        <f>IF($Q109="","",IF($L109=0,0,IF(R109&lt;$B$10,ROUND((L109*(1-P109)-(O109-INDEX(O109:O$116,R109-E109+1))/Pricing!H109*Q109)/(INDEX(Pricing!G109:G$116,R109-E109+1)/Pricing!H109*Q109)*365,0),0)))</f>
        <v/>
      </c>
      <c r="T109" s="220" t="str">
        <f>IF(OR($Q109="",NOT($B$17)),"",IF($R109&lt;$B$10,0,ROUND(MIN(1,($L109-$O109/Pricing!$H109*$Q109)/(Pricing!$R109-Pricing!$O109)),4)))</f>
        <v/>
      </c>
      <c r="U109" s="163" t="str">
        <f>IF($Q109="","",IF($L109=0,0,IF(OR(R109&lt;$B$10,AND($B$17,$T109&lt;1)),0,$L109*(1-$P109)-$O109/Pricing!$H109*$Q109-IF($B$17,Pricing!$R109-Pricing!$O109,0))*IF($B$18=1,1,Pricing!$H109/IF($B$18=2,INDEX(Pricing!$H$5:$H$116,$B$9+1),INDEX(Pricing!$H$5:$H$116,$B$10+1)))))</f>
        <v/>
      </c>
      <c r="V109" s="425" t="str">
        <f>IF($E109="","",(1-$B$24*($B$10-$E109))*MIN($B$22+(1-$B$22)*$E109/MIN($B$23,$B$9),1)*(Pricing!$U109-$I109))</f>
        <v/>
      </c>
      <c r="W109" s="35" t="str">
        <f>IF($E109="","",IF(F109&gt;16,0,MAX(INDEX($L$6:$L$116,$W$4)*(1+2.25%)^0.5-INDEX($N$6:$N$116,$W$4)/$B$11*Pricing!M109,0)))</f>
        <v/>
      </c>
      <c r="X109" s="428" t="e">
        <f>SUMPRODUCT(Reserve!G109:G$116,W109:W$116)/Reserve!H109</f>
        <v>#VALUE!</v>
      </c>
    </row>
    <row r="110" spans="4:24" x14ac:dyDescent="0.3">
      <c r="D110" s="215">
        <v>105</v>
      </c>
      <c r="E110" s="233" t="str">
        <f t="shared" si="10"/>
        <v/>
      </c>
      <c r="F110" s="234" t="str">
        <f t="shared" si="11"/>
        <v/>
      </c>
      <c r="G110" s="165" t="str">
        <f>IF($E110="","",ROUND((1-$B$24*($B$10-$E110))*MIN($B$22+(1-$B$22)*$E110/MIN($B$23,$B$9),1)*(Pricing!$U110-$I110),0))</f>
        <v/>
      </c>
      <c r="H110" s="166" t="str">
        <f t="shared" si="8"/>
        <v/>
      </c>
      <c r="I110" s="166" t="str">
        <f>IF($E110="","",Pricing!$N110+Pricing!$O110)</f>
        <v/>
      </c>
      <c r="J110" s="235" t="str">
        <f>IF(OR($E110=0,$E110=""),"",(NPV($B$13,$I$5:$I110)+$G110*(1+$B$13)^-($E110+1))/NPV($B$13,$H$5:$H109))</f>
        <v/>
      </c>
      <c r="K110" s="235" t="str">
        <f>IF($E110="","",IFERROR(((G110+I110)/(NPV(K110,H$5:H109)*(1+K110)-NPV(K110,I$5:I109)*(1+K110)))^(1/E110)-1,0))</f>
        <v/>
      </c>
      <c r="L110" s="166" t="str">
        <f>IF(OR($E110&gt;=$B$9,$E110=0),"",MAX(Pricing!$U110-$I110-0.01*$B$11,$V110))</f>
        <v/>
      </c>
      <c r="M110" s="166" t="str">
        <f>IF($E110="","",ROUND(Pricing!Q110+Pricing!R110-SUMPRODUCT(Pricing!G110:G$116,Pricing!L110:L$116)/Pricing!H110-$I110,0))</f>
        <v/>
      </c>
      <c r="N110" s="166" t="str">
        <f t="shared" si="9"/>
        <v/>
      </c>
      <c r="O110" s="166" t="str">
        <f>IF(E110="","",IF(AND(Pricing!$K$3,$B$19),SUMIF(F110:F$116,"&gt;=" &amp; 16,Pricing!G110:G$116),SUM(Pricing!$G110:$G$116)))</f>
        <v/>
      </c>
      <c r="P110" s="429" t="str">
        <f>IF(OR($E110="",$E110=0),"",IF(OR(NOT($B$19),$F110&gt;=16,$E110=$B$10),0,((1+2.25%)*$P111*Pricing!$H111+(1+Pricing!$K$3)^0.5*Pricing!$G110)/Pricing!$H110))</f>
        <v/>
      </c>
      <c r="Q110" s="166" t="str">
        <f>IF(OR($E110&gt;=$B$9,$E110=0,AND(NOT($B$19),$F110&lt;16)),"",MAX(Pricing!$I109,Pricing!$U110))</f>
        <v/>
      </c>
      <c r="R110" s="166" t="str">
        <f>IF($Q110="","",IF($L110=0,E110,COUNTIF($O111:$O$116,"&gt;=" &amp; $O110-$L110*(1-$P110)/$Q110*Pricing!$H110)+$E110))</f>
        <v/>
      </c>
      <c r="S110" s="166" t="str">
        <f>IF($Q110="","",IF($L110=0,0,IF(R110&lt;$B$10,ROUND((L110*(1-P110)-(O110-INDEX(O110:O$116,R110-E110+1))/Pricing!H110*Q110)/(INDEX(Pricing!G110:G$116,R110-E110+1)/Pricing!H110*Q110)*365,0),0)))</f>
        <v/>
      </c>
      <c r="T110" s="235" t="str">
        <f>IF(OR($Q110="",NOT($B$17)),"",IF($R110&lt;$B$10,0,ROUND(MIN(1,($L110-$O110/Pricing!$H110*$Q110)/(Pricing!$R110-Pricing!$O110)),4)))</f>
        <v/>
      </c>
      <c r="U110" s="166" t="str">
        <f>IF($Q110="","",IF($L110=0,0,IF(OR(R110&lt;$B$10,AND($B$17,$T110&lt;1)),0,$L110*(1-$P110)-$O110/Pricing!$H110*$Q110-IF($B$17,Pricing!$R110-Pricing!$O110,0))*IF($B$18=1,1,Pricing!$H110/IF($B$18=2,INDEX(Pricing!$H$5:$H$116,$B$9+1),INDEX(Pricing!$H$5:$H$116,$B$10+1)))))</f>
        <v/>
      </c>
      <c r="V110" s="425" t="str">
        <f>IF($E110="","",(1-$B$24*($B$10-$E110))*MIN($B$22+(1-$B$22)*$E110/MIN($B$23,$B$9),1)*(Pricing!$U110-$I110))</f>
        <v/>
      </c>
      <c r="W110" s="35" t="str">
        <f>IF($E110="","",IF(F110&gt;16,0,MAX(INDEX($L$6:$L$116,$W$4)*(1+2.25%)^0.5-INDEX($N$6:$N$116,$W$4)/$B$11*Pricing!M110,0)))</f>
        <v/>
      </c>
      <c r="X110" s="428" t="e">
        <f>SUMPRODUCT(Reserve!G110:G$116,W110:W$116)/Reserve!H110</f>
        <v>#VALUE!</v>
      </c>
    </row>
    <row r="111" spans="4:24" x14ac:dyDescent="0.3">
      <c r="D111" s="215">
        <v>106</v>
      </c>
      <c r="E111" s="217" t="str">
        <f t="shared" si="10"/>
        <v/>
      </c>
      <c r="F111" s="228" t="str">
        <f t="shared" si="11"/>
        <v/>
      </c>
      <c r="G111" s="162" t="str">
        <f>IF($E111="","",ROUND((1-$B$24*($B$10-$E111))*MIN($B$22+(1-$B$22)*$E111/MIN($B$23,$B$9),1)*(Pricing!$U111-$I111),0))</f>
        <v/>
      </c>
      <c r="H111" s="163" t="str">
        <f t="shared" si="8"/>
        <v/>
      </c>
      <c r="I111" s="163" t="str">
        <f>IF($E111="","",Pricing!$N111+Pricing!$O111)</f>
        <v/>
      </c>
      <c r="J111" s="220" t="str">
        <f>IF(OR($E111=0,$E111=""),"",(NPV($B$13,$I$5:$I111)+$G111*(1+$B$13)^-($E111+1))/NPV($B$13,$H$5:$H110))</f>
        <v/>
      </c>
      <c r="K111" s="220" t="str">
        <f>IF($E111="","",IFERROR(((G111+I111)/(NPV(K111,H$5:H110)*(1+K111)-NPV(K111,I$5:I110)*(1+K111)))^(1/E111)-1,0))</f>
        <v/>
      </c>
      <c r="L111" s="163" t="str">
        <f>IF(OR($E111&gt;=$B$9,$E111=0),"",MAX(Pricing!$U111-$I111-0.01*$B$11,$V111))</f>
        <v/>
      </c>
      <c r="M111" s="163" t="str">
        <f>IF($E111="","",ROUND(Pricing!Q111+Pricing!R111-SUMPRODUCT(Pricing!G111:G$116,Pricing!L111:L$116)/Pricing!H111-$I111,0))</f>
        <v/>
      </c>
      <c r="N111" s="163" t="str">
        <f t="shared" si="9"/>
        <v/>
      </c>
      <c r="O111" s="163" t="str">
        <f>IF(E111="","",IF(AND(Pricing!$K$3,$B$19),SUMIF(F111:F$116,"&gt;=" &amp; 16,Pricing!G111:G$116),SUM(Pricing!$G111:$G$116)))</f>
        <v/>
      </c>
      <c r="P111" s="427" t="str">
        <f>IF(OR($E111="",$E111=0),"",IF(OR(NOT($B$19),$F111&gt;=16,$E111=$B$10),0,((1+2.25%)*$P112*Pricing!$H112+(1+Pricing!$K$3)^0.5*Pricing!$G111)/Pricing!$H111))</f>
        <v/>
      </c>
      <c r="Q111" s="163" t="str">
        <f>IF(OR($E111&gt;=$B$9,$E111=0,AND(NOT($B$19),$F111&lt;16)),"",MAX(Pricing!$I110,Pricing!$U111))</f>
        <v/>
      </c>
      <c r="R111" s="163" t="str">
        <f>IF($Q111="","",IF($L111=0,E111,COUNTIF($O112:$O$116,"&gt;=" &amp; $O111-$L111*(1-$P111)/$Q111*Pricing!$H111)+$E111))</f>
        <v/>
      </c>
      <c r="S111" s="163" t="str">
        <f>IF($Q111="","",IF($L111=0,0,IF(R111&lt;$B$10,ROUND((L111*(1-P111)-(O111-INDEX(O111:O$116,R111-E111+1))/Pricing!H111*Q111)/(INDEX(Pricing!G111:G$116,R111-E111+1)/Pricing!H111*Q111)*365,0),0)))</f>
        <v/>
      </c>
      <c r="T111" s="220" t="str">
        <f>IF(OR($Q111="",NOT($B$17)),"",IF($R111&lt;$B$10,0,ROUND(MIN(1,($L111-$O111/Pricing!$H111*$Q111)/(Pricing!$R111-Pricing!$O111)),4)))</f>
        <v/>
      </c>
      <c r="U111" s="163" t="str">
        <f>IF($Q111="","",IF($L111=0,0,IF(OR(R111&lt;$B$10,AND($B$17,$T111&lt;1)),0,$L111*(1-$P111)-$O111/Pricing!$H111*$Q111-IF($B$17,Pricing!$R111-Pricing!$O111,0))*IF($B$18=1,1,Pricing!$H111/IF($B$18=2,INDEX(Pricing!$H$5:$H$116,$B$9+1),INDEX(Pricing!$H$5:$H$116,$B$10+1)))))</f>
        <v/>
      </c>
      <c r="V111" s="425" t="str">
        <f>IF($E111="","",(1-$B$24*($B$10-$E111))*MIN($B$22+(1-$B$22)*$E111/MIN($B$23,$B$9),1)*(Pricing!$U111-$I111))</f>
        <v/>
      </c>
      <c r="W111" s="35" t="str">
        <f>IF($E111="","",IF(F111&gt;16,0,MAX(INDEX($L$6:$L$116,$W$4)*(1+2.25%)^0.5-INDEX($N$6:$N$116,$W$4)/$B$11*Pricing!M111,0)))</f>
        <v/>
      </c>
      <c r="X111" s="428" t="e">
        <f>SUMPRODUCT(Reserve!G111:G$116,W111:W$116)/Reserve!H111</f>
        <v>#VALUE!</v>
      </c>
    </row>
    <row r="112" spans="4:24" x14ac:dyDescent="0.3">
      <c r="D112" s="215">
        <v>107</v>
      </c>
      <c r="E112" s="217" t="str">
        <f t="shared" si="10"/>
        <v/>
      </c>
      <c r="F112" s="228" t="str">
        <f t="shared" si="11"/>
        <v/>
      </c>
      <c r="G112" s="162" t="str">
        <f>IF($E112="","",ROUND((1-$B$24*($B$10-$E112))*MIN($B$22+(1-$B$22)*$E112/MIN($B$23,$B$9),1)*(Pricing!$U112-$I112),0))</f>
        <v/>
      </c>
      <c r="H112" s="163" t="str">
        <f t="shared" si="8"/>
        <v/>
      </c>
      <c r="I112" s="163" t="str">
        <f>IF($E112="","",Pricing!$N112+Pricing!$O112)</f>
        <v/>
      </c>
      <c r="J112" s="220" t="str">
        <f>IF(OR($E112=0,$E112=""),"",(NPV($B$13,$I$5:$I112)+$G112*(1+$B$13)^-($E112+1))/NPV($B$13,$H$5:$H111))</f>
        <v/>
      </c>
      <c r="K112" s="220" t="str">
        <f>IF($E112="","",IFERROR(((G112+I112)/(NPV(K112,H$5:H111)*(1+K112)-NPV(K112,I$5:I111)*(1+K112)))^(1/E112)-1,0))</f>
        <v/>
      </c>
      <c r="L112" s="163" t="str">
        <f>IF(OR($E112&gt;=$B$9,$E112=0),"",MAX(Pricing!$U112-$I112-0.01*$B$11,$V112))</f>
        <v/>
      </c>
      <c r="M112" s="163" t="str">
        <f>IF($E112="","",ROUND(Pricing!Q112+Pricing!R112-SUMPRODUCT(Pricing!G112:G$116,Pricing!L112:L$116)/Pricing!H112-$I112,0))</f>
        <v/>
      </c>
      <c r="N112" s="163" t="str">
        <f t="shared" si="9"/>
        <v/>
      </c>
      <c r="O112" s="163" t="str">
        <f>IF(E112="","",IF(AND(Pricing!$K$3,$B$19),SUMIF(F112:F$116,"&gt;=" &amp; 16,Pricing!G112:G$116),SUM(Pricing!$G112:$G$116)))</f>
        <v/>
      </c>
      <c r="P112" s="427" t="str">
        <f>IF(OR($E112="",$E112=0),"",IF(OR(NOT($B$19),$F112&gt;=16,$E112=$B$10),0,((1+2.25%)*$P113*Pricing!$H113+(1+Pricing!$K$3)^0.5*Pricing!$G112)/Pricing!$H112))</f>
        <v/>
      </c>
      <c r="Q112" s="163" t="str">
        <f>IF(OR($E112&gt;=$B$9,$E112=0,AND(NOT($B$19),$F112&lt;16)),"",MAX(Pricing!$I111,Pricing!$U112))</f>
        <v/>
      </c>
      <c r="R112" s="163" t="str">
        <f>IF($Q112="","",IF($L112=0,E112,COUNTIF($O113:$O$116,"&gt;=" &amp; $O112-$L112*(1-$P112)/$Q112*Pricing!$H112)+$E112))</f>
        <v/>
      </c>
      <c r="S112" s="163" t="str">
        <f>IF($Q112="","",IF($L112=0,0,IF(R112&lt;$B$10,ROUND((L112*(1-P112)-(O112-INDEX(O112:O$116,R112-E112+1))/Pricing!H112*Q112)/(INDEX(Pricing!G112:G$116,R112-E112+1)/Pricing!H112*Q112)*365,0),0)))</f>
        <v/>
      </c>
      <c r="T112" s="220" t="str">
        <f>IF(OR($Q112="",NOT($B$17)),"",IF($R112&lt;$B$10,0,ROUND(MIN(1,($L112-$O112/Pricing!$H112*$Q112)/(Pricing!$R112-Pricing!$O112)),4)))</f>
        <v/>
      </c>
      <c r="U112" s="163" t="str">
        <f>IF($Q112="","",IF($L112=0,0,IF(OR(R112&lt;$B$10,AND($B$17,$T112&lt;1)),0,$L112*(1-$P112)-$O112/Pricing!$H112*$Q112-IF($B$17,Pricing!$R112-Pricing!$O112,0))*IF($B$18=1,1,Pricing!$H112/IF($B$18=2,INDEX(Pricing!$H$5:$H$116,$B$9+1),INDEX(Pricing!$H$5:$H$116,$B$10+1)))))</f>
        <v/>
      </c>
      <c r="V112" s="425" t="str">
        <f>IF($E112="","",(1-$B$24*($B$10-$E112))*MIN($B$22+(1-$B$22)*$E112/MIN($B$23,$B$9),1)*(Pricing!$U112-$I112))</f>
        <v/>
      </c>
      <c r="W112" s="35" t="str">
        <f>IF($E112="","",IF(F112&gt;16,0,MAX(INDEX($L$6:$L$116,$W$4)*(1+2.25%)^0.5-INDEX($N$6:$N$116,$W$4)/$B$11*Pricing!M112,0)))</f>
        <v/>
      </c>
      <c r="X112" s="428" t="e">
        <f>SUMPRODUCT(Reserve!G112:G$116,W112:W$116)/Reserve!H112</f>
        <v>#VALUE!</v>
      </c>
    </row>
    <row r="113" spans="4:24" x14ac:dyDescent="0.3">
      <c r="D113" s="215">
        <v>108</v>
      </c>
      <c r="E113" s="217" t="str">
        <f t="shared" si="10"/>
        <v/>
      </c>
      <c r="F113" s="228" t="str">
        <f t="shared" si="11"/>
        <v/>
      </c>
      <c r="G113" s="162" t="str">
        <f>IF($E113="","",ROUND((1-$B$24*($B$10-$E113))*MIN($B$22+(1-$B$22)*$E113/MIN($B$23,$B$9),1)*(Pricing!$U113-$I113),0))</f>
        <v/>
      </c>
      <c r="H113" s="163" t="str">
        <f t="shared" si="8"/>
        <v/>
      </c>
      <c r="I113" s="163" t="str">
        <f>IF($E113="","",Pricing!$N113+Pricing!$O113)</f>
        <v/>
      </c>
      <c r="J113" s="220" t="str">
        <f>IF(OR($E113=0,$E113=""),"",(NPV($B$13,$I$5:$I113)+$G113*(1+$B$13)^-($E113+1))/NPV($B$13,$H$5:$H112))</f>
        <v/>
      </c>
      <c r="K113" s="220" t="str">
        <f>IF($E113="","",IFERROR(((G113+I113)/(NPV(K113,H$5:H112)*(1+K113)-NPV(K113,I$5:I112)*(1+K113)))^(1/E113)-1,0))</f>
        <v/>
      </c>
      <c r="L113" s="163" t="str">
        <f>IF(OR($E113&gt;=$B$9,$E113=0),"",MAX(Pricing!$U113-$I113-0.01*$B$11,$V113))</f>
        <v/>
      </c>
      <c r="M113" s="163" t="str">
        <f>IF($E113="","",ROUND(Pricing!Q113+Pricing!R113-SUMPRODUCT(Pricing!G113:G$116,Pricing!L113:L$116)/Pricing!H113-$I113,0))</f>
        <v/>
      </c>
      <c r="N113" s="163" t="str">
        <f t="shared" si="9"/>
        <v/>
      </c>
      <c r="O113" s="163" t="str">
        <f>IF(E113="","",IF(AND(Pricing!$K$3,$B$19),SUMIF(F113:F$116,"&gt;=" &amp; 16,Pricing!G113:G$116),SUM(Pricing!$G113:$G$116)))</f>
        <v/>
      </c>
      <c r="P113" s="427" t="str">
        <f>IF(OR($E113="",$E113=0),"",IF(OR(NOT($B$19),$F113&gt;=16,$E113=$B$10),0,((1+2.25%)*$P114*Pricing!$H114+(1+Pricing!$K$3)^0.5*Pricing!$G113)/Pricing!$H113))</f>
        <v/>
      </c>
      <c r="Q113" s="163" t="str">
        <f>IF(OR($E113&gt;=$B$9,$E113=0,AND(NOT($B$19),$F113&lt;16)),"",MAX(Pricing!$I112,Pricing!$U113))</f>
        <v/>
      </c>
      <c r="R113" s="163" t="str">
        <f>IF($Q113="","",IF($L113=0,E113,COUNTIF($O114:$O$116,"&gt;=" &amp; $O113-$L113*(1-$P113)/$Q113*Pricing!$H113)+$E113))</f>
        <v/>
      </c>
      <c r="S113" s="163" t="str">
        <f>IF($Q113="","",IF($L113=0,0,IF(R113&lt;$B$10,ROUND((L113*(1-P113)-(O113-INDEX(O113:O$116,R113-E113+1))/Pricing!H113*Q113)/(INDEX(Pricing!G113:G$116,R113-E113+1)/Pricing!H113*Q113)*365,0),0)))</f>
        <v/>
      </c>
      <c r="T113" s="220" t="str">
        <f>IF(OR($Q113="",NOT($B$17)),"",IF($R113&lt;$B$10,0,ROUND(MIN(1,($L113-$O113/Pricing!$H113*$Q113)/(Pricing!$R113-Pricing!$O113)),4)))</f>
        <v/>
      </c>
      <c r="U113" s="163" t="str">
        <f>IF($Q113="","",IF($L113=0,0,IF(OR(R113&lt;$B$10,AND($B$17,$T113&lt;1)),0,$L113*(1-$P113)-$O113/Pricing!$H113*$Q113-IF($B$17,Pricing!$R113-Pricing!$O113,0))*IF($B$18=1,1,Pricing!$H113/IF($B$18=2,INDEX(Pricing!$H$5:$H$116,$B$9+1),INDEX(Pricing!$H$5:$H$116,$B$10+1)))))</f>
        <v/>
      </c>
      <c r="V113" s="425" t="str">
        <f>IF($E113="","",(1-$B$24*($B$10-$E113))*MIN($B$22+(1-$B$22)*$E113/MIN($B$23,$B$9),1)*(Pricing!$U113-$I113))</f>
        <v/>
      </c>
      <c r="W113" s="35" t="str">
        <f>IF($E113="","",IF(F113&gt;16,0,MAX(INDEX($L$6:$L$116,$W$4)*(1+2.25%)^0.5-INDEX($N$6:$N$116,$W$4)/$B$11*Pricing!M113,0)))</f>
        <v/>
      </c>
      <c r="X113" s="428" t="e">
        <f>SUMPRODUCT(Reserve!G113:G$116,W113:W$116)/Reserve!H113</f>
        <v>#VALUE!</v>
      </c>
    </row>
    <row r="114" spans="4:24" x14ac:dyDescent="0.3">
      <c r="D114" s="215">
        <v>109</v>
      </c>
      <c r="E114" s="217" t="str">
        <f t="shared" si="10"/>
        <v/>
      </c>
      <c r="F114" s="228" t="str">
        <f t="shared" si="11"/>
        <v/>
      </c>
      <c r="G114" s="162" t="str">
        <f>IF($E114="","",ROUND((1-$B$24*($B$10-$E114))*MIN($B$22+(1-$B$22)*$E114/MIN($B$23,$B$9),1)*(Pricing!$U114-$I114),0))</f>
        <v/>
      </c>
      <c r="H114" s="163" t="str">
        <f t="shared" si="8"/>
        <v/>
      </c>
      <c r="I114" s="163" t="str">
        <f>IF($E114="","",Pricing!$N114+Pricing!$O114)</f>
        <v/>
      </c>
      <c r="J114" s="220" t="str">
        <f>IF(OR($E114=0,$E114=""),"",(NPV($B$13,$I$5:$I114)+$G114*(1+$B$13)^-($E114+1))/NPV($B$13,$H$5:$H113))</f>
        <v/>
      </c>
      <c r="K114" s="220" t="str">
        <f>IF($E114="","",IFERROR(((G114+I114)/(NPV(K114,H$5:H113)*(1+K114)-NPV(K114,I$5:I113)*(1+K114)))^(1/E114)-1,0))</f>
        <v/>
      </c>
      <c r="L114" s="163" t="str">
        <f>IF(OR($E114&gt;=$B$9,$E114=0),"",MAX(Pricing!$U114-$I114-0.01*$B$11,$V114))</f>
        <v/>
      </c>
      <c r="M114" s="163" t="str">
        <f>IF($E114="","",ROUND(Pricing!Q114+Pricing!R114-SUMPRODUCT(Pricing!G114:G$116,Pricing!L114:L$116)/Pricing!H114-$I114,0))</f>
        <v/>
      </c>
      <c r="N114" s="163" t="str">
        <f t="shared" si="9"/>
        <v/>
      </c>
      <c r="O114" s="163" t="str">
        <f>IF(E114="","",IF(AND(Pricing!$K$3,$B$19),SUMIF(F114:F$116,"&gt;=" &amp; 16,Pricing!G114:G$116),SUM(Pricing!$G114:$G$116)))</f>
        <v/>
      </c>
      <c r="P114" s="427" t="str">
        <f>IF(OR($E114="",$E114=0),"",IF(OR(NOT($B$19),$F114&gt;=16,$E114=$B$10),0,((1+2.25%)*$P115*Pricing!$H115+(1+Pricing!$K$3)^0.5*Pricing!$G114)/Pricing!$H114))</f>
        <v/>
      </c>
      <c r="Q114" s="163" t="str">
        <f>IF(OR($E114&gt;=$B$9,$E114=0,AND(NOT($B$19),$F114&lt;16)),"",MAX(Pricing!$I113,Pricing!$U114))</f>
        <v/>
      </c>
      <c r="R114" s="163" t="str">
        <f>IF($Q114="","",IF($L114=0,E114,COUNTIF($O115:$O$116,"&gt;=" &amp; $O114-$L114*(1-$P114)/$Q114*Pricing!$H114)+$E114))</f>
        <v/>
      </c>
      <c r="S114" s="163" t="str">
        <f>IF($Q114="","",IF($L114=0,0,IF(R114&lt;$B$10,ROUND((L114*(1-P114)-(O114-INDEX(O114:O$116,R114-E114+1))/Pricing!H114*Q114)/(INDEX(Pricing!G114:G$116,R114-E114+1)/Pricing!H114*Q114)*365,0),0)))</f>
        <v/>
      </c>
      <c r="T114" s="220" t="str">
        <f>IF(OR($Q114="",NOT($B$17)),"",IF($R114&lt;$B$10,0,ROUND(MIN(1,($L114-$O114/Pricing!$H114*$Q114)/(Pricing!$R114-Pricing!$O114)),4)))</f>
        <v/>
      </c>
      <c r="U114" s="163" t="str">
        <f>IF($Q114="","",IF($L114=0,0,IF(OR(R114&lt;$B$10,AND($B$17,$T114&lt;1)),0,$L114*(1-$P114)-$O114/Pricing!$H114*$Q114-IF($B$17,Pricing!$R114-Pricing!$O114,0))*IF($B$18=1,1,Pricing!$H114/IF($B$18=2,INDEX(Pricing!$H$5:$H$116,$B$9+1),INDEX(Pricing!$H$5:$H$116,$B$10+1)))))</f>
        <v/>
      </c>
      <c r="V114" s="425" t="str">
        <f>IF($E114="","",(1-$B$24*($B$10-$E114))*MIN($B$22+(1-$B$22)*$E114/MIN($B$23,$B$9),1)*(Pricing!$U114-$I114))</f>
        <v/>
      </c>
      <c r="W114" s="35" t="str">
        <f>IF($E114="","",IF(F114&gt;16,0,MAX(INDEX($L$6:$L$116,$W$4)*(1+2.25%)^0.5-INDEX($N$6:$N$116,$W$4)/$B$11*Pricing!M114,0)))</f>
        <v/>
      </c>
      <c r="X114" s="428" t="e">
        <f>SUMPRODUCT(Reserve!G114:G$116,W114:W$116)/Reserve!H114</f>
        <v>#VALUE!</v>
      </c>
    </row>
    <row r="115" spans="4:24" x14ac:dyDescent="0.3">
      <c r="D115" s="215">
        <v>110</v>
      </c>
      <c r="E115" s="233" t="str">
        <f t="shared" si="10"/>
        <v/>
      </c>
      <c r="F115" s="234" t="str">
        <f t="shared" si="11"/>
        <v/>
      </c>
      <c r="G115" s="165" t="str">
        <f>IF($E115="","",ROUND((1-$B$24*($B$10-$E115))*MIN($B$22+(1-$B$22)*$E115/MIN($B$23,$B$9),1)*(Pricing!$U115-$I115),0))</f>
        <v/>
      </c>
      <c r="H115" s="166" t="str">
        <f t="shared" si="8"/>
        <v/>
      </c>
      <c r="I115" s="166" t="str">
        <f>IF($E115="","",Pricing!$N115+Pricing!$O115)</f>
        <v/>
      </c>
      <c r="J115" s="235" t="str">
        <f>IF(OR($E115=0,$E115=""),"",(NPV($B$13,$I$5:$I115)+$G115*(1+$B$13)^-($E115+1))/NPV($B$13,$H$5:$H114))</f>
        <v/>
      </c>
      <c r="K115" s="235" t="str">
        <f>IF($E115="","",IFERROR(((G115+I115)/(NPV(K115,H$5:H114)*(1+K115)-NPV(K115,I$5:I114)*(1+K115)))^(1/E115)-1,0))</f>
        <v/>
      </c>
      <c r="L115" s="166" t="str">
        <f>IF(OR($E115&gt;=$B$9,$E115=0),"",MAX(Pricing!$U115-$I115-0.01*$B$11,$V115))</f>
        <v/>
      </c>
      <c r="M115" s="166" t="str">
        <f>IF($E115="","",ROUND(Pricing!Q115+Pricing!R115-SUMPRODUCT(Pricing!G115:G$116,Pricing!L115:L$116)/Pricing!H115-$I115,0))</f>
        <v/>
      </c>
      <c r="N115" s="166" t="str">
        <f t="shared" si="9"/>
        <v/>
      </c>
      <c r="O115" s="166" t="str">
        <f>IF(E115="","",IF(AND(Pricing!$K$3,$B$19),SUMIF(F115:F$116,"&gt;=" &amp; 16,Pricing!G115:G$116),SUM(Pricing!$G115:$G$116)))</f>
        <v/>
      </c>
      <c r="P115" s="429" t="str">
        <f>IF(OR($E115="",$E115=0),"",IF(OR(NOT($B$19),$F115&gt;=16,$E115=$B$10),0,((1+2.25%)*$P116*Pricing!$H116+(1+Pricing!$K$3)^0.5*Pricing!$G115)/Pricing!$H115))</f>
        <v/>
      </c>
      <c r="Q115" s="166" t="str">
        <f>IF(OR($E115&gt;=$B$9,$E115=0,AND(NOT($B$19),$F115&lt;16)),"",MAX(Pricing!$I114,Pricing!$U115))</f>
        <v/>
      </c>
      <c r="R115" s="166" t="str">
        <f>IF($Q115="","",IF($L115=0,E115,COUNTIF($O116:$O$116,"&gt;=" &amp; $O115-$L115*(1-$P115)/$Q115*Pricing!$H115)+$E115))</f>
        <v/>
      </c>
      <c r="S115" s="166" t="str">
        <f>IF($Q115="","",IF($L115=0,0,IF(R115&lt;$B$10,ROUND((L115*(1-P115)-(O115-INDEX(O115:O$116,R115-E115+1))/Pricing!H115*Q115)/(INDEX(Pricing!G115:G$116,R115-E115+1)/Pricing!H115*Q115)*365,0),0)))</f>
        <v/>
      </c>
      <c r="T115" s="235" t="str">
        <f>IF(OR($Q115="",NOT($B$17)),"",IF($R115&lt;$B$10,0,ROUND(MIN(1,($L115-$O115/Pricing!$H115*$Q115)/(Pricing!$R115-Pricing!$O115)),4)))</f>
        <v/>
      </c>
      <c r="U115" s="166" t="str">
        <f>IF($Q115="","",IF($L115=0,0,IF(OR(R115&lt;$B$10,AND($B$17,$T115&lt;1)),0,$L115*(1-$P115)-$O115/Pricing!$H115*$Q115-IF($B$17,Pricing!$R115-Pricing!$O115,0))*IF($B$18=1,1,Pricing!$H115/IF($B$18=2,INDEX(Pricing!$H$5:$H$116,$B$9+1),INDEX(Pricing!$H$5:$H$116,$B$10+1)))))</f>
        <v/>
      </c>
      <c r="V115" s="425" t="str">
        <f>IF($E115="","",(1-$B$24*($B$10-$E115))*MIN($B$22+(1-$B$22)*$E115/MIN($B$23,$B$9),1)*(Pricing!$U115-$I115))</f>
        <v/>
      </c>
      <c r="W115" s="35" t="str">
        <f>IF($E115="","",IF(F115&gt;16,0,MAX(INDEX($L$6:$L$116,$W$4)*(1+2.25%)^0.5-INDEX($N$6:$N$116,$W$4)/$B$11*Pricing!M115,0)))</f>
        <v/>
      </c>
      <c r="X115" s="428" t="e">
        <f>SUMPRODUCT(Reserve!G115:G$116,W115:W$116)/Reserve!H115</f>
        <v>#VALUE!</v>
      </c>
    </row>
    <row r="116" spans="4:24" ht="15" thickBot="1" x14ac:dyDescent="0.35">
      <c r="D116" s="215">
        <v>111</v>
      </c>
      <c r="E116" s="219" t="str">
        <f t="shared" si="10"/>
        <v/>
      </c>
      <c r="F116" s="229" t="str">
        <f t="shared" si="11"/>
        <v/>
      </c>
      <c r="G116" s="168" t="str">
        <f>IF($E116="","",ROUND((1-$B$24*($B$10-$E116))*MIN($B$22+(1-$B$22)*$E116/MIN($B$23,$B$9),1)*(Pricing!$U116-$I116),0))</f>
        <v/>
      </c>
      <c r="H116" s="169" t="str">
        <f t="shared" si="8"/>
        <v/>
      </c>
      <c r="I116" s="169" t="str">
        <f>IF($E116="","",Pricing!$N116+Pricing!$O116)</f>
        <v/>
      </c>
      <c r="J116" s="221" t="str">
        <f>IF(OR($E116=0,$E116=""),"",(NPV($B$13,$I$5:$I116)+$G116*(1+$B$13)^-($E116+1))/NPV($B$13,$H$5:$H115))</f>
        <v/>
      </c>
      <c r="K116" s="221" t="str">
        <f>IF($E116="","",IFERROR(((G116+I116)/(NPV(K116,H$5:H115)*(1+K116)-NPV(K116,I$5:I115)*(1+K116)))^(1/E116)-1,0))</f>
        <v/>
      </c>
      <c r="L116" s="169" t="str">
        <f>IF(OR($E116&gt;=$B$9,$E116=0),"",MAX(Pricing!$U116-$I116-0.01*$B$11,$V116))</f>
        <v/>
      </c>
      <c r="M116" s="169" t="str">
        <f>IF($E116="","",ROUND(Pricing!Q116+Pricing!R116-SUMPRODUCT(Pricing!G116:G$116,Pricing!L116:L$116)/Pricing!H116-$I116,0))</f>
        <v/>
      </c>
      <c r="N116" s="169" t="str">
        <f t="shared" si="9"/>
        <v/>
      </c>
      <c r="O116" s="169" t="str">
        <f>IF(E116="","",IF(AND(Pricing!$K$3,$B$19),SUMIF(F116:F$116,"&gt;=" &amp; 16,Pricing!G116:G$116),SUM(Pricing!$G116:$G$116)))</f>
        <v/>
      </c>
      <c r="P116" s="430" t="str">
        <f>IF(OR($E116="",$E116=0),"",IF(OR(NOT($B$19),$F116&gt;=16,$E116=$B$10),0,((1+2.25%)*$P117*Pricing!$H117+(1+Pricing!$K$3)^0.5*Pricing!$G116)/Pricing!$H116))</f>
        <v/>
      </c>
      <c r="Q116" s="169" t="str">
        <f>IF(OR($E116&gt;=$B$9,$E116=0,AND(NOT($B$19),$F116&lt;16)),"",MAX(Pricing!$I115,Pricing!$U116))</f>
        <v/>
      </c>
      <c r="R116" s="169" t="str">
        <f>IF($Q116="","",IF($L116=0,E116,COUNTIF($O$116:$O117,"&gt;=" &amp; $O116-$L116*(1-$P116)/$Q116*Pricing!$H116)+$E116))</f>
        <v/>
      </c>
      <c r="S116" s="169" t="str">
        <f>IF($Q116="","",IF($L116=0,0,IF(R116&lt;$B$10,ROUND((L116*(1-P116)-(O116-INDEX(O116:O$116,R116-E116+1))/Pricing!H116*Q116)/(INDEX(Pricing!G116:G$116,R116-E116+1)/Pricing!H116*Q116)*365,0),0)))</f>
        <v/>
      </c>
      <c r="T116" s="221" t="str">
        <f>IF(OR($Q116="",NOT($B$17)),"",IF($R116&lt;$B$10,0,ROUND(MIN(1,($L116-$O116/Pricing!$H116*$Q116)/(Pricing!$R116-Pricing!$O116)),4)))</f>
        <v/>
      </c>
      <c r="U116" s="169" t="str">
        <f>IF($Q116="","",IF($L116=0,0,IF(OR(R116&lt;$B$10,AND($B$17,$T116&lt;1)),0,$L116*(1-$P116)-$O116/Pricing!$H116*$Q116-IF($B$17,Pricing!$R116-Pricing!$O116,0))*IF($B$18=1,1,Pricing!$H116/IF($B$18=2,INDEX(Pricing!$H$5:$H$116,$B$9+1),INDEX(Pricing!$H$5:$H$116,$B$10+1)))))</f>
        <v/>
      </c>
      <c r="V116" s="425" t="str">
        <f>IF($E116="","",(1-$B$24*($B$10-$E116))*MIN($B$22+(1-$B$22)*$E116/MIN($B$23,$B$9),1)*(Pricing!$U116-$I116))</f>
        <v/>
      </c>
      <c r="W116" s="35" t="str">
        <f>IF($E116="","",IF(F116&gt;16,0,MAX(INDEX($L$6:$L$116,$W$4)*(1+2.25%)^0.5-INDEX($N$6:$N$116,$W$4)/$B$11*Pricing!M116,0)))</f>
        <v/>
      </c>
      <c r="X116" s="428" t="e">
        <f>SUMPRODUCT(Reserve!G116:G$116,W116:W$116)/Reserve!H116</f>
        <v>#VALUE!</v>
      </c>
    </row>
  </sheetData>
  <mergeCells count="4">
    <mergeCell ref="A2:F2"/>
    <mergeCell ref="A5:B5"/>
    <mergeCell ref="A16:B16"/>
    <mergeCell ref="A21:B21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1</xdr:col>
                    <xdr:colOff>533400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1</xdr:col>
                    <xdr:colOff>7620</xdr:colOff>
                    <xdr:row>17</xdr:row>
                    <xdr:rowOff>144780</xdr:rowOff>
                  </from>
                  <to>
                    <xdr:col>1</xdr:col>
                    <xdr:colOff>533400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Fill="0" autoPict="0">
                <anchor moveWithCells="1">
                  <from>
                    <xdr:col>1</xdr:col>
                    <xdr:colOff>0</xdr:colOff>
                    <xdr:row>5</xdr:row>
                    <xdr:rowOff>7620</xdr:rowOff>
                  </from>
                  <to>
                    <xdr:col>1</xdr:col>
                    <xdr:colOff>533400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Drop Down 4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533400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Drop Down 5">
              <controlPr defaultSize="0" autoFill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533400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Drop Down 6">
              <controlPr defaultSize="0" autoFill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533400</xdr:colOff>
                    <xdr:row>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M150"/>
  <sheetViews>
    <sheetView showGridLines="0" zoomScale="90" zoomScaleNormal="90" workbookViewId="0">
      <pane ySplit="11" topLeftCell="A69" activePane="bottomLeft" state="frozenSplit"/>
      <selection activeCell="A2" sqref="A2:I2"/>
      <selection pane="bottomLeft" activeCell="H71" sqref="H71"/>
    </sheetView>
  </sheetViews>
  <sheetFormatPr defaultColWidth="10.109375" defaultRowHeight="14.4" x14ac:dyDescent="0.3"/>
  <cols>
    <col min="1" max="1" width="10.109375" style="35"/>
    <col min="2" max="2" width="10.6640625" style="35" bestFit="1" customWidth="1"/>
    <col min="3" max="3" width="10.21875" style="35" bestFit="1" customWidth="1"/>
    <col min="4" max="16384" width="10.109375" style="35"/>
  </cols>
  <sheetData>
    <row r="1" spans="1:22" ht="20.399999999999999" thickBot="1" x14ac:dyDescent="0.35">
      <c r="A1" s="431" t="s">
        <v>14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V1" s="368">
        <f>AVERAGE(V2:V7)</f>
        <v>2.7260271673643682E-2</v>
      </c>
    </row>
    <row r="2" spans="1:22" ht="16.2" x14ac:dyDescent="0.3">
      <c r="A2" s="432" t="s">
        <v>228</v>
      </c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O2" s="415">
        <v>1</v>
      </c>
      <c r="P2" s="416">
        <v>6.7314741372427309E-2</v>
      </c>
      <c r="Q2" s="417"/>
      <c r="R2" s="368"/>
      <c r="S2" s="369">
        <v>1</v>
      </c>
      <c r="T2" s="370">
        <v>6.7314741372427309E-2</v>
      </c>
      <c r="U2" s="371"/>
      <c r="V2" s="368">
        <f>T2-T3</f>
        <v>2.4420979549283378E-2</v>
      </c>
    </row>
    <row r="3" spans="1:22" x14ac:dyDescent="0.3">
      <c r="O3" s="418">
        <v>2</v>
      </c>
      <c r="P3" s="419">
        <v>0.26351342121546051</v>
      </c>
      <c r="Q3" s="420">
        <f t="shared" ref="Q3:Q11" si="0">P3/$P$2-1</f>
        <v>2.91464656690188</v>
      </c>
      <c r="R3" s="368"/>
      <c r="S3" s="39">
        <v>2</v>
      </c>
      <c r="T3" s="372">
        <v>4.289376182314393E-2</v>
      </c>
      <c r="U3" s="373">
        <f>T3/$P$2-1</f>
        <v>-0.36278798746579477</v>
      </c>
      <c r="V3" s="368">
        <f t="shared" ref="V3:V7" si="1">T3-T4</f>
        <v>2.5479433967450074E-2</v>
      </c>
    </row>
    <row r="4" spans="1:22" ht="15" thickBot="1" x14ac:dyDescent="0.35">
      <c r="A4" s="445" t="s">
        <v>229</v>
      </c>
      <c r="B4" s="445"/>
      <c r="C4" s="445"/>
      <c r="D4" s="445"/>
      <c r="F4" s="445" t="s">
        <v>230</v>
      </c>
      <c r="G4" s="445"/>
      <c r="I4" s="445" t="s">
        <v>231</v>
      </c>
      <c r="J4" s="445"/>
      <c r="L4" s="445" t="s">
        <v>232</v>
      </c>
      <c r="M4" s="445"/>
      <c r="O4" s="418">
        <v>3</v>
      </c>
      <c r="P4" s="419">
        <v>-0.23192334310268289</v>
      </c>
      <c r="Q4" s="420">
        <f t="shared" si="0"/>
        <v>-4.4453574116780405</v>
      </c>
      <c r="R4" s="368"/>
      <c r="S4" s="39">
        <v>3</v>
      </c>
      <c r="T4" s="372">
        <v>1.7414327855693856E-2</v>
      </c>
      <c r="U4" s="373">
        <f t="shared" ref="U4:U8" si="2">T4/$P$2-1</f>
        <v>-0.74129993667587768</v>
      </c>
      <c r="V4" s="368">
        <f t="shared" si="1"/>
        <v>2.6593303011695452E-2</v>
      </c>
    </row>
    <row r="5" spans="1:22" ht="15" thickBot="1" x14ac:dyDescent="0.35">
      <c r="A5" s="45" t="s">
        <v>166</v>
      </c>
      <c r="B5" s="46">
        <f>Pricing!$B$6</f>
        <v>1</v>
      </c>
      <c r="C5" s="46" t="s">
        <v>167</v>
      </c>
      <c r="D5" s="47">
        <f>Pricing!$B$7</f>
        <v>35</v>
      </c>
      <c r="F5" s="344" t="s">
        <v>233</v>
      </c>
      <c r="G5" s="245">
        <f>$B$108</f>
        <v>1.0010217296796338</v>
      </c>
      <c r="I5" s="344" t="s">
        <v>234</v>
      </c>
      <c r="J5" s="245">
        <f>$B$129</f>
        <v>3.6714599272665301E-2</v>
      </c>
      <c r="L5" s="452" t="s">
        <v>235</v>
      </c>
      <c r="M5" s="454">
        <f>$B$150</f>
        <v>0.17143748053756294</v>
      </c>
      <c r="O5" s="418">
        <v>4</v>
      </c>
      <c r="P5" s="419">
        <v>6.9133262751099656E-2</v>
      </c>
      <c r="Q5" s="420">
        <f t="shared" si="0"/>
        <v>2.701520263757895E-2</v>
      </c>
      <c r="R5" s="368"/>
      <c r="S5" s="39">
        <v>4</v>
      </c>
      <c r="T5" s="372">
        <v>-9.178975156001596E-3</v>
      </c>
      <c r="U5" s="373">
        <f t="shared" si="2"/>
        <v>-1.1363590644316339</v>
      </c>
      <c r="V5" s="368">
        <f t="shared" si="1"/>
        <v>2.7765876255220066E-2</v>
      </c>
    </row>
    <row r="6" spans="1:22" ht="15" thickTop="1" x14ac:dyDescent="0.3">
      <c r="A6" s="237" t="s">
        <v>236</v>
      </c>
      <c r="B6" s="238">
        <v>2.5999999999999999E-2</v>
      </c>
      <c r="C6" s="238" t="s">
        <v>76</v>
      </c>
      <c r="D6" s="191">
        <f>IF($B$5=1,0.9,0.9)</f>
        <v>0.9</v>
      </c>
      <c r="F6" s="347" t="s">
        <v>237</v>
      </c>
      <c r="G6" s="345">
        <f>$C$108</f>
        <v>0.53997685232003467</v>
      </c>
      <c r="I6" s="347" t="s">
        <v>238</v>
      </c>
      <c r="J6" s="345">
        <f>$C$129</f>
        <v>8.7430036097702432E-2</v>
      </c>
      <c r="L6" s="453"/>
      <c r="M6" s="455"/>
      <c r="O6" s="418">
        <v>5</v>
      </c>
      <c r="P6" s="419">
        <v>6.9003759298019177E-2</v>
      </c>
      <c r="Q6" s="420">
        <f t="shared" si="0"/>
        <v>2.5091352817463219E-2</v>
      </c>
      <c r="R6" s="368"/>
      <c r="S6" s="39">
        <v>5</v>
      </c>
      <c r="T6" s="372">
        <v>-3.6944851411221662E-2</v>
      </c>
      <c r="U6" s="373">
        <f t="shared" si="2"/>
        <v>-1.548837456075477</v>
      </c>
      <c r="V6" s="368">
        <f t="shared" si="1"/>
        <v>2.9000657495218886E-2</v>
      </c>
    </row>
    <row r="7" spans="1:22" x14ac:dyDescent="0.3">
      <c r="A7" s="239" t="s">
        <v>239</v>
      </c>
      <c r="B7" s="205">
        <v>3.1899999999999998E-2</v>
      </c>
      <c r="C7" s="205" t="s">
        <v>240</v>
      </c>
      <c r="D7" s="192">
        <v>1</v>
      </c>
      <c r="F7" s="242" t="s">
        <v>241</v>
      </c>
      <c r="G7" s="346">
        <f>$D$108</f>
        <v>9.5219555166131634E-2</v>
      </c>
      <c r="I7" s="242" t="s">
        <v>242</v>
      </c>
      <c r="J7" s="346">
        <f>$D$129</f>
        <v>1.8053239188928501E-4</v>
      </c>
      <c r="L7" s="242" t="s">
        <v>243</v>
      </c>
      <c r="M7" s="246">
        <f>$C$150</f>
        <v>118813.31234419168</v>
      </c>
      <c r="O7" s="418">
        <v>6</v>
      </c>
      <c r="P7" s="419">
        <v>6.6342974432658186E-2</v>
      </c>
      <c r="Q7" s="420">
        <f t="shared" si="0"/>
        <v>-1.4436168363073709E-2</v>
      </c>
      <c r="R7" s="368"/>
      <c r="S7" s="39">
        <v>6</v>
      </c>
      <c r="T7" s="372">
        <v>-6.5945508906440548E-2</v>
      </c>
      <c r="U7" s="373">
        <f t="shared" si="2"/>
        <v>-1.9796592479140445</v>
      </c>
      <c r="V7" s="368">
        <f t="shared" si="1"/>
        <v>3.0301379762994241E-2</v>
      </c>
    </row>
    <row r="8" spans="1:22" ht="15" thickBot="1" x14ac:dyDescent="0.35">
      <c r="A8" s="239" t="s">
        <v>244</v>
      </c>
      <c r="B8" s="205">
        <f>B6</f>
        <v>2.5999999999999999E-2</v>
      </c>
      <c r="C8" s="205" t="s">
        <v>245</v>
      </c>
      <c r="D8" s="192">
        <v>1</v>
      </c>
      <c r="F8" s="242" t="s">
        <v>246</v>
      </c>
      <c r="G8" s="346">
        <f>$E$108</f>
        <v>5.153757749238734E-2</v>
      </c>
      <c r="I8" s="242" t="s">
        <v>247</v>
      </c>
      <c r="J8" s="346">
        <f>$E$129</f>
        <v>-6.5269800367823025E-2</v>
      </c>
      <c r="L8" s="242" t="s">
        <v>248</v>
      </c>
      <c r="M8" s="246">
        <f>$D$150</f>
        <v>13.351138845809601</v>
      </c>
      <c r="O8" s="418">
        <v>7</v>
      </c>
      <c r="P8" s="419">
        <v>6.837764418048832E-2</v>
      </c>
      <c r="Q8" s="420">
        <f t="shared" si="0"/>
        <v>1.5790045187581869E-2</v>
      </c>
      <c r="S8" s="41">
        <v>7</v>
      </c>
      <c r="T8" s="374">
        <v>-9.6246888669434788E-2</v>
      </c>
      <c r="U8" s="375">
        <f t="shared" si="2"/>
        <v>-2.4298040326254351</v>
      </c>
      <c r="V8" s="368"/>
    </row>
    <row r="9" spans="1:22" x14ac:dyDescent="0.3">
      <c r="A9" s="239" t="s">
        <v>249</v>
      </c>
      <c r="B9" s="205"/>
      <c r="C9" s="205" t="s">
        <v>250</v>
      </c>
      <c r="D9" s="192">
        <f>Reserve!$B$13</f>
        <v>0</v>
      </c>
      <c r="F9" s="242" t="s">
        <v>251</v>
      </c>
      <c r="G9" s="346">
        <f>$F$108</f>
        <v>1.8020000000000001E-2</v>
      </c>
      <c r="I9" s="242" t="s">
        <v>252</v>
      </c>
      <c r="J9" s="346">
        <f>$F$129</f>
        <v>1.4250499329713945E-2</v>
      </c>
      <c r="L9" s="242" t="s">
        <v>253</v>
      </c>
      <c r="M9" s="246">
        <f>$E$150</f>
        <v>8.1851925901562055</v>
      </c>
      <c r="O9" s="418">
        <v>8</v>
      </c>
      <c r="P9" s="419">
        <v>6.0468341448635915E-2</v>
      </c>
      <c r="Q9" s="420">
        <f t="shared" si="0"/>
        <v>-0.10170729002601109</v>
      </c>
    </row>
    <row r="10" spans="1:22" ht="15" thickBot="1" x14ac:dyDescent="0.35">
      <c r="A10" s="240" t="s">
        <v>254</v>
      </c>
      <c r="B10" s="241">
        <f>Code!$G$4</f>
        <v>1</v>
      </c>
      <c r="C10" s="241"/>
      <c r="D10" s="202"/>
      <c r="F10" s="243" t="s">
        <v>255</v>
      </c>
      <c r="G10" s="244">
        <f>$G$108</f>
        <v>0.29626774470108008</v>
      </c>
      <c r="I10" s="243"/>
      <c r="J10" s="244"/>
      <c r="L10" s="243" t="s">
        <v>189</v>
      </c>
      <c r="M10" s="244" t="e">
        <f>$F$150</f>
        <v>#DIV/0!</v>
      </c>
      <c r="O10" s="418">
        <v>9</v>
      </c>
      <c r="P10" s="419">
        <v>7.4161141296218452E-2</v>
      </c>
      <c r="Q10" s="420">
        <f t="shared" si="0"/>
        <v>0.10170729002600742</v>
      </c>
    </row>
    <row r="11" spans="1:22" ht="15" thickBot="1" x14ac:dyDescent="0.35">
      <c r="O11" s="421" t="s">
        <v>397</v>
      </c>
      <c r="P11" s="422">
        <v>-0.31383466369984203</v>
      </c>
      <c r="Q11" s="423">
        <f t="shared" si="0"/>
        <v>-5.6621981649385251</v>
      </c>
    </row>
    <row r="12" spans="1:22" ht="15" x14ac:dyDescent="0.3">
      <c r="A12" s="451" t="s">
        <v>256</v>
      </c>
      <c r="B12" s="451"/>
      <c r="F12" s="412" t="s">
        <v>406</v>
      </c>
      <c r="G12" s="413">
        <v>1</v>
      </c>
    </row>
    <row r="13" spans="1:22" x14ac:dyDescent="0.3">
      <c r="A13" s="236" t="s">
        <v>190</v>
      </c>
      <c r="B13" s="236" t="s">
        <v>257</v>
      </c>
      <c r="E13" s="236" t="s">
        <v>191</v>
      </c>
      <c r="F13" s="236" t="s">
        <v>258</v>
      </c>
    </row>
    <row r="14" spans="1:22" ht="15" thickBot="1" x14ac:dyDescent="0.35">
      <c r="A14" s="382" t="str">
        <f>INDEX($A$25:$C$69,11*($B$10-1)+1,1)</f>
        <v>[1]</v>
      </c>
      <c r="B14" s="383" t="str">
        <f>INDEX($A$25:$C$69,11*($B$10-1)+1,2)</f>
        <v>數理部：業務通路</v>
      </c>
      <c r="C14" s="384"/>
      <c r="E14" s="236" t="str">
        <f>INDEX($E$25:$K$69,11*($B$10-1)+1,5*($G$14-1)+1)</f>
        <v>[1-1]</v>
      </c>
      <c r="F14" s="269">
        <f>$D$5</f>
        <v>35</v>
      </c>
      <c r="G14" s="35">
        <f>HLOOKUP($F$14,$L$15:$M$16,2,TRUE)</f>
        <v>1</v>
      </c>
      <c r="H14" s="269"/>
    </row>
    <row r="15" spans="1:22" ht="15" thickBot="1" x14ac:dyDescent="0.35">
      <c r="A15" s="385" t="s">
        <v>259</v>
      </c>
      <c r="B15" s="386" t="s">
        <v>192</v>
      </c>
      <c r="C15" s="387" t="s">
        <v>193</v>
      </c>
      <c r="E15" s="409" t="s">
        <v>260</v>
      </c>
      <c r="F15" s="152" t="s">
        <v>18</v>
      </c>
      <c r="G15" s="46" t="s">
        <v>19</v>
      </c>
      <c r="H15" s="46" t="s">
        <v>20</v>
      </c>
      <c r="I15" s="47" t="s">
        <v>21</v>
      </c>
      <c r="K15" s="270" t="s">
        <v>261</v>
      </c>
      <c r="L15" s="271">
        <f>INDEX($F$25:$L$69,11*($B$10-1)+1,6*(L16-1)+1)</f>
        <v>0</v>
      </c>
      <c r="M15" s="272">
        <f>INDEX($F$25:$L$69,11*($B$10-1)+1,6*(M16-1)+1)</f>
        <v>40</v>
      </c>
    </row>
    <row r="16" spans="1:22" ht="15.6" thickTop="1" thickBot="1" x14ac:dyDescent="0.35">
      <c r="A16" s="388" t="s">
        <v>194</v>
      </c>
      <c r="B16" s="389">
        <f>INDEX($A$25:$C$69,11*($B$10-1)+3,2)</f>
        <v>3471</v>
      </c>
      <c r="C16" s="390">
        <f>INDEX($A$25:$C$69,11*($B$10-1)+3,3)</f>
        <v>1.8020000000000001E-2</v>
      </c>
      <c r="E16" s="414">
        <v>1</v>
      </c>
      <c r="F16" s="262">
        <f>INDEX(F$27:L$67,11*($B$10-1)+$E16,6*($G$14-1)+1)*$G$12</f>
        <v>0.13</v>
      </c>
      <c r="G16" s="263">
        <f>INDEX(G$27:M$67,11*($B$10-1)+$E16,6*($G$14-1)+1)*$G$12</f>
        <v>0.16</v>
      </c>
      <c r="H16" s="263">
        <f>INDEX(H$27:N$67,11*($B$10-1)+$E16,6*($G$14-1)+1)*$G$12</f>
        <v>0.2</v>
      </c>
      <c r="I16" s="264">
        <f>INDEX(I$27:O$67,11*($B$10-1)+$E16,6*($G$14-1)+1)*$G$12</f>
        <v>0.32</v>
      </c>
      <c r="K16" s="52" t="s">
        <v>262</v>
      </c>
      <c r="L16" s="53">
        <v>1</v>
      </c>
      <c r="M16" s="54">
        <v>2</v>
      </c>
    </row>
    <row r="17" spans="1:15" x14ac:dyDescent="0.3">
      <c r="A17" s="391" t="s">
        <v>195</v>
      </c>
      <c r="B17" s="392">
        <f>INDEX($A$25:$C$69,11*($B$10-1)+4,2)</f>
        <v>376</v>
      </c>
      <c r="C17" s="393">
        <f>INDEX($A$25:$C$69,11*($B$10-1)+4,3)</f>
        <v>3.16E-3</v>
      </c>
      <c r="E17" s="414">
        <v>2</v>
      </c>
      <c r="F17" s="262">
        <f t="shared" ref="F17:F21" si="3">INDEX(F$27:L$67,11*($B$10-1)+$E17,6*($G$14-1)+1)*$G$12</f>
        <v>0.02</v>
      </c>
      <c r="G17" s="263">
        <f t="shared" ref="G17:G21" si="4">INDEX(G$27:M$67,11*($B$10-1)+$E17,6*($G$14-1)+1)*$G$12</f>
        <v>0.03</v>
      </c>
      <c r="H17" s="263">
        <f t="shared" ref="H17:H21" si="5">INDEX(H$27:N$67,11*($B$10-1)+$E17,6*($G$14-1)+1)*$G$12</f>
        <v>0.05</v>
      </c>
      <c r="I17" s="264">
        <f t="shared" ref="I17:I21" si="6">INDEX(I$27:O$67,11*($B$10-1)+$E17,6*($G$14-1)+1)*$G$12</f>
        <v>0.1</v>
      </c>
    </row>
    <row r="18" spans="1:15" ht="15" thickBot="1" x14ac:dyDescent="0.35">
      <c r="A18" s="394" t="s">
        <v>196</v>
      </c>
      <c r="B18" s="395">
        <f>INDEX($A$25:$C$69,11*($B$10-1)+5,2)</f>
        <v>0</v>
      </c>
      <c r="C18" s="396">
        <f>INDEX($A$25:$C$69,11*($B$10-1)+5,3)</f>
        <v>9.2399999999999999E-3</v>
      </c>
      <c r="E18" s="414">
        <v>3</v>
      </c>
      <c r="F18" s="262">
        <f t="shared" si="3"/>
        <v>0.02</v>
      </c>
      <c r="G18" s="263">
        <f t="shared" si="4"/>
        <v>0.03</v>
      </c>
      <c r="H18" s="263">
        <f t="shared" si="5"/>
        <v>0.05</v>
      </c>
      <c r="I18" s="264">
        <f t="shared" si="6"/>
        <v>0.05</v>
      </c>
    </row>
    <row r="19" spans="1:15" x14ac:dyDescent="0.3">
      <c r="A19" s="456" t="s">
        <v>263</v>
      </c>
      <c r="B19" s="397" t="s">
        <v>264</v>
      </c>
      <c r="C19" s="398">
        <f>INDEX($A$25:$C$69,11*($B$10-1)+6,3)</f>
        <v>2.7720000000000002E-3</v>
      </c>
      <c r="E19" s="414">
        <v>4</v>
      </c>
      <c r="F19" s="262">
        <f t="shared" si="3"/>
        <v>0</v>
      </c>
      <c r="G19" s="263">
        <f t="shared" si="4"/>
        <v>0</v>
      </c>
      <c r="H19" s="263">
        <f t="shared" si="5"/>
        <v>0.05</v>
      </c>
      <c r="I19" s="264">
        <f t="shared" si="6"/>
        <v>0.05</v>
      </c>
    </row>
    <row r="20" spans="1:15" x14ac:dyDescent="0.3">
      <c r="A20" s="456"/>
      <c r="B20" s="399" t="s">
        <v>265</v>
      </c>
      <c r="C20" s="400">
        <f>INDEX($A$25:$C$69,11*($B$10-1)+7,3)</f>
        <v>0.2</v>
      </c>
      <c r="E20" s="414">
        <v>5</v>
      </c>
      <c r="F20" s="262">
        <f t="shared" si="3"/>
        <v>0</v>
      </c>
      <c r="G20" s="263">
        <f t="shared" si="4"/>
        <v>0</v>
      </c>
      <c r="H20" s="263">
        <f t="shared" si="5"/>
        <v>0</v>
      </c>
      <c r="I20" s="264">
        <f t="shared" si="6"/>
        <v>0.05</v>
      </c>
    </row>
    <row r="21" spans="1:15" ht="15" thickBot="1" x14ac:dyDescent="0.35">
      <c r="A21" s="457"/>
      <c r="B21" s="401" t="s">
        <v>266</v>
      </c>
      <c r="C21" s="402">
        <f>INDEX($A$25:$C$69,11*($B$10-1)+8,3)</f>
        <v>0.93</v>
      </c>
      <c r="E21" s="243">
        <v>6</v>
      </c>
      <c r="F21" s="304">
        <f t="shared" si="3"/>
        <v>0</v>
      </c>
      <c r="G21" s="63">
        <f t="shared" si="4"/>
        <v>0</v>
      </c>
      <c r="H21" s="63">
        <f t="shared" si="5"/>
        <v>0</v>
      </c>
      <c r="I21" s="64">
        <f t="shared" si="6"/>
        <v>0.05</v>
      </c>
    </row>
    <row r="22" spans="1:15" ht="15" thickBot="1" x14ac:dyDescent="0.35">
      <c r="A22" s="403" t="s">
        <v>267</v>
      </c>
      <c r="B22" s="404">
        <f>INDEX($A$25:$C$69,11*($B$10-1)+9,2)</f>
        <v>0.02</v>
      </c>
      <c r="C22" s="405"/>
      <c r="K22" s="411"/>
    </row>
    <row r="23" spans="1:15" ht="15" thickBot="1" x14ac:dyDescent="0.35">
      <c r="A23" s="406" t="s">
        <v>200</v>
      </c>
      <c r="B23" s="407">
        <f>INDEX($A$25:$C$69,11*($B$10-1)+10,2)</f>
        <v>1.1000000000000001</v>
      </c>
      <c r="C23" s="408"/>
    </row>
    <row r="25" spans="1:15" ht="15" thickBot="1" x14ac:dyDescent="0.35">
      <c r="A25" s="236" t="s">
        <v>201</v>
      </c>
      <c r="B25" s="343" t="s">
        <v>268</v>
      </c>
      <c r="E25" s="236" t="s">
        <v>202</v>
      </c>
      <c r="F25" s="269">
        <v>0</v>
      </c>
      <c r="G25" s="35" t="s">
        <v>269</v>
      </c>
      <c r="H25" s="269">
        <v>39</v>
      </c>
      <c r="K25" s="236" t="s">
        <v>203</v>
      </c>
      <c r="L25" s="269">
        <v>40</v>
      </c>
      <c r="M25" s="35" t="s">
        <v>269</v>
      </c>
      <c r="N25" s="269">
        <v>79</v>
      </c>
    </row>
    <row r="26" spans="1:15" ht="15" thickBot="1" x14ac:dyDescent="0.35">
      <c r="A26" s="376" t="s">
        <v>259</v>
      </c>
      <c r="B26" s="152" t="s">
        <v>192</v>
      </c>
      <c r="C26" s="47" t="s">
        <v>193</v>
      </c>
      <c r="E26" s="344" t="s">
        <v>260</v>
      </c>
      <c r="F26" s="152" t="s">
        <v>18</v>
      </c>
      <c r="G26" s="46" t="s">
        <v>19</v>
      </c>
      <c r="H26" s="46" t="s">
        <v>20</v>
      </c>
      <c r="I26" s="47" t="s">
        <v>21</v>
      </c>
      <c r="K26" s="344" t="s">
        <v>260</v>
      </c>
      <c r="L26" s="152" t="s">
        <v>18</v>
      </c>
      <c r="M26" s="46" t="s">
        <v>19</v>
      </c>
      <c r="N26" s="46" t="s">
        <v>20</v>
      </c>
      <c r="O26" s="47" t="s">
        <v>21</v>
      </c>
    </row>
    <row r="27" spans="1:15" ht="15" thickTop="1" x14ac:dyDescent="0.3">
      <c r="A27" s="377" t="s">
        <v>194</v>
      </c>
      <c r="B27" s="251">
        <v>3471</v>
      </c>
      <c r="C27" s="253">
        <v>1.8020000000000001E-2</v>
      </c>
      <c r="E27" s="340">
        <v>1</v>
      </c>
      <c r="F27" s="262">
        <v>0.13</v>
      </c>
      <c r="G27" s="263">
        <v>0.16</v>
      </c>
      <c r="H27" s="263">
        <v>0.2</v>
      </c>
      <c r="I27" s="264">
        <v>0.32</v>
      </c>
      <c r="K27" s="340">
        <v>1</v>
      </c>
      <c r="L27" s="262">
        <v>0.1</v>
      </c>
      <c r="M27" s="263">
        <v>0.12</v>
      </c>
      <c r="N27" s="263">
        <v>0.15</v>
      </c>
      <c r="O27" s="264">
        <v>0.24</v>
      </c>
    </row>
    <row r="28" spans="1:15" x14ac:dyDescent="0.3">
      <c r="A28" s="242" t="s">
        <v>195</v>
      </c>
      <c r="B28" s="252">
        <v>376</v>
      </c>
      <c r="C28" s="355">
        <v>3.16E-3</v>
      </c>
      <c r="E28" s="340">
        <v>2</v>
      </c>
      <c r="F28" s="262">
        <v>0.02</v>
      </c>
      <c r="G28" s="263">
        <v>0.03</v>
      </c>
      <c r="H28" s="263">
        <v>0.05</v>
      </c>
      <c r="I28" s="264">
        <v>0.1</v>
      </c>
      <c r="K28" s="340">
        <v>2</v>
      </c>
      <c r="L28" s="262">
        <v>0.02</v>
      </c>
      <c r="M28" s="263">
        <v>0.03</v>
      </c>
      <c r="N28" s="263">
        <v>0.05</v>
      </c>
      <c r="O28" s="264">
        <v>0.1</v>
      </c>
    </row>
    <row r="29" spans="1:15" ht="15" thickBot="1" x14ac:dyDescent="0.35">
      <c r="A29" s="254" t="s">
        <v>196</v>
      </c>
      <c r="B29" s="255">
        <v>0</v>
      </c>
      <c r="C29" s="356">
        <v>9.2399999999999999E-3</v>
      </c>
      <c r="E29" s="340">
        <v>3</v>
      </c>
      <c r="F29" s="262">
        <v>0.02</v>
      </c>
      <c r="G29" s="263">
        <v>0.03</v>
      </c>
      <c r="H29" s="263">
        <v>0.05</v>
      </c>
      <c r="I29" s="264">
        <v>0.05</v>
      </c>
      <c r="K29" s="340">
        <v>3</v>
      </c>
      <c r="L29" s="262">
        <v>0.02</v>
      </c>
      <c r="M29" s="263">
        <v>0.03</v>
      </c>
      <c r="N29" s="263">
        <v>0.05</v>
      </c>
      <c r="O29" s="264">
        <v>0.05</v>
      </c>
    </row>
    <row r="30" spans="1:15" x14ac:dyDescent="0.3">
      <c r="A30" s="446" t="s">
        <v>263</v>
      </c>
      <c r="B30" s="249" t="s">
        <v>264</v>
      </c>
      <c r="C30" s="357">
        <v>2.7720000000000002E-3</v>
      </c>
      <c r="E30" s="340">
        <v>4</v>
      </c>
      <c r="F30" s="262">
        <v>0</v>
      </c>
      <c r="G30" s="263">
        <v>0</v>
      </c>
      <c r="H30" s="263">
        <v>0.05</v>
      </c>
      <c r="I30" s="264">
        <v>0.05</v>
      </c>
      <c r="K30" s="340">
        <v>4</v>
      </c>
      <c r="L30" s="262">
        <v>0</v>
      </c>
      <c r="M30" s="263">
        <v>0</v>
      </c>
      <c r="N30" s="263">
        <v>0.05</v>
      </c>
      <c r="O30" s="264">
        <v>0.05</v>
      </c>
    </row>
    <row r="31" spans="1:15" x14ac:dyDescent="0.3">
      <c r="A31" s="446"/>
      <c r="B31" s="250" t="s">
        <v>265</v>
      </c>
      <c r="C31" s="192">
        <v>0.2</v>
      </c>
      <c r="E31" s="347">
        <v>5</v>
      </c>
      <c r="F31" s="265">
        <v>0</v>
      </c>
      <c r="G31" s="266">
        <v>0</v>
      </c>
      <c r="H31" s="266">
        <v>0</v>
      </c>
      <c r="I31" s="267">
        <v>0.05</v>
      </c>
      <c r="K31" s="347">
        <v>5</v>
      </c>
      <c r="L31" s="265">
        <v>0</v>
      </c>
      <c r="M31" s="266">
        <v>0</v>
      </c>
      <c r="N31" s="266">
        <v>0</v>
      </c>
      <c r="O31" s="267">
        <v>0.05</v>
      </c>
    </row>
    <row r="32" spans="1:15" ht="15" thickBot="1" x14ac:dyDescent="0.35">
      <c r="A32" s="447"/>
      <c r="B32" s="256" t="s">
        <v>266</v>
      </c>
      <c r="C32" s="196">
        <v>0.93</v>
      </c>
      <c r="E32" s="38">
        <v>6</v>
      </c>
      <c r="F32" s="341">
        <v>0</v>
      </c>
      <c r="G32" s="342">
        <v>0</v>
      </c>
      <c r="H32" s="342">
        <v>0</v>
      </c>
      <c r="I32" s="268">
        <v>0.05</v>
      </c>
      <c r="K32" s="38">
        <v>6</v>
      </c>
      <c r="L32" s="341">
        <v>0</v>
      </c>
      <c r="M32" s="342">
        <v>0</v>
      </c>
      <c r="N32" s="342">
        <v>0</v>
      </c>
      <c r="O32" s="268">
        <v>0.05</v>
      </c>
    </row>
    <row r="33" spans="1:15" ht="15" thickBot="1" x14ac:dyDescent="0.35">
      <c r="A33" s="259" t="s">
        <v>267</v>
      </c>
      <c r="B33" s="260">
        <v>0.02</v>
      </c>
      <c r="C33" s="261"/>
    </row>
    <row r="34" spans="1:15" ht="15" thickBot="1" x14ac:dyDescent="0.35">
      <c r="A34" s="38" t="s">
        <v>200</v>
      </c>
      <c r="B34" s="257">
        <v>1.1000000000000001</v>
      </c>
      <c r="C34" s="258"/>
    </row>
    <row r="36" spans="1:15" ht="15" thickBot="1" x14ac:dyDescent="0.35">
      <c r="A36" s="236" t="s">
        <v>204</v>
      </c>
      <c r="B36" s="343" t="s">
        <v>270</v>
      </c>
      <c r="E36" s="236" t="s">
        <v>205</v>
      </c>
      <c r="F36" s="269">
        <v>0</v>
      </c>
      <c r="G36" s="35" t="s">
        <v>269</v>
      </c>
      <c r="H36" s="269">
        <v>39</v>
      </c>
      <c r="K36" s="236" t="s">
        <v>206</v>
      </c>
      <c r="L36" s="269">
        <v>40</v>
      </c>
      <c r="M36" s="35" t="s">
        <v>269</v>
      </c>
      <c r="N36" s="269">
        <v>79</v>
      </c>
    </row>
    <row r="37" spans="1:15" ht="15" thickBot="1" x14ac:dyDescent="0.35">
      <c r="A37" s="376" t="s">
        <v>259</v>
      </c>
      <c r="B37" s="152" t="s">
        <v>192</v>
      </c>
      <c r="C37" s="47" t="s">
        <v>193</v>
      </c>
      <c r="E37" s="344" t="s">
        <v>260</v>
      </c>
      <c r="F37" s="152" t="s">
        <v>18</v>
      </c>
      <c r="G37" s="46" t="s">
        <v>19</v>
      </c>
      <c r="H37" s="46" t="s">
        <v>20</v>
      </c>
      <c r="I37" s="47" t="s">
        <v>21</v>
      </c>
      <c r="K37" s="344" t="s">
        <v>260</v>
      </c>
      <c r="L37" s="152" t="s">
        <v>18</v>
      </c>
      <c r="M37" s="46" t="s">
        <v>19</v>
      </c>
      <c r="N37" s="46" t="s">
        <v>20</v>
      </c>
      <c r="O37" s="47" t="s">
        <v>21</v>
      </c>
    </row>
    <row r="38" spans="1:15" ht="15" thickTop="1" x14ac:dyDescent="0.3">
      <c r="A38" s="377" t="s">
        <v>194</v>
      </c>
      <c r="B38" s="251">
        <v>426</v>
      </c>
      <c r="C38" s="253">
        <v>1.1810000000000001E-2</v>
      </c>
      <c r="E38" s="340">
        <v>1</v>
      </c>
      <c r="F38" s="262">
        <v>0.19500000000000001</v>
      </c>
      <c r="G38" s="263">
        <v>0.245</v>
      </c>
      <c r="H38" s="263">
        <v>0.3</v>
      </c>
      <c r="I38" s="264">
        <v>0.48</v>
      </c>
      <c r="K38" s="340">
        <v>1</v>
      </c>
      <c r="L38" s="262">
        <v>0.15</v>
      </c>
      <c r="M38" s="263">
        <v>0.185</v>
      </c>
      <c r="N38" s="263">
        <v>0.22500000000000001</v>
      </c>
      <c r="O38" s="264">
        <v>0.36</v>
      </c>
    </row>
    <row r="39" spans="1:15" x14ac:dyDescent="0.3">
      <c r="A39" s="242" t="s">
        <v>195</v>
      </c>
      <c r="B39" s="252">
        <v>376</v>
      </c>
      <c r="C39" s="355">
        <v>3.16E-3</v>
      </c>
      <c r="E39" s="340">
        <v>2</v>
      </c>
      <c r="F39" s="262">
        <v>0.02</v>
      </c>
      <c r="G39" s="263">
        <v>0.03</v>
      </c>
      <c r="H39" s="263">
        <v>0.05</v>
      </c>
      <c r="I39" s="264">
        <v>0.1</v>
      </c>
      <c r="K39" s="340">
        <v>2</v>
      </c>
      <c r="L39" s="262">
        <v>0.02</v>
      </c>
      <c r="M39" s="263">
        <v>0.03</v>
      </c>
      <c r="N39" s="263">
        <v>0.05</v>
      </c>
      <c r="O39" s="264">
        <v>0.1</v>
      </c>
    </row>
    <row r="40" spans="1:15" ht="15" thickBot="1" x14ac:dyDescent="0.35">
      <c r="A40" s="254" t="s">
        <v>196</v>
      </c>
      <c r="B40" s="255">
        <v>0</v>
      </c>
      <c r="C40" s="356">
        <v>9.2399999999999999E-3</v>
      </c>
      <c r="E40" s="340">
        <v>3</v>
      </c>
      <c r="F40" s="262">
        <v>0.02</v>
      </c>
      <c r="G40" s="263">
        <v>0.03</v>
      </c>
      <c r="H40" s="263">
        <v>0.05</v>
      </c>
      <c r="I40" s="264">
        <v>0.05</v>
      </c>
      <c r="K40" s="340">
        <v>3</v>
      </c>
      <c r="L40" s="262">
        <v>0.02</v>
      </c>
      <c r="M40" s="263">
        <v>0.03</v>
      </c>
      <c r="N40" s="263">
        <v>0.05</v>
      </c>
      <c r="O40" s="264">
        <v>0.05</v>
      </c>
    </row>
    <row r="41" spans="1:15" x14ac:dyDescent="0.3">
      <c r="A41" s="446" t="s">
        <v>263</v>
      </c>
      <c r="B41" s="249" t="s">
        <v>264</v>
      </c>
      <c r="C41" s="357">
        <v>2.7720000000000002E-3</v>
      </c>
      <c r="E41" s="340">
        <v>4</v>
      </c>
      <c r="F41" s="262">
        <v>0</v>
      </c>
      <c r="G41" s="263">
        <v>0</v>
      </c>
      <c r="H41" s="263">
        <v>0.05</v>
      </c>
      <c r="I41" s="264">
        <v>0.05</v>
      </c>
      <c r="K41" s="340">
        <v>4</v>
      </c>
      <c r="L41" s="262">
        <v>0</v>
      </c>
      <c r="M41" s="263">
        <v>0</v>
      </c>
      <c r="N41" s="263">
        <v>0.05</v>
      </c>
      <c r="O41" s="264">
        <v>0.05</v>
      </c>
    </row>
    <row r="42" spans="1:15" x14ac:dyDescent="0.3">
      <c r="A42" s="446"/>
      <c r="B42" s="250" t="s">
        <v>265</v>
      </c>
      <c r="C42" s="192">
        <v>0.2</v>
      </c>
      <c r="E42" s="347">
        <v>5</v>
      </c>
      <c r="F42" s="265">
        <v>0</v>
      </c>
      <c r="G42" s="266">
        <v>0</v>
      </c>
      <c r="H42" s="266">
        <v>0</v>
      </c>
      <c r="I42" s="267">
        <v>0</v>
      </c>
      <c r="K42" s="347">
        <v>5</v>
      </c>
      <c r="L42" s="265">
        <v>0</v>
      </c>
      <c r="M42" s="266">
        <v>0</v>
      </c>
      <c r="N42" s="266">
        <v>0</v>
      </c>
      <c r="O42" s="267">
        <v>0</v>
      </c>
    </row>
    <row r="43" spans="1:15" ht="15" thickBot="1" x14ac:dyDescent="0.35">
      <c r="A43" s="447"/>
      <c r="B43" s="256" t="s">
        <v>266</v>
      </c>
      <c r="C43" s="196">
        <v>0.93</v>
      </c>
      <c r="E43" s="38">
        <v>6</v>
      </c>
      <c r="F43" s="341">
        <v>0</v>
      </c>
      <c r="G43" s="342">
        <v>0</v>
      </c>
      <c r="H43" s="342">
        <v>0</v>
      </c>
      <c r="I43" s="268">
        <v>0</v>
      </c>
      <c r="K43" s="38">
        <v>6</v>
      </c>
      <c r="L43" s="341">
        <v>0</v>
      </c>
      <c r="M43" s="342">
        <v>0</v>
      </c>
      <c r="N43" s="342">
        <v>0</v>
      </c>
      <c r="O43" s="268">
        <v>0</v>
      </c>
    </row>
    <row r="44" spans="1:15" ht="15" thickBot="1" x14ac:dyDescent="0.35">
      <c r="A44" s="259" t="s">
        <v>267</v>
      </c>
      <c r="B44" s="260">
        <v>0.02</v>
      </c>
      <c r="C44" s="261"/>
    </row>
    <row r="45" spans="1:15" ht="15" thickBot="1" x14ac:dyDescent="0.35">
      <c r="A45" s="38" t="s">
        <v>200</v>
      </c>
      <c r="B45" s="257">
        <v>7.0000000000000007E-2</v>
      </c>
      <c r="C45" s="258"/>
    </row>
    <row r="47" spans="1:15" ht="15" thickBot="1" x14ac:dyDescent="0.35">
      <c r="A47" s="236" t="s">
        <v>207</v>
      </c>
      <c r="B47" s="343" t="s">
        <v>271</v>
      </c>
      <c r="E47" s="236" t="s">
        <v>208</v>
      </c>
      <c r="F47" s="269">
        <v>0</v>
      </c>
      <c r="G47" s="35" t="s">
        <v>269</v>
      </c>
      <c r="H47" s="269">
        <v>39</v>
      </c>
      <c r="K47" s="236" t="s">
        <v>209</v>
      </c>
      <c r="L47" s="269">
        <v>40</v>
      </c>
      <c r="M47" s="35" t="s">
        <v>269</v>
      </c>
      <c r="N47" s="269">
        <v>79</v>
      </c>
    </row>
    <row r="48" spans="1:15" ht="15" thickBot="1" x14ac:dyDescent="0.35">
      <c r="A48" s="376" t="s">
        <v>259</v>
      </c>
      <c r="B48" s="152" t="s">
        <v>192</v>
      </c>
      <c r="C48" s="47" t="s">
        <v>193</v>
      </c>
      <c r="E48" s="344" t="s">
        <v>260</v>
      </c>
      <c r="F48" s="152" t="s">
        <v>18</v>
      </c>
      <c r="G48" s="46" t="s">
        <v>19</v>
      </c>
      <c r="H48" s="46" t="s">
        <v>20</v>
      </c>
      <c r="I48" s="47" t="s">
        <v>21</v>
      </c>
      <c r="K48" s="344" t="s">
        <v>260</v>
      </c>
      <c r="L48" s="152" t="s">
        <v>18</v>
      </c>
      <c r="M48" s="46" t="s">
        <v>19</v>
      </c>
      <c r="N48" s="46" t="s">
        <v>20</v>
      </c>
      <c r="O48" s="47" t="s">
        <v>21</v>
      </c>
    </row>
    <row r="49" spans="1:15" ht="15" thickTop="1" x14ac:dyDescent="0.3">
      <c r="A49" s="377" t="s">
        <v>194</v>
      </c>
      <c r="B49" s="251">
        <v>3155</v>
      </c>
      <c r="C49" s="253">
        <v>1.66E-2</v>
      </c>
      <c r="E49" s="340">
        <v>1</v>
      </c>
      <c r="F49" s="262">
        <v>0.13</v>
      </c>
      <c r="G49" s="263">
        <v>0.16</v>
      </c>
      <c r="H49" s="263">
        <v>0.2</v>
      </c>
      <c r="I49" s="264">
        <v>0.32</v>
      </c>
      <c r="K49" s="340">
        <v>1</v>
      </c>
      <c r="L49" s="262">
        <v>0.1</v>
      </c>
      <c r="M49" s="263">
        <v>0.12</v>
      </c>
      <c r="N49" s="263">
        <v>0.15</v>
      </c>
      <c r="O49" s="264">
        <v>0.24</v>
      </c>
    </row>
    <row r="50" spans="1:15" x14ac:dyDescent="0.3">
      <c r="A50" s="242" t="s">
        <v>195</v>
      </c>
      <c r="B50" s="252">
        <v>342</v>
      </c>
      <c r="C50" s="355">
        <v>3.0999999999999999E-3</v>
      </c>
      <c r="E50" s="340">
        <v>2</v>
      </c>
      <c r="F50" s="262">
        <v>0.02</v>
      </c>
      <c r="G50" s="263">
        <v>0.03</v>
      </c>
      <c r="H50" s="263">
        <v>0.05</v>
      </c>
      <c r="I50" s="264">
        <v>0.1</v>
      </c>
      <c r="K50" s="340">
        <v>2</v>
      </c>
      <c r="L50" s="262">
        <v>0.02</v>
      </c>
      <c r="M50" s="263">
        <v>0.03</v>
      </c>
      <c r="N50" s="263">
        <v>0.05</v>
      </c>
      <c r="O50" s="264">
        <v>0.1</v>
      </c>
    </row>
    <row r="51" spans="1:15" ht="15" thickBot="1" x14ac:dyDescent="0.35">
      <c r="A51" s="254" t="s">
        <v>196</v>
      </c>
      <c r="B51" s="255">
        <v>0</v>
      </c>
      <c r="C51" s="356">
        <v>8.3999999999999995E-3</v>
      </c>
      <c r="E51" s="340">
        <v>3</v>
      </c>
      <c r="F51" s="262">
        <v>0.02</v>
      </c>
      <c r="G51" s="263">
        <v>0.03</v>
      </c>
      <c r="H51" s="263">
        <v>0.05</v>
      </c>
      <c r="I51" s="264">
        <v>0.05</v>
      </c>
      <c r="K51" s="340">
        <v>3</v>
      </c>
      <c r="L51" s="262">
        <v>0.02</v>
      </c>
      <c r="M51" s="263">
        <v>0.03</v>
      </c>
      <c r="N51" s="263">
        <v>0.05</v>
      </c>
      <c r="O51" s="264">
        <v>0.05</v>
      </c>
    </row>
    <row r="52" spans="1:15" x14ac:dyDescent="0.3">
      <c r="A52" s="446" t="s">
        <v>263</v>
      </c>
      <c r="B52" s="249" t="s">
        <v>264</v>
      </c>
      <c r="C52" s="357">
        <v>2.5200000000000001E-3</v>
      </c>
      <c r="E52" s="340">
        <v>4</v>
      </c>
      <c r="F52" s="262">
        <v>0</v>
      </c>
      <c r="G52" s="263">
        <v>0</v>
      </c>
      <c r="H52" s="263">
        <v>0.05</v>
      </c>
      <c r="I52" s="264">
        <v>0.05</v>
      </c>
      <c r="K52" s="340">
        <v>4</v>
      </c>
      <c r="L52" s="262">
        <v>0</v>
      </c>
      <c r="M52" s="263">
        <v>0</v>
      </c>
      <c r="N52" s="263">
        <v>0.05</v>
      </c>
      <c r="O52" s="264">
        <v>0.05</v>
      </c>
    </row>
    <row r="53" spans="1:15" x14ac:dyDescent="0.3">
      <c r="A53" s="446"/>
      <c r="B53" s="250" t="s">
        <v>265</v>
      </c>
      <c r="C53" s="192">
        <v>0.2</v>
      </c>
      <c r="E53" s="347">
        <v>5</v>
      </c>
      <c r="F53" s="265">
        <v>0</v>
      </c>
      <c r="G53" s="266">
        <v>0</v>
      </c>
      <c r="H53" s="266">
        <v>0</v>
      </c>
      <c r="I53" s="267">
        <v>0.05</v>
      </c>
      <c r="K53" s="347">
        <v>5</v>
      </c>
      <c r="L53" s="265">
        <v>0</v>
      </c>
      <c r="M53" s="266">
        <v>0</v>
      </c>
      <c r="N53" s="266">
        <v>0</v>
      </c>
      <c r="O53" s="267">
        <v>0.05</v>
      </c>
    </row>
    <row r="54" spans="1:15" ht="15" thickBot="1" x14ac:dyDescent="0.35">
      <c r="A54" s="447"/>
      <c r="B54" s="256" t="s">
        <v>266</v>
      </c>
      <c r="C54" s="196">
        <v>0.93</v>
      </c>
      <c r="E54" s="38">
        <v>6</v>
      </c>
      <c r="F54" s="341">
        <v>0</v>
      </c>
      <c r="G54" s="342">
        <v>0</v>
      </c>
      <c r="H54" s="342">
        <v>0</v>
      </c>
      <c r="I54" s="268">
        <v>0.05</v>
      </c>
      <c r="K54" s="38">
        <v>6</v>
      </c>
      <c r="L54" s="341">
        <v>0</v>
      </c>
      <c r="M54" s="342">
        <v>0</v>
      </c>
      <c r="N54" s="342">
        <v>0</v>
      </c>
      <c r="O54" s="268">
        <v>0.05</v>
      </c>
    </row>
    <row r="55" spans="1:15" ht="15" thickBot="1" x14ac:dyDescent="0.35">
      <c r="A55" s="259" t="s">
        <v>267</v>
      </c>
      <c r="B55" s="260">
        <v>0.02</v>
      </c>
      <c r="C55" s="261"/>
    </row>
    <row r="56" spans="1:15" ht="15" thickBot="1" x14ac:dyDescent="0.35">
      <c r="A56" s="38" t="s">
        <v>200</v>
      </c>
      <c r="B56" s="257">
        <v>0.89600000000000002</v>
      </c>
      <c r="C56" s="258"/>
    </row>
    <row r="58" spans="1:15" ht="15" thickBot="1" x14ac:dyDescent="0.35">
      <c r="A58" s="236" t="s">
        <v>210</v>
      </c>
      <c r="B58" s="343" t="s">
        <v>272</v>
      </c>
      <c r="E58" s="236" t="s">
        <v>211</v>
      </c>
      <c r="F58" s="269">
        <v>0</v>
      </c>
      <c r="G58" s="35" t="s">
        <v>269</v>
      </c>
      <c r="H58" s="269">
        <v>39</v>
      </c>
      <c r="K58" s="236" t="s">
        <v>212</v>
      </c>
      <c r="L58" s="269">
        <v>40</v>
      </c>
      <c r="M58" s="35" t="s">
        <v>269</v>
      </c>
      <c r="N58" s="269">
        <v>79</v>
      </c>
    </row>
    <row r="59" spans="1:15" ht="15" thickBot="1" x14ac:dyDescent="0.35">
      <c r="A59" s="376" t="s">
        <v>259</v>
      </c>
      <c r="B59" s="152" t="s">
        <v>192</v>
      </c>
      <c r="C59" s="47" t="s">
        <v>193</v>
      </c>
      <c r="E59" s="344" t="s">
        <v>260</v>
      </c>
      <c r="F59" s="152" t="s">
        <v>18</v>
      </c>
      <c r="G59" s="46" t="s">
        <v>19</v>
      </c>
      <c r="H59" s="46" t="s">
        <v>20</v>
      </c>
      <c r="I59" s="47" t="s">
        <v>21</v>
      </c>
      <c r="K59" s="344" t="s">
        <v>260</v>
      </c>
      <c r="L59" s="152" t="s">
        <v>18</v>
      </c>
      <c r="M59" s="46" t="s">
        <v>19</v>
      </c>
      <c r="N59" s="46" t="s">
        <v>20</v>
      </c>
      <c r="O59" s="47" t="s">
        <v>21</v>
      </c>
    </row>
    <row r="60" spans="1:15" ht="15" thickTop="1" x14ac:dyDescent="0.3">
      <c r="A60" s="377" t="s">
        <v>194</v>
      </c>
      <c r="B60" s="251">
        <v>355</v>
      </c>
      <c r="C60" s="253">
        <v>1.03E-2</v>
      </c>
      <c r="E60" s="340">
        <v>1</v>
      </c>
      <c r="F60" s="262">
        <v>0.19500000000000001</v>
      </c>
      <c r="G60" s="263">
        <v>0.245</v>
      </c>
      <c r="H60" s="263">
        <v>0.3</v>
      </c>
      <c r="I60" s="264">
        <v>0.48</v>
      </c>
      <c r="K60" s="340">
        <v>1</v>
      </c>
      <c r="L60" s="262">
        <v>0.15</v>
      </c>
      <c r="M60" s="263">
        <v>0.185</v>
      </c>
      <c r="N60" s="263">
        <v>0.22500000000000001</v>
      </c>
      <c r="O60" s="264">
        <v>0.36</v>
      </c>
    </row>
    <row r="61" spans="1:15" x14ac:dyDescent="0.3">
      <c r="A61" s="242" t="s">
        <v>195</v>
      </c>
      <c r="B61" s="252">
        <v>342</v>
      </c>
      <c r="C61" s="355">
        <v>3.0999999999999999E-3</v>
      </c>
      <c r="E61" s="340">
        <v>2</v>
      </c>
      <c r="F61" s="262">
        <v>0.02</v>
      </c>
      <c r="G61" s="263">
        <v>0.03</v>
      </c>
      <c r="H61" s="263">
        <v>0.05</v>
      </c>
      <c r="I61" s="264">
        <v>0.1</v>
      </c>
      <c r="K61" s="340">
        <v>2</v>
      </c>
      <c r="L61" s="262">
        <v>0.02</v>
      </c>
      <c r="M61" s="263">
        <v>0.03</v>
      </c>
      <c r="N61" s="263">
        <v>0.05</v>
      </c>
      <c r="O61" s="264">
        <v>0.1</v>
      </c>
    </row>
    <row r="62" spans="1:15" ht="15" thickBot="1" x14ac:dyDescent="0.35">
      <c r="A62" s="254" t="s">
        <v>196</v>
      </c>
      <c r="B62" s="255">
        <v>0</v>
      </c>
      <c r="C62" s="356">
        <v>8.3999999999999995E-3</v>
      </c>
      <c r="E62" s="340">
        <v>3</v>
      </c>
      <c r="F62" s="262">
        <v>0.02</v>
      </c>
      <c r="G62" s="263">
        <v>0.03</v>
      </c>
      <c r="H62" s="263">
        <v>0.05</v>
      </c>
      <c r="I62" s="264">
        <v>0.05</v>
      </c>
      <c r="K62" s="340">
        <v>3</v>
      </c>
      <c r="L62" s="262">
        <v>0.02</v>
      </c>
      <c r="M62" s="263">
        <v>0.03</v>
      </c>
      <c r="N62" s="263">
        <v>0.05</v>
      </c>
      <c r="O62" s="264">
        <v>0.05</v>
      </c>
    </row>
    <row r="63" spans="1:15" x14ac:dyDescent="0.3">
      <c r="A63" s="446" t="s">
        <v>263</v>
      </c>
      <c r="B63" s="249" t="s">
        <v>264</v>
      </c>
      <c r="C63" s="357">
        <v>2.5200000000000001E-3</v>
      </c>
      <c r="E63" s="340">
        <v>4</v>
      </c>
      <c r="F63" s="262">
        <v>0</v>
      </c>
      <c r="G63" s="263">
        <v>0</v>
      </c>
      <c r="H63" s="263">
        <v>0.05</v>
      </c>
      <c r="I63" s="264">
        <v>0.05</v>
      </c>
      <c r="K63" s="340">
        <v>4</v>
      </c>
      <c r="L63" s="262">
        <v>0</v>
      </c>
      <c r="M63" s="263">
        <v>0</v>
      </c>
      <c r="N63" s="263">
        <v>0.05</v>
      </c>
      <c r="O63" s="264">
        <v>0.05</v>
      </c>
    </row>
    <row r="64" spans="1:15" x14ac:dyDescent="0.3">
      <c r="A64" s="446"/>
      <c r="B64" s="250" t="s">
        <v>265</v>
      </c>
      <c r="C64" s="192">
        <v>0.2</v>
      </c>
      <c r="E64" s="347">
        <v>5</v>
      </c>
      <c r="F64" s="265">
        <v>0</v>
      </c>
      <c r="G64" s="266">
        <v>0</v>
      </c>
      <c r="H64" s="266">
        <v>0</v>
      </c>
      <c r="I64" s="267">
        <v>0</v>
      </c>
      <c r="K64" s="347">
        <v>5</v>
      </c>
      <c r="L64" s="265">
        <v>0</v>
      </c>
      <c r="M64" s="266">
        <v>0</v>
      </c>
      <c r="N64" s="266">
        <v>0</v>
      </c>
      <c r="O64" s="267">
        <v>0</v>
      </c>
    </row>
    <row r="65" spans="1:32" ht="15" thickBot="1" x14ac:dyDescent="0.35">
      <c r="A65" s="447"/>
      <c r="B65" s="256" t="s">
        <v>266</v>
      </c>
      <c r="C65" s="196">
        <v>0.93</v>
      </c>
      <c r="E65" s="38">
        <v>6</v>
      </c>
      <c r="F65" s="341">
        <v>0</v>
      </c>
      <c r="G65" s="342">
        <v>0</v>
      </c>
      <c r="H65" s="342">
        <v>0</v>
      </c>
      <c r="I65" s="268">
        <v>0</v>
      </c>
      <c r="K65" s="38">
        <v>6</v>
      </c>
      <c r="L65" s="341">
        <v>0</v>
      </c>
      <c r="M65" s="342">
        <v>0</v>
      </c>
      <c r="N65" s="342">
        <v>0</v>
      </c>
      <c r="O65" s="268">
        <v>0</v>
      </c>
    </row>
    <row r="66" spans="1:32" ht="15" thickBot="1" x14ac:dyDescent="0.35">
      <c r="A66" s="259" t="s">
        <v>267</v>
      </c>
      <c r="B66" s="260">
        <v>0.02</v>
      </c>
      <c r="C66" s="261"/>
    </row>
    <row r="67" spans="1:32" ht="15" thickBot="1" x14ac:dyDescent="0.35">
      <c r="A67" s="38" t="s">
        <v>200</v>
      </c>
      <c r="B67" s="257">
        <v>7.0000000000000007E-2</v>
      </c>
      <c r="C67" s="258"/>
    </row>
    <row r="69" spans="1:32" ht="15" thickBot="1" x14ac:dyDescent="0.35">
      <c r="A69" s="236" t="s">
        <v>213</v>
      </c>
      <c r="B69" s="236" t="s">
        <v>273</v>
      </c>
      <c r="L69" s="236" t="s">
        <v>214</v>
      </c>
      <c r="M69" s="236" t="s">
        <v>274</v>
      </c>
      <c r="N69" s="35">
        <f>Code!$H$4</f>
        <v>1</v>
      </c>
      <c r="V69" s="236" t="s">
        <v>215</v>
      </c>
      <c r="W69" s="236" t="s">
        <v>275</v>
      </c>
    </row>
    <row r="70" spans="1:32" x14ac:dyDescent="0.3">
      <c r="A70" s="79" t="s">
        <v>168</v>
      </c>
      <c r="B70" s="465" t="s">
        <v>18</v>
      </c>
      <c r="C70" s="458"/>
      <c r="D70" s="458" t="s">
        <v>19</v>
      </c>
      <c r="E70" s="458"/>
      <c r="F70" s="458" t="s">
        <v>20</v>
      </c>
      <c r="G70" s="458"/>
      <c r="H70" s="458" t="s">
        <v>21</v>
      </c>
      <c r="I70" s="472"/>
      <c r="J70" s="470" t="s">
        <v>276</v>
      </c>
      <c r="L70" s="79" t="s">
        <v>168</v>
      </c>
      <c r="M70" s="465" t="s">
        <v>18</v>
      </c>
      <c r="N70" s="458"/>
      <c r="O70" s="458" t="s">
        <v>19</v>
      </c>
      <c r="P70" s="458"/>
      <c r="Q70" s="458" t="s">
        <v>20</v>
      </c>
      <c r="R70" s="458"/>
      <c r="S70" s="458" t="s">
        <v>21</v>
      </c>
      <c r="T70" s="459"/>
      <c r="V70" s="79" t="s">
        <v>168</v>
      </c>
      <c r="W70" s="465" t="s">
        <v>18</v>
      </c>
      <c r="X70" s="458"/>
      <c r="Y70" s="458" t="s">
        <v>19</v>
      </c>
      <c r="Z70" s="458"/>
      <c r="AA70" s="458" t="s">
        <v>20</v>
      </c>
      <c r="AB70" s="458"/>
      <c r="AC70" s="458" t="s">
        <v>21</v>
      </c>
      <c r="AD70" s="459"/>
    </row>
    <row r="71" spans="1:32" ht="15" thickBot="1" x14ac:dyDescent="0.35">
      <c r="A71" s="273" t="s">
        <v>277</v>
      </c>
      <c r="B71" s="78" t="s">
        <v>278</v>
      </c>
      <c r="C71" s="76" t="s">
        <v>279</v>
      </c>
      <c r="D71" s="76" t="s">
        <v>278</v>
      </c>
      <c r="E71" s="76" t="s">
        <v>279</v>
      </c>
      <c r="F71" s="76" t="s">
        <v>278</v>
      </c>
      <c r="G71" s="76" t="s">
        <v>279</v>
      </c>
      <c r="H71" s="76" t="s">
        <v>278</v>
      </c>
      <c r="I71" s="275" t="s">
        <v>279</v>
      </c>
      <c r="J71" s="471"/>
      <c r="L71" s="273" t="s">
        <v>277</v>
      </c>
      <c r="M71" s="78" t="s">
        <v>278</v>
      </c>
      <c r="N71" s="76" t="s">
        <v>279</v>
      </c>
      <c r="O71" s="76" t="s">
        <v>278</v>
      </c>
      <c r="P71" s="76" t="s">
        <v>279</v>
      </c>
      <c r="Q71" s="76" t="s">
        <v>278</v>
      </c>
      <c r="R71" s="76" t="s">
        <v>279</v>
      </c>
      <c r="S71" s="76" t="s">
        <v>278</v>
      </c>
      <c r="T71" s="77" t="s">
        <v>279</v>
      </c>
      <c r="V71" s="273" t="s">
        <v>277</v>
      </c>
      <c r="W71" s="78" t="s">
        <v>278</v>
      </c>
      <c r="X71" s="76" t="s">
        <v>279</v>
      </c>
      <c r="Y71" s="76" t="s">
        <v>278</v>
      </c>
      <c r="Z71" s="76" t="s">
        <v>279</v>
      </c>
      <c r="AA71" s="76" t="s">
        <v>278</v>
      </c>
      <c r="AB71" s="76" t="s">
        <v>279</v>
      </c>
      <c r="AC71" s="76" t="s">
        <v>278</v>
      </c>
      <c r="AD71" s="77" t="s">
        <v>279</v>
      </c>
    </row>
    <row r="72" spans="1:32" ht="15" thickTop="1" x14ac:dyDescent="0.3">
      <c r="A72" s="347">
        <v>0</v>
      </c>
      <c r="B72" s="265">
        <v>9.8172011620060642E-3</v>
      </c>
      <c r="C72" s="266">
        <v>8.2814321880368379E-3</v>
      </c>
      <c r="D72" s="266">
        <v>6.1972442320461906E-3</v>
      </c>
      <c r="E72" s="266">
        <v>5.0318027436969098E-3</v>
      </c>
      <c r="F72" s="266">
        <v>3.9120962724351321E-3</v>
      </c>
      <c r="G72" s="266">
        <v>3.0573261093716424E-3</v>
      </c>
      <c r="H72" s="266">
        <v>3.1770678684625718E-3</v>
      </c>
      <c r="I72" s="276">
        <v>2.4930624886897765E-3</v>
      </c>
      <c r="J72" s="345">
        <f t="shared" ref="J72:J81" si="7">SUM(B72:I72)</f>
        <v>4.1967233064745126E-2</v>
      </c>
      <c r="L72" s="347">
        <v>0</v>
      </c>
      <c r="M72" s="156">
        <v>79000</v>
      </c>
      <c r="N72" s="157">
        <v>79000</v>
      </c>
      <c r="O72" s="157">
        <v>68000</v>
      </c>
      <c r="P72" s="157">
        <v>68000</v>
      </c>
      <c r="Q72" s="157">
        <v>57000</v>
      </c>
      <c r="R72" s="157">
        <v>57000</v>
      </c>
      <c r="S72" s="157">
        <v>28000</v>
      </c>
      <c r="T72" s="158">
        <v>28000</v>
      </c>
      <c r="V72" s="347">
        <v>0</v>
      </c>
      <c r="W72" s="290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9">
        <v>0</v>
      </c>
    </row>
    <row r="73" spans="1:32" x14ac:dyDescent="0.3">
      <c r="A73" s="242">
        <v>5</v>
      </c>
      <c r="B73" s="277">
        <v>2.9414924008323119E-2</v>
      </c>
      <c r="C73" s="61">
        <v>2.2863283937503937E-2</v>
      </c>
      <c r="D73" s="61">
        <v>1.4869259570061914E-2</v>
      </c>
      <c r="E73" s="61">
        <v>1.1680384702125172E-2</v>
      </c>
      <c r="F73" s="61">
        <v>7.516418539762937E-3</v>
      </c>
      <c r="G73" s="61">
        <v>5.967269932113454E-3</v>
      </c>
      <c r="H73" s="61">
        <v>2.7109886509883102E-3</v>
      </c>
      <c r="I73" s="278">
        <v>1.8845541494544418E-3</v>
      </c>
      <c r="J73" s="346">
        <f t="shared" si="7"/>
        <v>9.6907083490333293E-2</v>
      </c>
      <c r="L73" s="242">
        <v>5</v>
      </c>
      <c r="M73" s="284">
        <v>79000</v>
      </c>
      <c r="N73" s="285">
        <v>79000</v>
      </c>
      <c r="O73" s="285">
        <v>68000</v>
      </c>
      <c r="P73" s="285">
        <v>68000</v>
      </c>
      <c r="Q73" s="285">
        <v>57000</v>
      </c>
      <c r="R73" s="285">
        <v>57000</v>
      </c>
      <c r="S73" s="285">
        <v>28000</v>
      </c>
      <c r="T73" s="286">
        <v>28000</v>
      </c>
      <c r="V73" s="242">
        <v>5</v>
      </c>
      <c r="W73" s="291">
        <v>10</v>
      </c>
      <c r="X73" s="50">
        <v>10</v>
      </c>
      <c r="Y73" s="50">
        <v>10</v>
      </c>
      <c r="Z73" s="50">
        <v>10</v>
      </c>
      <c r="AA73" s="50">
        <v>10</v>
      </c>
      <c r="AB73" s="50">
        <v>10</v>
      </c>
      <c r="AC73" s="50">
        <v>10</v>
      </c>
      <c r="AD73" s="51">
        <v>10</v>
      </c>
      <c r="AF73" s="102"/>
    </row>
    <row r="74" spans="1:32" x14ac:dyDescent="0.3">
      <c r="A74" s="242">
        <v>15</v>
      </c>
      <c r="B74" s="277">
        <v>5.4952427368441664E-2</v>
      </c>
      <c r="C74" s="61">
        <v>4.7401493619984483E-2</v>
      </c>
      <c r="D74" s="61">
        <v>2.971299246756123E-2</v>
      </c>
      <c r="E74" s="61">
        <v>2.7072296935737202E-2</v>
      </c>
      <c r="F74" s="61">
        <v>1.6065931272844274E-2</v>
      </c>
      <c r="G74" s="61">
        <v>1.5461733489928072E-2</v>
      </c>
      <c r="H74" s="61">
        <v>5.1072014820637366E-3</v>
      </c>
      <c r="I74" s="278">
        <v>4.4980972235597527E-3</v>
      </c>
      <c r="J74" s="346">
        <f t="shared" si="7"/>
        <v>0.20027217386012042</v>
      </c>
      <c r="L74" s="242">
        <v>15</v>
      </c>
      <c r="M74" s="284">
        <v>79000</v>
      </c>
      <c r="N74" s="285">
        <v>79000</v>
      </c>
      <c r="O74" s="285">
        <v>68000</v>
      </c>
      <c r="P74" s="285">
        <v>68000</v>
      </c>
      <c r="Q74" s="285">
        <v>57000</v>
      </c>
      <c r="R74" s="285">
        <v>57000</v>
      </c>
      <c r="S74" s="285">
        <v>28000</v>
      </c>
      <c r="T74" s="286">
        <v>28000</v>
      </c>
      <c r="V74" s="242">
        <v>15</v>
      </c>
      <c r="W74" s="291">
        <v>20</v>
      </c>
      <c r="X74" s="50">
        <v>20</v>
      </c>
      <c r="Y74" s="50">
        <v>20</v>
      </c>
      <c r="Z74" s="50">
        <v>20</v>
      </c>
      <c r="AA74" s="50">
        <v>20</v>
      </c>
      <c r="AB74" s="50">
        <v>20</v>
      </c>
      <c r="AC74" s="50">
        <v>20</v>
      </c>
      <c r="AD74" s="51">
        <v>20</v>
      </c>
    </row>
    <row r="75" spans="1:32" x14ac:dyDescent="0.3">
      <c r="A75" s="242">
        <v>25</v>
      </c>
      <c r="B75" s="277">
        <v>6.3437993768270862E-2</v>
      </c>
      <c r="C75" s="61">
        <v>6.9067219741002162E-2</v>
      </c>
      <c r="D75" s="61">
        <v>3.4147223194497964E-2</v>
      </c>
      <c r="E75" s="61">
        <v>3.6350276354945803E-2</v>
      </c>
      <c r="F75" s="61">
        <v>1.8380670362215371E-2</v>
      </c>
      <c r="G75" s="61">
        <v>1.9131254972125492E-2</v>
      </c>
      <c r="H75" s="61">
        <v>5.2110568978350775E-3</v>
      </c>
      <c r="I75" s="278">
        <v>4.9170597007644028E-3</v>
      </c>
      <c r="J75" s="346">
        <f t="shared" si="7"/>
        <v>0.25064275499165711</v>
      </c>
      <c r="L75" s="242">
        <v>25</v>
      </c>
      <c r="M75" s="284">
        <v>79000</v>
      </c>
      <c r="N75" s="285">
        <v>79000</v>
      </c>
      <c r="O75" s="285">
        <v>68000</v>
      </c>
      <c r="P75" s="285">
        <v>68000</v>
      </c>
      <c r="Q75" s="285">
        <v>57000</v>
      </c>
      <c r="R75" s="285">
        <v>57000</v>
      </c>
      <c r="S75" s="285">
        <v>28000</v>
      </c>
      <c r="T75" s="286">
        <v>28000</v>
      </c>
      <c r="V75" s="242">
        <v>25</v>
      </c>
      <c r="W75" s="291">
        <v>30</v>
      </c>
      <c r="X75" s="50">
        <v>30</v>
      </c>
      <c r="Y75" s="50">
        <v>30</v>
      </c>
      <c r="Z75" s="50">
        <v>30</v>
      </c>
      <c r="AA75" s="50">
        <v>30</v>
      </c>
      <c r="AB75" s="50">
        <v>30</v>
      </c>
      <c r="AC75" s="50">
        <v>30</v>
      </c>
      <c r="AD75" s="51">
        <v>30</v>
      </c>
    </row>
    <row r="76" spans="1:32" x14ac:dyDescent="0.3">
      <c r="A76" s="242">
        <v>35</v>
      </c>
      <c r="B76" s="277">
        <v>3.008794810075759E-2</v>
      </c>
      <c r="C76" s="61">
        <v>6.0960675819983136E-2</v>
      </c>
      <c r="D76" s="61">
        <v>1.5211003451854901E-2</v>
      </c>
      <c r="E76" s="61">
        <v>2.8785445015601159E-2</v>
      </c>
      <c r="F76" s="61">
        <v>7.6899436690571754E-3</v>
      </c>
      <c r="G76" s="61">
        <v>1.3592399257400932E-2</v>
      </c>
      <c r="H76" s="61">
        <v>2.449514323733545E-3</v>
      </c>
      <c r="I76" s="278">
        <v>2.7863421535335867E-3</v>
      </c>
      <c r="J76" s="346">
        <f t="shared" si="7"/>
        <v>0.16156327179192206</v>
      </c>
      <c r="L76" s="242">
        <v>35</v>
      </c>
      <c r="M76" s="284">
        <v>79000</v>
      </c>
      <c r="N76" s="285">
        <v>79000</v>
      </c>
      <c r="O76" s="285">
        <v>68000</v>
      </c>
      <c r="P76" s="285">
        <v>68000</v>
      </c>
      <c r="Q76" s="285">
        <v>57000</v>
      </c>
      <c r="R76" s="285">
        <v>57000</v>
      </c>
      <c r="S76" s="285">
        <v>28000</v>
      </c>
      <c r="T76" s="286">
        <v>28000</v>
      </c>
      <c r="V76" s="242">
        <v>35</v>
      </c>
      <c r="W76" s="291">
        <v>40</v>
      </c>
      <c r="X76" s="50">
        <v>40</v>
      </c>
      <c r="Y76" s="50">
        <v>40</v>
      </c>
      <c r="Z76" s="50">
        <v>40</v>
      </c>
      <c r="AA76" s="50">
        <v>40</v>
      </c>
      <c r="AB76" s="50">
        <v>40</v>
      </c>
      <c r="AC76" s="50">
        <v>40</v>
      </c>
      <c r="AD76" s="51">
        <v>40</v>
      </c>
    </row>
    <row r="77" spans="1:32" x14ac:dyDescent="0.3">
      <c r="A77" s="242">
        <v>45</v>
      </c>
      <c r="B77" s="277">
        <v>2.4047780112169556E-2</v>
      </c>
      <c r="C77" s="61">
        <v>6.3545942856032503E-2</v>
      </c>
      <c r="D77" s="61">
        <v>1.2302265096705281E-2</v>
      </c>
      <c r="E77" s="61">
        <v>3.1184690342603027E-2</v>
      </c>
      <c r="F77" s="61">
        <v>6.2935425142640663E-3</v>
      </c>
      <c r="G77" s="61">
        <v>1.5303650682581995E-2</v>
      </c>
      <c r="H77" s="61">
        <v>1.8547337372430291E-3</v>
      </c>
      <c r="I77" s="278">
        <v>2.712033323650108E-3</v>
      </c>
      <c r="J77" s="346">
        <f t="shared" si="7"/>
        <v>0.15724463866524957</v>
      </c>
      <c r="L77" s="242">
        <v>45</v>
      </c>
      <c r="M77" s="284">
        <v>79000</v>
      </c>
      <c r="N77" s="285">
        <v>79000</v>
      </c>
      <c r="O77" s="285">
        <v>68000</v>
      </c>
      <c r="P77" s="285">
        <v>68000</v>
      </c>
      <c r="Q77" s="285">
        <v>57000</v>
      </c>
      <c r="R77" s="285">
        <v>57000</v>
      </c>
      <c r="S77" s="285">
        <v>28000</v>
      </c>
      <c r="T77" s="286">
        <v>28000</v>
      </c>
      <c r="V77" s="242">
        <v>45</v>
      </c>
      <c r="W77" s="291">
        <v>50</v>
      </c>
      <c r="X77" s="50">
        <v>50</v>
      </c>
      <c r="Y77" s="50">
        <v>50</v>
      </c>
      <c r="Z77" s="50">
        <v>50</v>
      </c>
      <c r="AA77" s="50">
        <v>50</v>
      </c>
      <c r="AB77" s="50">
        <v>50</v>
      </c>
      <c r="AC77" s="50">
        <v>50</v>
      </c>
      <c r="AD77" s="51">
        <v>50</v>
      </c>
    </row>
    <row r="78" spans="1:32" x14ac:dyDescent="0.3">
      <c r="A78" s="242">
        <v>55</v>
      </c>
      <c r="B78" s="277">
        <v>1.2216015500889289E-2</v>
      </c>
      <c r="C78" s="61">
        <v>3.6024404369300531E-2</v>
      </c>
      <c r="D78" s="61">
        <v>7.1371045971689142E-3</v>
      </c>
      <c r="E78" s="61">
        <v>1.7637111869140257E-2</v>
      </c>
      <c r="F78" s="61">
        <v>4.1697934999527066E-3</v>
      </c>
      <c r="G78" s="61">
        <v>8.6349162610903692E-3</v>
      </c>
      <c r="H78" s="61">
        <v>1.1223487983375176E-4</v>
      </c>
      <c r="I78" s="278">
        <v>1.8744468665278711E-4</v>
      </c>
      <c r="J78" s="346">
        <f t="shared" si="7"/>
        <v>8.6119025664028598E-2</v>
      </c>
      <c r="L78" s="242">
        <v>55</v>
      </c>
      <c r="M78" s="284">
        <v>79000</v>
      </c>
      <c r="N78" s="285">
        <v>79000</v>
      </c>
      <c r="O78" s="285">
        <v>68000</v>
      </c>
      <c r="P78" s="285">
        <v>68000</v>
      </c>
      <c r="Q78" s="285">
        <v>57000</v>
      </c>
      <c r="R78" s="285">
        <v>57000</v>
      </c>
      <c r="S78" s="285">
        <v>28000</v>
      </c>
      <c r="T78" s="286">
        <v>28000</v>
      </c>
      <c r="V78" s="242">
        <v>55</v>
      </c>
      <c r="W78" s="291">
        <v>60</v>
      </c>
      <c r="X78" s="50">
        <v>60</v>
      </c>
      <c r="Y78" s="50">
        <v>60</v>
      </c>
      <c r="Z78" s="50">
        <v>60</v>
      </c>
      <c r="AA78" s="50">
        <v>60</v>
      </c>
      <c r="AB78" s="50">
        <v>60</v>
      </c>
      <c r="AC78" s="50">
        <v>60</v>
      </c>
      <c r="AD78" s="51">
        <v>60</v>
      </c>
    </row>
    <row r="79" spans="1:32" x14ac:dyDescent="0.3">
      <c r="A79" s="242">
        <v>65</v>
      </c>
      <c r="B79" s="277">
        <v>1.3003343313053651E-3</v>
      </c>
      <c r="C79" s="61">
        <v>2.9367354255840812E-3</v>
      </c>
      <c r="D79" s="61">
        <v>2.0906874366167035E-4</v>
      </c>
      <c r="E79" s="61">
        <v>6.57057440454311E-4</v>
      </c>
      <c r="F79" s="61">
        <v>3.3614231758681935E-5</v>
      </c>
      <c r="G79" s="61">
        <v>1.4700829917986419E-4</v>
      </c>
      <c r="H79" s="61">
        <v>0</v>
      </c>
      <c r="I79" s="278">
        <v>0</v>
      </c>
      <c r="J79" s="346">
        <f t="shared" si="7"/>
        <v>5.2838184719439744E-3</v>
      </c>
      <c r="L79" s="242">
        <v>65</v>
      </c>
      <c r="M79" s="284">
        <v>79000</v>
      </c>
      <c r="N79" s="285">
        <v>79000</v>
      </c>
      <c r="O79" s="285">
        <v>68000</v>
      </c>
      <c r="P79" s="285">
        <v>68000</v>
      </c>
      <c r="Q79" s="285">
        <v>57000</v>
      </c>
      <c r="R79" s="285">
        <v>57000</v>
      </c>
      <c r="S79" s="285">
        <v>28000</v>
      </c>
      <c r="T79" s="286">
        <v>28000</v>
      </c>
      <c r="V79" s="242">
        <v>65</v>
      </c>
      <c r="W79" s="291">
        <v>70</v>
      </c>
      <c r="X79" s="50">
        <v>70</v>
      </c>
      <c r="Y79" s="50">
        <v>70</v>
      </c>
      <c r="Z79" s="50">
        <v>70</v>
      </c>
      <c r="AA79" s="50">
        <v>70</v>
      </c>
      <c r="AB79" s="50">
        <v>70</v>
      </c>
      <c r="AC79" s="50">
        <v>65</v>
      </c>
      <c r="AD79" s="51">
        <v>65</v>
      </c>
    </row>
    <row r="80" spans="1:32" ht="15" thickBot="1" x14ac:dyDescent="0.35">
      <c r="A80" s="274">
        <v>75</v>
      </c>
      <c r="B80" s="279">
        <v>0</v>
      </c>
      <c r="C80" s="280">
        <v>0</v>
      </c>
      <c r="D80" s="280">
        <v>0</v>
      </c>
      <c r="E80" s="280">
        <v>0</v>
      </c>
      <c r="F80" s="280">
        <v>0</v>
      </c>
      <c r="G80" s="280">
        <v>0</v>
      </c>
      <c r="H80" s="280">
        <v>0</v>
      </c>
      <c r="I80" s="281">
        <v>0</v>
      </c>
      <c r="J80" s="282">
        <f t="shared" si="7"/>
        <v>0</v>
      </c>
      <c r="L80" s="243">
        <v>75</v>
      </c>
      <c r="M80" s="287">
        <v>79000</v>
      </c>
      <c r="N80" s="288">
        <v>79000</v>
      </c>
      <c r="O80" s="288">
        <v>68000</v>
      </c>
      <c r="P80" s="288">
        <v>68000</v>
      </c>
      <c r="Q80" s="288">
        <v>57000</v>
      </c>
      <c r="R80" s="288">
        <v>57000</v>
      </c>
      <c r="S80" s="288">
        <v>28000</v>
      </c>
      <c r="T80" s="289">
        <v>28000</v>
      </c>
      <c r="V80" s="243">
        <v>75</v>
      </c>
      <c r="W80" s="292">
        <v>79</v>
      </c>
      <c r="X80" s="53">
        <v>79</v>
      </c>
      <c r="Y80" s="53">
        <v>77</v>
      </c>
      <c r="Z80" s="53">
        <v>77</v>
      </c>
      <c r="AA80" s="53">
        <v>75</v>
      </c>
      <c r="AB80" s="53">
        <v>75</v>
      </c>
      <c r="AC80" s="53">
        <v>-1</v>
      </c>
      <c r="AD80" s="54">
        <v>-1</v>
      </c>
    </row>
    <row r="81" spans="1:65" ht="15" thickBot="1" x14ac:dyDescent="0.35">
      <c r="A81" s="38" t="s">
        <v>276</v>
      </c>
      <c r="B81" s="448">
        <f>SUM(B72:C80)</f>
        <v>0.53635581230959117</v>
      </c>
      <c r="C81" s="449"/>
      <c r="D81" s="449">
        <f>SUM(D72:E80)</f>
        <v>0.27818522675786189</v>
      </c>
      <c r="E81" s="449"/>
      <c r="F81" s="449">
        <f>SUM(F72:G80)</f>
        <v>0.14535756936608213</v>
      </c>
      <c r="G81" s="449"/>
      <c r="H81" s="449">
        <f>SUM(H72:I80)</f>
        <v>4.0101391566464868E-2</v>
      </c>
      <c r="I81" s="450"/>
      <c r="J81" s="283">
        <f t="shared" si="7"/>
        <v>1</v>
      </c>
    </row>
    <row r="83" spans="1:65" ht="15" thickBot="1" x14ac:dyDescent="0.35">
      <c r="A83" s="236" t="s">
        <v>216</v>
      </c>
      <c r="B83" s="236" t="s">
        <v>280</v>
      </c>
    </row>
    <row r="84" spans="1:65" x14ac:dyDescent="0.3">
      <c r="A84" s="79" t="s">
        <v>281</v>
      </c>
      <c r="B84" s="337">
        <v>1</v>
      </c>
      <c r="C84" s="338">
        <v>2</v>
      </c>
      <c r="D84" s="338">
        <v>3</v>
      </c>
      <c r="E84" s="338">
        <v>4</v>
      </c>
      <c r="F84" s="338">
        <v>5</v>
      </c>
      <c r="G84" s="339">
        <v>6</v>
      </c>
    </row>
    <row r="85" spans="1:65" ht="15" thickBot="1" x14ac:dyDescent="0.35">
      <c r="A85" s="38">
        <f>Code!$I$4</f>
        <v>2</v>
      </c>
      <c r="B85" s="341">
        <v>0.1</v>
      </c>
      <c r="C85" s="342">
        <v>0.08</v>
      </c>
      <c r="D85" s="342">
        <v>0.04</v>
      </c>
      <c r="E85" s="342">
        <v>0.03</v>
      </c>
      <c r="F85" s="342">
        <v>0.02</v>
      </c>
      <c r="G85" s="268">
        <v>1.4999999999999999E-2</v>
      </c>
    </row>
    <row r="86" spans="1:65" s="293" customFormat="1" ht="15" thickBot="1" x14ac:dyDescent="0.35"/>
    <row r="88" spans="1:65" ht="15" x14ac:dyDescent="0.3">
      <c r="A88" s="451" t="s">
        <v>282</v>
      </c>
      <c r="B88" s="451"/>
    </row>
    <row r="89" spans="1:65" ht="15" thickBot="1" x14ac:dyDescent="0.35">
      <c r="A89" s="236" t="s">
        <v>190</v>
      </c>
      <c r="B89" s="236" t="s">
        <v>283</v>
      </c>
      <c r="L89" s="236" t="s">
        <v>217</v>
      </c>
      <c r="M89" s="236" t="s">
        <v>284</v>
      </c>
      <c r="W89" s="236" t="s">
        <v>218</v>
      </c>
      <c r="X89" s="236" t="s">
        <v>285</v>
      </c>
      <c r="AH89" s="236" t="s">
        <v>219</v>
      </c>
      <c r="AI89" s="236" t="s">
        <v>286</v>
      </c>
      <c r="AS89" s="236" t="s">
        <v>220</v>
      </c>
      <c r="AT89" s="236" t="s">
        <v>287</v>
      </c>
      <c r="BD89" s="236" t="s">
        <v>221</v>
      </c>
      <c r="BE89" s="236" t="s">
        <v>288</v>
      </c>
    </row>
    <row r="90" spans="1:65" ht="16.2" x14ac:dyDescent="0.3">
      <c r="A90" s="79" t="s">
        <v>168</v>
      </c>
      <c r="B90" s="460" t="s">
        <v>18</v>
      </c>
      <c r="C90" s="461"/>
      <c r="D90" s="464" t="s">
        <v>19</v>
      </c>
      <c r="E90" s="465"/>
      <c r="F90" s="464" t="s">
        <v>20</v>
      </c>
      <c r="G90" s="465"/>
      <c r="H90" s="464" t="s">
        <v>21</v>
      </c>
      <c r="I90" s="468"/>
      <c r="J90" s="473" t="s">
        <v>276</v>
      </c>
      <c r="L90" s="79" t="s">
        <v>168</v>
      </c>
      <c r="M90" s="460" t="s">
        <v>18</v>
      </c>
      <c r="N90" s="461"/>
      <c r="O90" s="464" t="s">
        <v>19</v>
      </c>
      <c r="P90" s="465"/>
      <c r="Q90" s="464" t="s">
        <v>20</v>
      </c>
      <c r="R90" s="465"/>
      <c r="S90" s="464" t="s">
        <v>21</v>
      </c>
      <c r="T90" s="468"/>
      <c r="U90" s="473" t="s">
        <v>276</v>
      </c>
      <c r="W90" s="79" t="s">
        <v>168</v>
      </c>
      <c r="X90" s="460" t="s">
        <v>18</v>
      </c>
      <c r="Y90" s="461"/>
      <c r="Z90" s="464" t="s">
        <v>19</v>
      </c>
      <c r="AA90" s="465"/>
      <c r="AB90" s="464" t="s">
        <v>20</v>
      </c>
      <c r="AC90" s="465"/>
      <c r="AD90" s="464" t="s">
        <v>21</v>
      </c>
      <c r="AE90" s="468"/>
      <c r="AF90" s="473" t="s">
        <v>276</v>
      </c>
      <c r="AH90" s="79" t="s">
        <v>168</v>
      </c>
      <c r="AI90" s="460" t="s">
        <v>18</v>
      </c>
      <c r="AJ90" s="461"/>
      <c r="AK90" s="464" t="s">
        <v>19</v>
      </c>
      <c r="AL90" s="465"/>
      <c r="AM90" s="464" t="s">
        <v>20</v>
      </c>
      <c r="AN90" s="465"/>
      <c r="AO90" s="464" t="s">
        <v>21</v>
      </c>
      <c r="AP90" s="468"/>
      <c r="AQ90" s="473" t="s">
        <v>276</v>
      </c>
      <c r="AS90" s="79" t="s">
        <v>168</v>
      </c>
      <c r="AT90" s="460" t="s">
        <v>18</v>
      </c>
      <c r="AU90" s="461"/>
      <c r="AV90" s="464" t="s">
        <v>19</v>
      </c>
      <c r="AW90" s="465"/>
      <c r="AX90" s="464" t="s">
        <v>20</v>
      </c>
      <c r="AY90" s="465"/>
      <c r="AZ90" s="464" t="s">
        <v>21</v>
      </c>
      <c r="BA90" s="468"/>
      <c r="BB90" s="473" t="s">
        <v>276</v>
      </c>
      <c r="BD90" s="79" t="s">
        <v>168</v>
      </c>
      <c r="BE90" s="460" t="s">
        <v>18</v>
      </c>
      <c r="BF90" s="461"/>
      <c r="BG90" s="464" t="s">
        <v>19</v>
      </c>
      <c r="BH90" s="465"/>
      <c r="BI90" s="464" t="s">
        <v>20</v>
      </c>
      <c r="BJ90" s="465"/>
      <c r="BK90" s="464" t="s">
        <v>21</v>
      </c>
      <c r="BL90" s="468"/>
      <c r="BM90" s="473" t="s">
        <v>276</v>
      </c>
    </row>
    <row r="91" spans="1:65" ht="15" thickBot="1" x14ac:dyDescent="0.35">
      <c r="A91" s="80" t="s">
        <v>289</v>
      </c>
      <c r="B91" s="78" t="s">
        <v>278</v>
      </c>
      <c r="C91" s="76" t="s">
        <v>279</v>
      </c>
      <c r="D91" s="76" t="s">
        <v>278</v>
      </c>
      <c r="E91" s="76" t="s">
        <v>279</v>
      </c>
      <c r="F91" s="76" t="s">
        <v>278</v>
      </c>
      <c r="G91" s="76" t="s">
        <v>279</v>
      </c>
      <c r="H91" s="76" t="s">
        <v>278</v>
      </c>
      <c r="I91" s="275" t="s">
        <v>279</v>
      </c>
      <c r="J91" s="474"/>
      <c r="L91" s="80" t="s">
        <v>289</v>
      </c>
      <c r="M91" s="78" t="s">
        <v>278</v>
      </c>
      <c r="N91" s="76" t="s">
        <v>279</v>
      </c>
      <c r="O91" s="76" t="s">
        <v>278</v>
      </c>
      <c r="P91" s="76" t="s">
        <v>279</v>
      </c>
      <c r="Q91" s="76" t="s">
        <v>278</v>
      </c>
      <c r="R91" s="76" t="s">
        <v>279</v>
      </c>
      <c r="S91" s="76" t="s">
        <v>278</v>
      </c>
      <c r="T91" s="275" t="s">
        <v>279</v>
      </c>
      <c r="U91" s="474"/>
      <c r="W91" s="80" t="s">
        <v>289</v>
      </c>
      <c r="X91" s="78" t="s">
        <v>278</v>
      </c>
      <c r="Y91" s="76" t="s">
        <v>279</v>
      </c>
      <c r="Z91" s="76" t="s">
        <v>278</v>
      </c>
      <c r="AA91" s="76" t="s">
        <v>279</v>
      </c>
      <c r="AB91" s="76" t="s">
        <v>278</v>
      </c>
      <c r="AC91" s="76" t="s">
        <v>279</v>
      </c>
      <c r="AD91" s="76" t="s">
        <v>278</v>
      </c>
      <c r="AE91" s="275" t="s">
        <v>279</v>
      </c>
      <c r="AF91" s="474"/>
      <c r="AH91" s="80" t="s">
        <v>289</v>
      </c>
      <c r="AI91" s="78" t="s">
        <v>278</v>
      </c>
      <c r="AJ91" s="76" t="s">
        <v>279</v>
      </c>
      <c r="AK91" s="76" t="s">
        <v>278</v>
      </c>
      <c r="AL91" s="76" t="s">
        <v>279</v>
      </c>
      <c r="AM91" s="76" t="s">
        <v>278</v>
      </c>
      <c r="AN91" s="76" t="s">
        <v>279</v>
      </c>
      <c r="AO91" s="76" t="s">
        <v>278</v>
      </c>
      <c r="AP91" s="275" t="s">
        <v>279</v>
      </c>
      <c r="AQ91" s="474"/>
      <c r="AS91" s="80" t="s">
        <v>289</v>
      </c>
      <c r="AT91" s="78" t="s">
        <v>278</v>
      </c>
      <c r="AU91" s="76" t="s">
        <v>279</v>
      </c>
      <c r="AV91" s="76" t="s">
        <v>278</v>
      </c>
      <c r="AW91" s="76" t="s">
        <v>279</v>
      </c>
      <c r="AX91" s="76" t="s">
        <v>278</v>
      </c>
      <c r="AY91" s="76" t="s">
        <v>279</v>
      </c>
      <c r="AZ91" s="76" t="s">
        <v>278</v>
      </c>
      <c r="BA91" s="275" t="s">
        <v>279</v>
      </c>
      <c r="BB91" s="474"/>
      <c r="BD91" s="80" t="s">
        <v>289</v>
      </c>
      <c r="BE91" s="78" t="s">
        <v>278</v>
      </c>
      <c r="BF91" s="76" t="s">
        <v>279</v>
      </c>
      <c r="BG91" s="76" t="s">
        <v>278</v>
      </c>
      <c r="BH91" s="76" t="s">
        <v>279</v>
      </c>
      <c r="BI91" s="76" t="s">
        <v>278</v>
      </c>
      <c r="BJ91" s="76" t="s">
        <v>279</v>
      </c>
      <c r="BK91" s="76" t="s">
        <v>278</v>
      </c>
      <c r="BL91" s="275" t="s">
        <v>279</v>
      </c>
      <c r="BM91" s="474"/>
    </row>
    <row r="92" spans="1:65" ht="15" thickTop="1" x14ac:dyDescent="0.3">
      <c r="A92" s="410" t="s">
        <v>407</v>
      </c>
      <c r="B92" s="265">
        <v>1.0646573325213156</v>
      </c>
      <c r="C92" s="266">
        <v>1.0663475441803778</v>
      </c>
      <c r="D92" s="266">
        <v>1.0488618427615173</v>
      </c>
      <c r="E92" s="266">
        <v>1.0527677011997549</v>
      </c>
      <c r="F92" s="266">
        <v>1.0532183414923084</v>
      </c>
      <c r="G92" s="266">
        <v>1.0602557865364493</v>
      </c>
      <c r="H92" s="266">
        <v>0.8596667040068936</v>
      </c>
      <c r="I92" s="276">
        <v>0.89145935902435569</v>
      </c>
      <c r="J92" s="345">
        <f>IF(SUMPRODUCT($B$72:$I$72)=0,0,SUMPRODUCT(B92:I92,$B$72:$I$72)/SUMPRODUCT($B$72:$I$72))</f>
        <v>1.034038508598641</v>
      </c>
      <c r="L92" s="410" t="s">
        <v>407</v>
      </c>
      <c r="M92" s="265">
        <v>0.63580998781973208</v>
      </c>
      <c r="N92" s="266">
        <v>0.63558805606337598</v>
      </c>
      <c r="O92" s="266">
        <v>0.5320033250207814</v>
      </c>
      <c r="P92" s="266">
        <v>0.53244592346089847</v>
      </c>
      <c r="Q92" s="266">
        <v>0.43251859723698194</v>
      </c>
      <c r="R92" s="266">
        <v>0.43297872340425531</v>
      </c>
      <c r="S92" s="266">
        <v>0</v>
      </c>
      <c r="T92" s="276">
        <v>0</v>
      </c>
      <c r="U92" s="345">
        <f>IF(SUMPRODUCT($B$72:$I$72)=0,0,SUMPRODUCT(M92:T92,$B$72:$I$72)/SUMPRODUCT($B$72:$I$72))</f>
        <v>0.48841396928081088</v>
      </c>
      <c r="W92" s="410" t="s">
        <v>407</v>
      </c>
      <c r="X92" s="265">
        <v>9.3788063337393424E-2</v>
      </c>
      <c r="Y92" s="266">
        <v>9.5673369896404625E-2</v>
      </c>
      <c r="Z92" s="266">
        <v>0.11221945137157108</v>
      </c>
      <c r="AA92" s="266">
        <v>0.11564059900166389</v>
      </c>
      <c r="AB92" s="266">
        <v>0.12221041445270989</v>
      </c>
      <c r="AC92" s="266">
        <v>0.12872340425531914</v>
      </c>
      <c r="AD92" s="266">
        <v>4.5023696682464455E-2</v>
      </c>
      <c r="AE92" s="276">
        <v>7.8384798099762468E-2</v>
      </c>
      <c r="AF92" s="345">
        <f>IF(SUMPRODUCT($B$72:$I$72)=0,0,SUMPRODUCT(X92:AE92,$B$72:$I$72)/SUMPRODUCT($B$72:$I$72))</f>
        <v>0.10008977016417892</v>
      </c>
      <c r="AH92" s="410" t="s">
        <v>407</v>
      </c>
      <c r="AI92" s="265">
        <v>4.4039281364190011E-2</v>
      </c>
      <c r="AJ92" s="266">
        <v>4.4066118220597195E-2</v>
      </c>
      <c r="AK92" s="266">
        <v>5.0619066369164807E-2</v>
      </c>
      <c r="AL92" s="266">
        <v>5.0661178737192399E-2</v>
      </c>
      <c r="AM92" s="266">
        <v>6.0469329802616677E-2</v>
      </c>
      <c r="AN92" s="266">
        <v>6.0533658876874785E-2</v>
      </c>
      <c r="AO92" s="266">
        <v>0.12462300732442913</v>
      </c>
      <c r="AP92" s="276">
        <v>0.12305456092459319</v>
      </c>
      <c r="AQ92" s="345">
        <f>IF(SUMPRODUCT($B$72:$I$72)=0,0,SUMPRODUCT(AI92:AP92,$B$72:$I$72)/SUMPRODUCT($B$72:$I$72))</f>
        <v>5.9337728152664734E-2</v>
      </c>
      <c r="AS92" s="410" t="s">
        <v>407</v>
      </c>
      <c r="AT92" s="265">
        <v>1.8020000000000001E-2</v>
      </c>
      <c r="AU92" s="266">
        <v>1.8020000000000001E-2</v>
      </c>
      <c r="AV92" s="266">
        <v>1.8020000000000001E-2</v>
      </c>
      <c r="AW92" s="266">
        <v>1.8020000000000001E-2</v>
      </c>
      <c r="AX92" s="266">
        <v>1.8020000000000001E-2</v>
      </c>
      <c r="AY92" s="266">
        <v>1.8020000000000001E-2</v>
      </c>
      <c r="AZ92" s="266">
        <v>1.8020000000000001E-2</v>
      </c>
      <c r="BA92" s="276">
        <v>1.8020000000000001E-2</v>
      </c>
      <c r="BB92" s="345">
        <f>IF(SUMPRODUCT($B$72:$I$72)=0,0,SUMPRODUCT(AT92:BA92,$B$72:$I$72)/SUMPRODUCT($B$72:$I$72))</f>
        <v>1.8020000000000001E-2</v>
      </c>
      <c r="BD92" s="410" t="s">
        <v>407</v>
      </c>
      <c r="BE92" s="265">
        <v>0.27300000000000002</v>
      </c>
      <c r="BF92" s="266">
        <v>0.27300000000000002</v>
      </c>
      <c r="BG92" s="266">
        <v>0.33600000000000002</v>
      </c>
      <c r="BH92" s="266">
        <v>0.33600000000000002</v>
      </c>
      <c r="BI92" s="266">
        <v>0.42000000000000004</v>
      </c>
      <c r="BJ92" s="266">
        <v>0.42000000000000004</v>
      </c>
      <c r="BK92" s="266">
        <v>0.67200000000000004</v>
      </c>
      <c r="BL92" s="276">
        <v>0.67200000000000004</v>
      </c>
      <c r="BM92" s="345">
        <f>IF(SUMPRODUCT($B$72:$I$72)=0,0,SUMPRODUCT(BE92:BL92,$B$72:$I$72)/SUMPRODUCT($B$72:$I$72))</f>
        <v>0.36817704100098647</v>
      </c>
    </row>
    <row r="93" spans="1:65" x14ac:dyDescent="0.3">
      <c r="A93" s="242" t="s">
        <v>408</v>
      </c>
      <c r="B93" s="277">
        <v>1.0628302923264312</v>
      </c>
      <c r="C93" s="61">
        <v>1.0651287751371117</v>
      </c>
      <c r="D93" s="61">
        <v>1.0471993323708273</v>
      </c>
      <c r="E93" s="61">
        <v>1.0519357544443473</v>
      </c>
      <c r="F93" s="61">
        <v>1.052155642236198</v>
      </c>
      <c r="G93" s="61">
        <v>1.0591919567492152</v>
      </c>
      <c r="H93" s="61">
        <v>0.8596667040068936</v>
      </c>
      <c r="I93" s="278">
        <v>0.88908406211224167</v>
      </c>
      <c r="J93" s="346">
        <f>IF(SUMPRODUCT($B$73:$I$73)=0,0,SUMPRODUCT(B93:I93,$B$73:$I$73)/SUMPRODUCT($B$73:$I$73))</f>
        <v>1.0495466734958923</v>
      </c>
      <c r="L93" s="242" t="s">
        <v>408</v>
      </c>
      <c r="M93" s="277">
        <v>0.63093788063337397</v>
      </c>
      <c r="N93" s="61">
        <v>0.63254113345521024</v>
      </c>
      <c r="O93" s="61">
        <v>0.52784704904405655</v>
      </c>
      <c r="P93" s="61">
        <v>0.52995008319467551</v>
      </c>
      <c r="Q93" s="61">
        <v>0.42933049946865037</v>
      </c>
      <c r="R93" s="61">
        <v>0.43085106382978722</v>
      </c>
      <c r="S93" s="61">
        <v>0</v>
      </c>
      <c r="T93" s="278">
        <v>0</v>
      </c>
      <c r="U93" s="346">
        <f>IF(SUMPRODUCT($B$73:$I$73)=0,0,SUMPRODUCT(M93:T93,$B$73:$I$73)/SUMPRODUCT($B$73:$I$73))</f>
        <v>0.54544728207489213</v>
      </c>
      <c r="W93" s="242" t="s">
        <v>408</v>
      </c>
      <c r="X93" s="277">
        <v>9.6833130328867228E-2</v>
      </c>
      <c r="Y93" s="61">
        <v>9.7501523461304085E-2</v>
      </c>
      <c r="Z93" s="61">
        <v>0.11471321695760599</v>
      </c>
      <c r="AA93" s="61">
        <v>0.11730449251247921</v>
      </c>
      <c r="AB93" s="61">
        <v>0.12433581296493093</v>
      </c>
      <c r="AC93" s="61">
        <v>0.12978723404255318</v>
      </c>
      <c r="AD93" s="61">
        <v>4.5023696682464455E-2</v>
      </c>
      <c r="AE93" s="278">
        <v>7.6009501187648459E-2</v>
      </c>
      <c r="AF93" s="346">
        <f>IF(SUMPRODUCT($B$73:$I$73)=0,0,SUMPRODUCT(X93:AE93,$B$73:$I$73)/SUMPRODUCT($B$73:$I$73))</f>
        <v>0.10450984840383706</v>
      </c>
      <c r="AH93" s="242" t="s">
        <v>408</v>
      </c>
      <c r="AI93" s="277">
        <v>4.4039281364190011E-2</v>
      </c>
      <c r="AJ93" s="61">
        <v>4.4066118220597195E-2</v>
      </c>
      <c r="AK93" s="61">
        <v>5.0619066369164807E-2</v>
      </c>
      <c r="AL93" s="61">
        <v>5.0661178737192399E-2</v>
      </c>
      <c r="AM93" s="61">
        <v>6.0469329802616677E-2</v>
      </c>
      <c r="AN93" s="61">
        <v>6.0533658876874785E-2</v>
      </c>
      <c r="AO93" s="61">
        <v>0.12462300732442913</v>
      </c>
      <c r="AP93" s="278">
        <v>0.12305456092459319</v>
      </c>
      <c r="AQ93" s="346">
        <f>IF(SUMPRODUCT($B$73:$I$73)=0,0,SUMPRODUCT(AI93:AP93,$B$73:$I$73)/SUMPRODUCT($B$73:$I$73))</f>
        <v>5.1934350065166487E-2</v>
      </c>
      <c r="AS93" s="242" t="s">
        <v>408</v>
      </c>
      <c r="AT93" s="277">
        <v>1.8020000000000001E-2</v>
      </c>
      <c r="AU93" s="61">
        <v>1.8020000000000001E-2</v>
      </c>
      <c r="AV93" s="61">
        <v>1.8020000000000001E-2</v>
      </c>
      <c r="AW93" s="61">
        <v>1.8020000000000001E-2</v>
      </c>
      <c r="AX93" s="61">
        <v>1.8020000000000001E-2</v>
      </c>
      <c r="AY93" s="61">
        <v>1.8020000000000001E-2</v>
      </c>
      <c r="AZ93" s="61">
        <v>1.8020000000000001E-2</v>
      </c>
      <c r="BA93" s="278">
        <v>1.8020000000000001E-2</v>
      </c>
      <c r="BB93" s="346">
        <f>IF(SUMPRODUCT($B$73:$I$73)=0,0,SUMPRODUCT(AT93:BA93,$B$73:$I$73)/SUMPRODUCT($B$73:$I$73))</f>
        <v>1.8020000000000001E-2</v>
      </c>
      <c r="BD93" s="242" t="s">
        <v>408</v>
      </c>
      <c r="BE93" s="277">
        <v>0.27300000000000002</v>
      </c>
      <c r="BF93" s="61">
        <v>0.27300000000000002</v>
      </c>
      <c r="BG93" s="61">
        <v>0.33600000000000002</v>
      </c>
      <c r="BH93" s="61">
        <v>0.33600000000000002</v>
      </c>
      <c r="BI93" s="61">
        <v>0.42000000000000004</v>
      </c>
      <c r="BJ93" s="61">
        <v>0.42000000000000004</v>
      </c>
      <c r="BK93" s="61">
        <v>0.67200000000000004</v>
      </c>
      <c r="BL93" s="278">
        <v>0.67200000000000004</v>
      </c>
      <c r="BM93" s="346">
        <f>IF(SUMPRODUCT($B$73:$I$73)=0,0,SUMPRODUCT(BE93:BL93,$B$73:$I$73)/SUMPRODUCT($B$73:$I$73))</f>
        <v>0.32963519295199661</v>
      </c>
    </row>
    <row r="94" spans="1:65" x14ac:dyDescent="0.3">
      <c r="A94" s="242" t="s">
        <v>409</v>
      </c>
      <c r="B94" s="277">
        <v>1.0640483191230208</v>
      </c>
      <c r="C94" s="61">
        <v>1.0657381596587447</v>
      </c>
      <c r="D94" s="61">
        <v>1.0488618427615173</v>
      </c>
      <c r="E94" s="61">
        <v>1.0519357544443473</v>
      </c>
      <c r="F94" s="61">
        <v>1.0542810407484191</v>
      </c>
      <c r="G94" s="61">
        <v>1.0591919567492152</v>
      </c>
      <c r="H94" s="61">
        <v>0.86440604049978464</v>
      </c>
      <c r="I94" s="278">
        <v>0.89145935902435569</v>
      </c>
      <c r="J94" s="346">
        <f>IF(SUMPRODUCT($B$74:$I$74)=0,0,SUMPRODUCT(B94:I94,$B$74:$I$74)/SUMPRODUCT($B$74:$I$74))</f>
        <v>1.0504318837751343</v>
      </c>
      <c r="L94" s="242" t="s">
        <v>409</v>
      </c>
      <c r="M94" s="277">
        <v>0.63093788063337397</v>
      </c>
      <c r="N94" s="61">
        <v>0.63254113345521024</v>
      </c>
      <c r="O94" s="61">
        <v>0.52784704904405655</v>
      </c>
      <c r="P94" s="61">
        <v>0.52995008319467551</v>
      </c>
      <c r="Q94" s="61">
        <v>0.42933049946865037</v>
      </c>
      <c r="R94" s="61">
        <v>0.43085106382978722</v>
      </c>
      <c r="S94" s="61">
        <v>0</v>
      </c>
      <c r="T94" s="278">
        <v>0</v>
      </c>
      <c r="U94" s="346">
        <f>IF(SUMPRODUCT($B$74:$I$74)=0,0,SUMPRODUCT(M94:T94,$B$74:$I$74)/SUMPRODUCT($B$74:$I$74))</f>
        <v>0.54049017644950115</v>
      </c>
      <c r="W94" s="242" t="s">
        <v>409</v>
      </c>
      <c r="X94" s="277">
        <v>9.8051157125456756E-2</v>
      </c>
      <c r="Y94" s="61">
        <v>9.8110907982937229E-2</v>
      </c>
      <c r="Z94" s="61">
        <v>0.11637572734829593</v>
      </c>
      <c r="AA94" s="61">
        <v>0.11730449251247921</v>
      </c>
      <c r="AB94" s="61">
        <v>0.12646121147715197</v>
      </c>
      <c r="AC94" s="61">
        <v>0.12978723404255318</v>
      </c>
      <c r="AD94" s="61">
        <v>4.9763033175355451E-2</v>
      </c>
      <c r="AE94" s="278">
        <v>7.8384798099762468E-2</v>
      </c>
      <c r="AF94" s="346">
        <f>IF(SUMPRODUCT($B$74:$I$74)=0,0,SUMPRODUCT(X94:AE94,$B$74:$I$74)/SUMPRODUCT($B$74:$I$74))</f>
        <v>0.10644269973442573</v>
      </c>
      <c r="AH94" s="242" t="s">
        <v>409</v>
      </c>
      <c r="AI94" s="277">
        <v>4.4039281364190011E-2</v>
      </c>
      <c r="AJ94" s="61">
        <v>4.4066118220597195E-2</v>
      </c>
      <c r="AK94" s="61">
        <v>5.0619066369164807E-2</v>
      </c>
      <c r="AL94" s="61">
        <v>5.0661178737192399E-2</v>
      </c>
      <c r="AM94" s="61">
        <v>6.0469329802616677E-2</v>
      </c>
      <c r="AN94" s="61">
        <v>6.0533658876874785E-2</v>
      </c>
      <c r="AO94" s="61">
        <v>0.12462300732442913</v>
      </c>
      <c r="AP94" s="278">
        <v>0.12305456092459319</v>
      </c>
      <c r="AQ94" s="346">
        <f>IF(SUMPRODUCT($B$74:$I$74)=0,0,SUMPRODUCT(AI94:AP94,$B$74:$I$74)/SUMPRODUCT($B$74:$I$74))</f>
        <v>5.233808085172114E-2</v>
      </c>
      <c r="AS94" s="242" t="s">
        <v>409</v>
      </c>
      <c r="AT94" s="277">
        <v>1.8020000000000001E-2</v>
      </c>
      <c r="AU94" s="61">
        <v>1.8020000000000001E-2</v>
      </c>
      <c r="AV94" s="61">
        <v>1.8020000000000001E-2</v>
      </c>
      <c r="AW94" s="61">
        <v>1.8020000000000001E-2</v>
      </c>
      <c r="AX94" s="61">
        <v>1.8020000000000001E-2</v>
      </c>
      <c r="AY94" s="61">
        <v>1.8020000000000001E-2</v>
      </c>
      <c r="AZ94" s="61">
        <v>1.8020000000000001E-2</v>
      </c>
      <c r="BA94" s="278">
        <v>1.8020000000000001E-2</v>
      </c>
      <c r="BB94" s="346">
        <f>IF(SUMPRODUCT($B$74:$I$74)=0,0,SUMPRODUCT(AT94:BA94,$B$74:$I$74)/SUMPRODUCT($B$74:$I$74))</f>
        <v>1.8020000000000001E-2</v>
      </c>
      <c r="BD94" s="242" t="s">
        <v>409</v>
      </c>
      <c r="BE94" s="277">
        <v>0.27300000000000002</v>
      </c>
      <c r="BF94" s="61">
        <v>0.27300000000000002</v>
      </c>
      <c r="BG94" s="61">
        <v>0.33600000000000002</v>
      </c>
      <c r="BH94" s="61">
        <v>0.33600000000000002</v>
      </c>
      <c r="BI94" s="61">
        <v>0.42000000000000004</v>
      </c>
      <c r="BJ94" s="61">
        <v>0.42000000000000004</v>
      </c>
      <c r="BK94" s="61">
        <v>0.67200000000000004</v>
      </c>
      <c r="BL94" s="278">
        <v>0.67200000000000004</v>
      </c>
      <c r="BM94" s="346">
        <f>IF(SUMPRODUCT($B$74:$I$74)=0,0,SUMPRODUCT(BE94:BL94,$B$74:$I$74)/SUMPRODUCT($B$74:$I$74))</f>
        <v>0.33314092673948598</v>
      </c>
    </row>
    <row r="95" spans="1:65" x14ac:dyDescent="0.3">
      <c r="A95" s="242" t="s">
        <v>410</v>
      </c>
      <c r="B95" s="277">
        <v>1.0646573325213153</v>
      </c>
      <c r="C95" s="61">
        <v>1.0622212789281367</v>
      </c>
      <c r="D95" s="61">
        <v>1.0488618427615173</v>
      </c>
      <c r="E95" s="61">
        <v>1.0463680771754824</v>
      </c>
      <c r="F95" s="61">
        <v>1.0451342668198114</v>
      </c>
      <c r="G95" s="61">
        <v>1.0510929429800875</v>
      </c>
      <c r="H95" s="61">
        <v>0.86914537699267558</v>
      </c>
      <c r="I95" s="278">
        <v>0.89383465593646971</v>
      </c>
      <c r="J95" s="346">
        <f>IF(SUMPRODUCT($B$75:$I$75)=0,0,SUMPRODUCT(B95:I95,$B$75:$I$75)/SUMPRODUCT($B$75:$I$75))</f>
        <v>1.0492985678012141</v>
      </c>
      <c r="L95" s="242" t="s">
        <v>410</v>
      </c>
      <c r="M95" s="277">
        <v>0.62911084043848964</v>
      </c>
      <c r="N95" s="61">
        <v>0.63093788063337397</v>
      </c>
      <c r="O95" s="61">
        <v>0.52535328345802157</v>
      </c>
      <c r="P95" s="61">
        <v>0.52784704904405655</v>
      </c>
      <c r="Q95" s="61">
        <v>0.42569002123142252</v>
      </c>
      <c r="R95" s="61">
        <v>0.42933049946865037</v>
      </c>
      <c r="S95" s="61">
        <v>0</v>
      </c>
      <c r="T95" s="278">
        <v>0</v>
      </c>
      <c r="U95" s="346">
        <f>IF(SUMPRODUCT($B$75:$I$75)=0,0,SUMPRODUCT(M95:T95,$B$75:$I$75)/SUMPRODUCT($B$75:$I$75))</f>
        <v>0.5452042528256843</v>
      </c>
      <c r="W95" s="242" t="s">
        <v>410</v>
      </c>
      <c r="X95" s="277">
        <v>0.10048721071863581</v>
      </c>
      <c r="Y95" s="61">
        <v>9.6224116930572479E-2</v>
      </c>
      <c r="Z95" s="61">
        <v>0.11886949293433084</v>
      </c>
      <c r="AA95" s="61">
        <v>0.11388196176226101</v>
      </c>
      <c r="AB95" s="61">
        <v>0.12101910828025478</v>
      </c>
      <c r="AC95" s="61">
        <v>0.12327311370882041</v>
      </c>
      <c r="AD95" s="61">
        <v>5.4502369668246446E-2</v>
      </c>
      <c r="AE95" s="278">
        <v>8.076009501187649E-2</v>
      </c>
      <c r="AF95" s="346">
        <f>IF(SUMPRODUCT($B$75:$I$75)=0,0,SUMPRODUCT(X95:AE95,$B$75:$I$75)/SUMPRODUCT($B$75:$I$75))</f>
        <v>0.10566131077372133</v>
      </c>
      <c r="AH95" s="242" t="s">
        <v>410</v>
      </c>
      <c r="AI95" s="277">
        <v>4.4039281364190011E-2</v>
      </c>
      <c r="AJ95" s="61">
        <v>4.4039281364190011E-2</v>
      </c>
      <c r="AK95" s="61">
        <v>5.0619066369164807E-2</v>
      </c>
      <c r="AL95" s="61">
        <v>5.0619066369164807E-2</v>
      </c>
      <c r="AM95" s="61">
        <v>6.0405137308134071E-2</v>
      </c>
      <c r="AN95" s="61">
        <v>6.0469329802616677E-2</v>
      </c>
      <c r="AO95" s="61">
        <v>0.12462300732442913</v>
      </c>
      <c r="AP95" s="278">
        <v>0.12305456092459319</v>
      </c>
      <c r="AQ95" s="346">
        <f>IF(SUMPRODUCT($B$75:$I$75)=0,0,SUMPRODUCT(AI95:AP95,$B$75:$I$75)/SUMPRODUCT($B$75:$I$75))</f>
        <v>5.1569722320111408E-2</v>
      </c>
      <c r="AS95" s="242" t="s">
        <v>410</v>
      </c>
      <c r="AT95" s="277">
        <v>1.8020000000000001E-2</v>
      </c>
      <c r="AU95" s="61">
        <v>1.8020000000000001E-2</v>
      </c>
      <c r="AV95" s="61">
        <v>1.8020000000000001E-2</v>
      </c>
      <c r="AW95" s="61">
        <v>1.8020000000000001E-2</v>
      </c>
      <c r="AX95" s="61">
        <v>1.8020000000000001E-2</v>
      </c>
      <c r="AY95" s="61">
        <v>1.8020000000000001E-2</v>
      </c>
      <c r="AZ95" s="61">
        <v>1.8020000000000001E-2</v>
      </c>
      <c r="BA95" s="278">
        <v>1.8020000000000001E-2</v>
      </c>
      <c r="BB95" s="346">
        <f>IF(SUMPRODUCT($B$75:$I$75)=0,0,SUMPRODUCT(AT95:BA95,$B$75:$I$75)/SUMPRODUCT($B$75:$I$75))</f>
        <v>1.8020000000000005E-2</v>
      </c>
      <c r="BD95" s="242" t="s">
        <v>410</v>
      </c>
      <c r="BE95" s="277">
        <v>0.27300000000000002</v>
      </c>
      <c r="BF95" s="61">
        <v>0.27300000000000002</v>
      </c>
      <c r="BG95" s="61">
        <v>0.33600000000000002</v>
      </c>
      <c r="BH95" s="61">
        <v>0.33600000000000002</v>
      </c>
      <c r="BI95" s="61">
        <v>0.42000000000000004</v>
      </c>
      <c r="BJ95" s="61">
        <v>0.42000000000000004</v>
      </c>
      <c r="BK95" s="61">
        <v>0.67200000000000004</v>
      </c>
      <c r="BL95" s="278">
        <v>0.67200000000000004</v>
      </c>
      <c r="BM95" s="346">
        <f>IF(SUMPRODUCT($B$75:$I$75)=0,0,SUMPRODUCT(BE95:BL95,$B$75:$I$75)/SUMPRODUCT($B$75:$I$75))</f>
        <v>0.32884328188169715</v>
      </c>
    </row>
    <row r="96" spans="1:65" x14ac:dyDescent="0.3">
      <c r="A96" s="242" t="s">
        <v>411</v>
      </c>
      <c r="B96" s="277">
        <v>0.9900567557715676</v>
      </c>
      <c r="C96" s="61">
        <v>0.98991209726443774</v>
      </c>
      <c r="D96" s="61">
        <v>0.95159723288320308</v>
      </c>
      <c r="E96" s="61">
        <v>0.9529927326615294</v>
      </c>
      <c r="F96" s="61">
        <v>0.93731480381760335</v>
      </c>
      <c r="G96" s="61">
        <v>0.9390726956945461</v>
      </c>
      <c r="H96" s="61">
        <v>0.64605516295025733</v>
      </c>
      <c r="I96" s="278">
        <v>0.64605516295025733</v>
      </c>
      <c r="J96" s="346">
        <f>IF(SUMPRODUCT($B$76:$I$76)=0,0,SUMPRODUCT(B96:I96,$B$76:$I$76)/SUMPRODUCT($B$76:$I$76))</f>
        <v>0.9618297208007125</v>
      </c>
      <c r="L96" s="242" t="s">
        <v>411</v>
      </c>
      <c r="M96" s="277">
        <v>0.62272174969623328</v>
      </c>
      <c r="N96" s="61">
        <v>0.62735562310030391</v>
      </c>
      <c r="O96" s="61">
        <v>0.51824212271973469</v>
      </c>
      <c r="P96" s="61">
        <v>0.5244813278008299</v>
      </c>
      <c r="Q96" s="61">
        <v>0.41887592788971367</v>
      </c>
      <c r="R96" s="61">
        <v>0.42569002123142252</v>
      </c>
      <c r="S96" s="61">
        <v>0</v>
      </c>
      <c r="T96" s="278">
        <v>0</v>
      </c>
      <c r="U96" s="346">
        <f>IF(SUMPRODUCT($B$76:$I$76)=0,0,SUMPRODUCT(M96:T96,$B$76:$I$76)/SUMPRODUCT($B$76:$I$76))</f>
        <v>0.55067054301356599</v>
      </c>
      <c r="W96" s="242" t="s">
        <v>411</v>
      </c>
      <c r="X96" s="277">
        <v>9.5382746051032807E-2</v>
      </c>
      <c r="Y96" s="61">
        <v>9.057750759878419E-2</v>
      </c>
      <c r="Z96" s="61">
        <v>0.11194029850746269</v>
      </c>
      <c r="AA96" s="61">
        <v>0.10705394190871369</v>
      </c>
      <c r="AB96" s="61">
        <v>0.12407211028632026</v>
      </c>
      <c r="AC96" s="61">
        <v>0.11995753715498939</v>
      </c>
      <c r="AD96" s="61">
        <v>0</v>
      </c>
      <c r="AE96" s="278">
        <v>0</v>
      </c>
      <c r="AF96" s="346">
        <f>IF(SUMPRODUCT($B$76:$I$76)=0,0,SUMPRODUCT(X96:AE96,$B$76:$I$76)/SUMPRODUCT($B$76:$I$76))</f>
        <v>9.7549863399424272E-2</v>
      </c>
      <c r="AH96" s="242" t="s">
        <v>411</v>
      </c>
      <c r="AI96" s="277">
        <v>4.3932260024301339E-2</v>
      </c>
      <c r="AJ96" s="61">
        <v>4.3958966565349547E-2</v>
      </c>
      <c r="AK96" s="61">
        <v>5.1394811656005686E-2</v>
      </c>
      <c r="AL96" s="61">
        <v>5.1437462951985771E-2</v>
      </c>
      <c r="AM96" s="61">
        <v>6.1346765641569462E-2</v>
      </c>
      <c r="AN96" s="61">
        <v>6.0405137308134071E-2</v>
      </c>
      <c r="AO96" s="61">
        <v>0.12403516295025729</v>
      </c>
      <c r="AP96" s="278">
        <v>0.12403516295025729</v>
      </c>
      <c r="AQ96" s="346">
        <f>IF(SUMPRODUCT($B$76:$I$76)=0,0,SUMPRODUCT(AI96:AP96,$B$76:$I$76)/SUMPRODUCT($B$76:$I$76))</f>
        <v>5.0792800397412817E-2</v>
      </c>
      <c r="AS96" s="242" t="s">
        <v>411</v>
      </c>
      <c r="AT96" s="277">
        <v>1.8020000000000001E-2</v>
      </c>
      <c r="AU96" s="61">
        <v>1.8020000000000001E-2</v>
      </c>
      <c r="AV96" s="61">
        <v>1.8020000000000001E-2</v>
      </c>
      <c r="AW96" s="61">
        <v>1.8020000000000001E-2</v>
      </c>
      <c r="AX96" s="61">
        <v>1.8020000000000001E-2</v>
      </c>
      <c r="AY96" s="61">
        <v>1.8020000000000001E-2</v>
      </c>
      <c r="AZ96" s="61">
        <v>1.8020000000000001E-2</v>
      </c>
      <c r="BA96" s="278">
        <v>1.8020000000000001E-2</v>
      </c>
      <c r="BB96" s="346">
        <f>IF(SUMPRODUCT($B$76:$I$76)=0,0,SUMPRODUCT(AT96:BA96,$B$76:$I$76)/SUMPRODUCT($B$76:$I$76))</f>
        <v>1.8019999999999994E-2</v>
      </c>
      <c r="BD96" s="242" t="s">
        <v>411</v>
      </c>
      <c r="BE96" s="277">
        <v>0.21000000000000002</v>
      </c>
      <c r="BF96" s="61">
        <v>0.21000000000000002</v>
      </c>
      <c r="BG96" s="61">
        <v>0.252</v>
      </c>
      <c r="BH96" s="61">
        <v>0.252</v>
      </c>
      <c r="BI96" s="61">
        <v>0.315</v>
      </c>
      <c r="BJ96" s="61">
        <v>0.315</v>
      </c>
      <c r="BK96" s="61">
        <v>0.504</v>
      </c>
      <c r="BL96" s="278">
        <v>0.504</v>
      </c>
      <c r="BM96" s="346">
        <f>IF(SUMPRODUCT($B$76:$I$76)=0,0,SUMPRODUCT(BE96:BL96,$B$76:$I$76)/SUMPRODUCT($B$76:$I$76))</f>
        <v>0.24479651399030952</v>
      </c>
    </row>
    <row r="97" spans="1:65" x14ac:dyDescent="0.3">
      <c r="A97" s="242" t="s">
        <v>413</v>
      </c>
      <c r="B97" s="277">
        <v>0.96718163141993951</v>
      </c>
      <c r="C97" s="61">
        <v>0.96339636033857334</v>
      </c>
      <c r="D97" s="61">
        <v>0.92759602545968889</v>
      </c>
      <c r="E97" s="61">
        <v>0.92318444496873908</v>
      </c>
      <c r="F97" s="61">
        <v>0.8976669968387776</v>
      </c>
      <c r="G97" s="61">
        <v>0.89298835443037983</v>
      </c>
      <c r="H97" s="61">
        <v>0.64591791183294667</v>
      </c>
      <c r="I97" s="278">
        <v>0.64591791183294667</v>
      </c>
      <c r="J97" s="346">
        <f>IF(SUMPRODUCT($B$77:$I$77)=0,0,SUMPRODUCT(B97:I97,$B$77:$I$77)/SUMPRODUCT($B$77:$I$77))</f>
        <v>0.93449607983588834</v>
      </c>
      <c r="L97" s="242" t="s">
        <v>413</v>
      </c>
      <c r="M97" s="277">
        <v>0.60845921450151053</v>
      </c>
      <c r="N97" s="61">
        <v>0.61789600967351876</v>
      </c>
      <c r="O97" s="61">
        <v>0.50247524752475248</v>
      </c>
      <c r="P97" s="61">
        <v>0.51445086705202314</v>
      </c>
      <c r="Q97" s="61">
        <v>0.40147523709167543</v>
      </c>
      <c r="R97" s="61">
        <v>0.41455696202531644</v>
      </c>
      <c r="S97" s="61">
        <v>0</v>
      </c>
      <c r="T97" s="278">
        <v>0</v>
      </c>
      <c r="U97" s="346">
        <f>IF(SUMPRODUCT($B$77:$I$77)=0,0,SUMPRODUCT(M97:T97,$B$77:$I$77)/SUMPRODUCT($B$77:$I$77))</f>
        <v>0.54051056833287314</v>
      </c>
      <c r="W97" s="242" t="s">
        <v>413</v>
      </c>
      <c r="X97" s="277">
        <v>8.7009063444108761E-2</v>
      </c>
      <c r="Y97" s="61">
        <v>7.3760580411124543E-2</v>
      </c>
      <c r="Z97" s="61">
        <v>0.10396039603960396</v>
      </c>
      <c r="AA97" s="61">
        <v>8.7530966143682901E-2</v>
      </c>
      <c r="AB97" s="61">
        <v>0.10221285563751317</v>
      </c>
      <c r="AC97" s="61">
        <v>8.4388185654008435E-2</v>
      </c>
      <c r="AD97" s="61">
        <v>0</v>
      </c>
      <c r="AE97" s="278">
        <v>0</v>
      </c>
      <c r="AF97" s="346">
        <f>IF(SUMPRODUCT($B$77:$I$77)=0,0,SUMPRODUCT(X97:AE97,$B$77:$I$77)/SUMPRODUCT($B$77:$I$77))</f>
        <v>8.0911268294813377E-2</v>
      </c>
      <c r="AH97" s="242" t="s">
        <v>413</v>
      </c>
      <c r="AI97" s="277">
        <v>4.369335347432024E-2</v>
      </c>
      <c r="AJ97" s="61">
        <v>4.3719770253929868E-2</v>
      </c>
      <c r="AK97" s="61">
        <v>5.114038189533239E-2</v>
      </c>
      <c r="AL97" s="61">
        <v>5.1182611773032911E-2</v>
      </c>
      <c r="AM97" s="61">
        <v>6.095890410958904E-2</v>
      </c>
      <c r="AN97" s="61">
        <v>6.1023206751054854E-2</v>
      </c>
      <c r="AO97" s="61">
        <v>0.12389791183294664</v>
      </c>
      <c r="AP97" s="278">
        <v>0.12389791183294664</v>
      </c>
      <c r="AQ97" s="346">
        <f>IF(SUMPRODUCT($B$77:$I$77)=0,0,SUMPRODUCT(AI97:AP97,$B$77:$I$77)/SUMPRODUCT($B$77:$I$77))</f>
        <v>5.0478902667679619E-2</v>
      </c>
      <c r="AS97" s="242" t="s">
        <v>413</v>
      </c>
      <c r="AT97" s="277">
        <v>1.8020000000000001E-2</v>
      </c>
      <c r="AU97" s="61">
        <v>1.8020000000000001E-2</v>
      </c>
      <c r="AV97" s="61">
        <v>1.8020000000000001E-2</v>
      </c>
      <c r="AW97" s="61">
        <v>1.8020000000000001E-2</v>
      </c>
      <c r="AX97" s="61">
        <v>1.8020000000000001E-2</v>
      </c>
      <c r="AY97" s="61">
        <v>1.8020000000000001E-2</v>
      </c>
      <c r="AZ97" s="61">
        <v>1.8020000000000001E-2</v>
      </c>
      <c r="BA97" s="278">
        <v>1.8020000000000001E-2</v>
      </c>
      <c r="BB97" s="346">
        <f>IF(SUMPRODUCT($B$77:$I$77)=0,0,SUMPRODUCT(AT97:BA97,$B$77:$I$77)/SUMPRODUCT($B$77:$I$77))</f>
        <v>1.8020000000000001E-2</v>
      </c>
      <c r="BD97" s="242" t="s">
        <v>413</v>
      </c>
      <c r="BE97" s="277">
        <v>0.21000000000000002</v>
      </c>
      <c r="BF97" s="61">
        <v>0.21000000000000002</v>
      </c>
      <c r="BG97" s="61">
        <v>0.252</v>
      </c>
      <c r="BH97" s="61">
        <v>0.252</v>
      </c>
      <c r="BI97" s="61">
        <v>0.315</v>
      </c>
      <c r="BJ97" s="61">
        <v>0.315</v>
      </c>
      <c r="BK97" s="61">
        <v>0.504</v>
      </c>
      <c r="BL97" s="278">
        <v>0.504</v>
      </c>
      <c r="BM97" s="346">
        <f>IF(SUMPRODUCT($B$77:$I$77)=0,0,SUMPRODUCT(BE97:BL97,$B$77:$I$77)/SUMPRODUCT($B$77:$I$77))</f>
        <v>0.24457534054052218</v>
      </c>
    </row>
    <row r="98" spans="1:65" x14ac:dyDescent="0.3">
      <c r="A98" s="242" t="s">
        <v>412</v>
      </c>
      <c r="B98" s="277">
        <v>0.92524451571927591</v>
      </c>
      <c r="C98" s="61">
        <v>0.91472117383729068</v>
      </c>
      <c r="D98" s="61">
        <v>0.86652861750129451</v>
      </c>
      <c r="E98" s="61">
        <v>0.8512010031858932</v>
      </c>
      <c r="F98" s="61">
        <v>0.83024794234120081</v>
      </c>
      <c r="G98" s="61">
        <v>0.79957978011910213</v>
      </c>
      <c r="H98" s="61">
        <v>0.64695251268761478</v>
      </c>
      <c r="I98" s="278">
        <v>0.64695251268761478</v>
      </c>
      <c r="J98" s="346">
        <f>IF(SUMPRODUCT($B$78:$I$78)=0,0,SUMPRODUCT(B98:I98,$B$78:$I$78)/SUMPRODUCT($B$78:$I$78))</f>
        <v>0.8826442737203275</v>
      </c>
      <c r="L98" s="242" t="s">
        <v>412</v>
      </c>
      <c r="M98" s="277">
        <v>0.57313432835820899</v>
      </c>
      <c r="N98" s="61">
        <v>0.59473998804542738</v>
      </c>
      <c r="O98" s="61">
        <v>0.46135069161920261</v>
      </c>
      <c r="P98" s="61">
        <v>0.48736756316218421</v>
      </c>
      <c r="Q98" s="61">
        <v>0.3592938733125649</v>
      </c>
      <c r="R98" s="61">
        <v>0.38669438669438672</v>
      </c>
      <c r="S98" s="61">
        <v>0</v>
      </c>
      <c r="T98" s="278">
        <v>0</v>
      </c>
      <c r="U98" s="346">
        <f>IF(SUMPRODUCT($B$78:$I$78)=0,0,SUMPRODUCT(M98:T98,$B$78:$I$78)/SUMPRODUCT($B$78:$I$78))</f>
        <v>0.52430099615388959</v>
      </c>
      <c r="W98" s="242" t="s">
        <v>412</v>
      </c>
      <c r="X98" s="277">
        <v>0.08</v>
      </c>
      <c r="Y98" s="61">
        <v>4.7818290496114767E-2</v>
      </c>
      <c r="Z98" s="61">
        <v>8.3807973962571197E-2</v>
      </c>
      <c r="AA98" s="61">
        <v>4.2379788101059496E-2</v>
      </c>
      <c r="AB98" s="61">
        <v>7.6843198338525445E-2</v>
      </c>
      <c r="AC98" s="61">
        <v>1.8711018711018712E-2</v>
      </c>
      <c r="AD98" s="61">
        <v>0</v>
      </c>
      <c r="AE98" s="278">
        <v>0</v>
      </c>
      <c r="AF98" s="346">
        <f>IF(SUMPRODUCT($B$78:$I$78)=0,0,SUMPRODUCT(X98:AE98,$B$78:$I$78)/SUMPRODUCT($B$78:$I$78))</f>
        <v>5.2572568336620155E-2</v>
      </c>
      <c r="AH98" s="242" t="s">
        <v>412</v>
      </c>
      <c r="AI98" s="277">
        <v>4.4090187361067006E-2</v>
      </c>
      <c r="AJ98" s="61">
        <v>4.4142895295748497E-2</v>
      </c>
      <c r="AK98" s="61">
        <v>5.1349951919520673E-2</v>
      </c>
      <c r="AL98" s="61">
        <v>5.1433651922649475E-2</v>
      </c>
      <c r="AM98" s="61">
        <v>6.1090870690110356E-2</v>
      </c>
      <c r="AN98" s="61">
        <v>6.1154374713696745E-2</v>
      </c>
      <c r="AO98" s="61">
        <v>0.12493251268761472</v>
      </c>
      <c r="AP98" s="278">
        <v>0.12493251268761472</v>
      </c>
      <c r="AQ98" s="346">
        <f>IF(SUMPRODUCT($B$78:$I$78)=0,0,SUMPRODUCT(AI98:AP98,$B$78:$I$78)/SUMPRODUCT($B$78:$I$78))</f>
        <v>4.9033275538802691E-2</v>
      </c>
      <c r="AS98" s="242" t="s">
        <v>412</v>
      </c>
      <c r="AT98" s="277">
        <v>1.8020000000000001E-2</v>
      </c>
      <c r="AU98" s="61">
        <v>1.8020000000000001E-2</v>
      </c>
      <c r="AV98" s="61">
        <v>1.8020000000000001E-2</v>
      </c>
      <c r="AW98" s="61">
        <v>1.8020000000000001E-2</v>
      </c>
      <c r="AX98" s="61">
        <v>1.8020000000000001E-2</v>
      </c>
      <c r="AY98" s="61">
        <v>1.8020000000000001E-2</v>
      </c>
      <c r="AZ98" s="61">
        <v>1.8020000000000001E-2</v>
      </c>
      <c r="BA98" s="278">
        <v>1.8020000000000001E-2</v>
      </c>
      <c r="BB98" s="346">
        <f>IF(SUMPRODUCT($B$78:$I$78)=0,0,SUMPRODUCT(AT98:BA98,$B$78:$I$78)/SUMPRODUCT($B$78:$I$78))</f>
        <v>1.8020000000000001E-2</v>
      </c>
      <c r="BD98" s="242" t="s">
        <v>412</v>
      </c>
      <c r="BE98" s="277">
        <v>0.21000000000000002</v>
      </c>
      <c r="BF98" s="61">
        <v>0.21000000000000002</v>
      </c>
      <c r="BG98" s="61">
        <v>0.252</v>
      </c>
      <c r="BH98" s="61">
        <v>0.252</v>
      </c>
      <c r="BI98" s="61">
        <v>0.315</v>
      </c>
      <c r="BJ98" s="61">
        <v>0.315</v>
      </c>
      <c r="BK98" s="61">
        <v>0.504</v>
      </c>
      <c r="BL98" s="278">
        <v>0.504</v>
      </c>
      <c r="BM98" s="346">
        <f>IF(SUMPRODUCT($B$78:$I$78)=0,0,SUMPRODUCT(BE98:BL98,$B$78:$I$78)/SUMPRODUCT($B$78:$I$78))</f>
        <v>0.23871743369101495</v>
      </c>
    </row>
    <row r="99" spans="1:65" x14ac:dyDescent="0.3">
      <c r="A99" s="242" t="s">
        <v>414</v>
      </c>
      <c r="B99" s="277">
        <v>0.81128662854964761</v>
      </c>
      <c r="C99" s="61">
        <v>0.80525178341384862</v>
      </c>
      <c r="D99" s="61">
        <v>0.75012184558325723</v>
      </c>
      <c r="E99" s="61">
        <v>0.7410592569225376</v>
      </c>
      <c r="F99" s="61">
        <v>0.72495506153443312</v>
      </c>
      <c r="G99" s="61">
        <v>0.71381873049457811</v>
      </c>
      <c r="H99" s="61">
        <v>0.6456047041230506</v>
      </c>
      <c r="I99" s="278">
        <v>0.64670568144263241</v>
      </c>
      <c r="J99" s="346">
        <f>IF(SUMPRODUCT($B$79:$I$79)=0,0,SUMPRODUCT(B99:I99,$B$79:$I$79)/SUMPRODUCT($B$79:$I$79))</f>
        <v>0.79351834892413831</v>
      </c>
      <c r="L99" s="242" t="s">
        <v>414</v>
      </c>
      <c r="M99" s="277">
        <v>0.48885077186963982</v>
      </c>
      <c r="N99" s="61">
        <v>0.53356481481481477</v>
      </c>
      <c r="O99" s="61">
        <v>0.3705148205928237</v>
      </c>
      <c r="P99" s="61">
        <v>0.42034700315457413</v>
      </c>
      <c r="Q99" s="61">
        <v>0.26965174129353237</v>
      </c>
      <c r="R99" s="61">
        <v>0.31959798994974875</v>
      </c>
      <c r="S99" s="61">
        <v>0</v>
      </c>
      <c r="T99" s="278">
        <v>0</v>
      </c>
      <c r="U99" s="346">
        <f>IF(SUMPRODUCT($B$79:$I$79)=0,0,SUMPRODUCT(M99:T99,$B$79:$I$79)/SUMPRODUCT($B$79:$I$79))</f>
        <v>0.4943983287890174</v>
      </c>
      <c r="W99" s="242" t="s">
        <v>414</v>
      </c>
      <c r="X99" s="277">
        <v>5.0314465408805034E-2</v>
      </c>
      <c r="Y99" s="61">
        <v>0</v>
      </c>
      <c r="Z99" s="61">
        <v>5.8502340093603743E-2</v>
      </c>
      <c r="AA99" s="61">
        <v>0</v>
      </c>
      <c r="AB99" s="61">
        <v>6.1691542288557215E-2</v>
      </c>
      <c r="AC99" s="61">
        <v>0</v>
      </c>
      <c r="AD99" s="61">
        <v>0</v>
      </c>
      <c r="AE99" s="278">
        <v>0</v>
      </c>
      <c r="AF99" s="346">
        <f>IF(SUMPRODUCT($B$79:$I$79)=0,0,SUMPRODUCT(X99:AE99,$B$79:$I$79)/SUMPRODUCT($B$79:$I$79))</f>
        <v>1.5089532636363895E-2</v>
      </c>
      <c r="AH99" s="242" t="s">
        <v>414</v>
      </c>
      <c r="AI99" s="277">
        <v>4.4101391271202592E-2</v>
      </c>
      <c r="AJ99" s="61">
        <v>4.3666968599033816E-2</v>
      </c>
      <c r="AK99" s="61">
        <v>5.1084684896829838E-2</v>
      </c>
      <c r="AL99" s="61">
        <v>5.0692253767963547E-2</v>
      </c>
      <c r="AM99" s="61">
        <v>6.0591777952343544E-2</v>
      </c>
      <c r="AN99" s="61">
        <v>6.1200740544829407E-2</v>
      </c>
      <c r="AO99" s="61">
        <v>0.12358470412305063</v>
      </c>
      <c r="AP99" s="278">
        <v>0.12468568144263237</v>
      </c>
      <c r="AQ99" s="346">
        <f>IF(SUMPRODUCT($B$79:$I$79)=0,0,SUMPRODUCT(AI99:AP99,$B$79:$I$79)/SUMPRODUCT($B$79:$I$79))</f>
        <v>4.5536496809016835E-2</v>
      </c>
      <c r="AS99" s="242" t="s">
        <v>414</v>
      </c>
      <c r="AT99" s="277">
        <v>1.8020000000000001E-2</v>
      </c>
      <c r="AU99" s="61">
        <v>1.8020000000000001E-2</v>
      </c>
      <c r="AV99" s="61">
        <v>1.8020000000000001E-2</v>
      </c>
      <c r="AW99" s="61">
        <v>1.8020000000000001E-2</v>
      </c>
      <c r="AX99" s="61">
        <v>1.8020000000000001E-2</v>
      </c>
      <c r="AY99" s="61">
        <v>1.8020000000000001E-2</v>
      </c>
      <c r="AZ99" s="61">
        <v>1.8019999999999998E-2</v>
      </c>
      <c r="BA99" s="278">
        <v>1.8020000000000001E-2</v>
      </c>
      <c r="BB99" s="346">
        <f>IF(SUMPRODUCT($B$79:$I$79)=0,0,SUMPRODUCT(AT99:BA99,$B$79:$I$79)/SUMPRODUCT($B$79:$I$79))</f>
        <v>1.8020000000000001E-2</v>
      </c>
      <c r="BD99" s="242" t="s">
        <v>414</v>
      </c>
      <c r="BE99" s="277">
        <v>0.21000000000000002</v>
      </c>
      <c r="BF99" s="61">
        <v>0.21000000000000002</v>
      </c>
      <c r="BG99" s="61">
        <v>0.252</v>
      </c>
      <c r="BH99" s="61">
        <v>0.252</v>
      </c>
      <c r="BI99" s="61">
        <v>0.315</v>
      </c>
      <c r="BJ99" s="61">
        <v>0.315</v>
      </c>
      <c r="BK99" s="61">
        <v>0.504</v>
      </c>
      <c r="BL99" s="278">
        <v>0.504</v>
      </c>
      <c r="BM99" s="346">
        <f>IF(SUMPRODUCT($B$79:$I$79)=0,0,SUMPRODUCT(BE99:BL99,$B$79:$I$79)/SUMPRODUCT($B$79:$I$79))</f>
        <v>0.22047399068974025</v>
      </c>
    </row>
    <row r="100" spans="1:65" x14ac:dyDescent="0.3">
      <c r="A100" s="274" t="s">
        <v>415</v>
      </c>
      <c r="B100" s="279">
        <v>0.80079880373448242</v>
      </c>
      <c r="C100" s="280">
        <v>0.71051486262272623</v>
      </c>
      <c r="D100" s="280">
        <v>0.75795391360889042</v>
      </c>
      <c r="E100" s="280">
        <v>0.65450677900479559</v>
      </c>
      <c r="F100" s="280">
        <v>0.74661788359788361</v>
      </c>
      <c r="G100" s="280">
        <v>0.65642688437775809</v>
      </c>
      <c r="H100" s="280"/>
      <c r="I100" s="281"/>
      <c r="J100" s="282">
        <f>IF(SUMPRODUCT($B$80:$I$80)=0,0,SUMPRODUCT(B100:I100,$B$80:$I$80)/SUMPRODUCT($B$80:$I$80))</f>
        <v>0</v>
      </c>
      <c r="L100" s="274" t="s">
        <v>415</v>
      </c>
      <c r="M100" s="279">
        <v>0.35769980506822613</v>
      </c>
      <c r="N100" s="280">
        <v>0.42248268513585507</v>
      </c>
      <c r="O100" s="280">
        <v>0.26864590876176686</v>
      </c>
      <c r="P100" s="280">
        <v>0.33358264771877338</v>
      </c>
      <c r="Q100" s="280">
        <v>0.2038095238095238</v>
      </c>
      <c r="R100" s="280">
        <v>0.26213592233009708</v>
      </c>
      <c r="S100" s="280"/>
      <c r="T100" s="281"/>
      <c r="U100" s="282">
        <f>IF(SUMPRODUCT($B$80:$I$80)=0,0,SUMPRODUCT(M100:T100,$B$80:$I$80)/SUMPRODUCT($B$80:$I$80))</f>
        <v>0</v>
      </c>
      <c r="W100" s="274" t="s">
        <v>415</v>
      </c>
      <c r="X100" s="279">
        <v>0.1705653021442495</v>
      </c>
      <c r="Y100" s="280">
        <v>1.5982951518380393E-2</v>
      </c>
      <c r="Z100" s="280">
        <v>0.16799420709630702</v>
      </c>
      <c r="AA100" s="280">
        <v>0</v>
      </c>
      <c r="AB100" s="280">
        <v>0.14857142857142858</v>
      </c>
      <c r="AC100" s="280">
        <v>0</v>
      </c>
      <c r="AD100" s="280"/>
      <c r="AE100" s="281"/>
      <c r="AF100" s="282">
        <f>IF(SUMPRODUCT($B$80:$I$80)=0,0,SUMPRODUCT(X100:AE100,$B$80:$I$80)/SUMPRODUCT($B$80:$I$80))</f>
        <v>0</v>
      </c>
      <c r="AH100" s="274" t="s">
        <v>415</v>
      </c>
      <c r="AI100" s="279">
        <v>4.451369652200677E-2</v>
      </c>
      <c r="AJ100" s="280">
        <v>4.4029225968490751E-2</v>
      </c>
      <c r="AK100" s="280">
        <v>5.1293797750816474E-2</v>
      </c>
      <c r="AL100" s="280">
        <v>5.090413128602226E-2</v>
      </c>
      <c r="AM100" s="280">
        <v>6.1216931216931218E-2</v>
      </c>
      <c r="AN100" s="280">
        <v>6.1270962047661075E-2</v>
      </c>
      <c r="AO100" s="280"/>
      <c r="AP100" s="281"/>
      <c r="AQ100" s="282">
        <f>IF(SUMPRODUCT($B$80:$I$80)=0,0,SUMPRODUCT(AI100:AP100,$B$80:$I$80)/SUMPRODUCT($B$80:$I$80))</f>
        <v>0</v>
      </c>
      <c r="AS100" s="274" t="s">
        <v>415</v>
      </c>
      <c r="AT100" s="279">
        <v>1.8020000000000001E-2</v>
      </c>
      <c r="AU100" s="280">
        <v>1.8020000000000001E-2</v>
      </c>
      <c r="AV100" s="280">
        <v>1.8020000000000001E-2</v>
      </c>
      <c r="AW100" s="280">
        <v>1.8020000000000001E-2</v>
      </c>
      <c r="AX100" s="280">
        <v>1.8020000000000001E-2</v>
      </c>
      <c r="AY100" s="280">
        <v>1.8020000000000001E-2</v>
      </c>
      <c r="AZ100" s="280"/>
      <c r="BA100" s="281"/>
      <c r="BB100" s="282">
        <f>IF(SUMPRODUCT($B$80:$I$80)=0,0,SUMPRODUCT(AT100:BA100,$B$80:$I$80)/SUMPRODUCT($B$80:$I$80))</f>
        <v>0</v>
      </c>
      <c r="BD100" s="274" t="s">
        <v>415</v>
      </c>
      <c r="BE100" s="279">
        <v>0.21000000000000002</v>
      </c>
      <c r="BF100" s="280">
        <v>0.21000000000000002</v>
      </c>
      <c r="BG100" s="280">
        <v>0.252</v>
      </c>
      <c r="BH100" s="280">
        <v>0.252</v>
      </c>
      <c r="BI100" s="280">
        <v>0.315</v>
      </c>
      <c r="BJ100" s="280">
        <v>0.315</v>
      </c>
      <c r="BK100" s="280"/>
      <c r="BL100" s="281"/>
      <c r="BM100" s="282">
        <f>IF(SUMPRODUCT($B$80:$I$80)=0,0,SUMPRODUCT(BE100:BL100,$B$80:$I$80)/SUMPRODUCT($B$80:$I$80))</f>
        <v>0</v>
      </c>
    </row>
    <row r="101" spans="1:65" ht="16.8" thickBot="1" x14ac:dyDescent="0.35">
      <c r="A101" s="38" t="s">
        <v>276</v>
      </c>
      <c r="B101" s="462">
        <f>IF(SUM($B$72:$C$80)=0,0,SUMPRODUCT(B92:C100,$B$72:$C$80)/SUM($B$72:$C$80))</f>
        <v>1.0199947232257529</v>
      </c>
      <c r="C101" s="463"/>
      <c r="D101" s="466">
        <f>IF(SUM($D$72:$E$80)=0,0,SUMPRODUCT(D92:E100,$D$72:$E$80)/SUM($D$72:$E$80))</f>
        <v>0.99609493345508615</v>
      </c>
      <c r="E101" s="467"/>
      <c r="F101" s="466">
        <f>IF(SUM($F$72:$G$80)=0,0,SUMPRODUCT(F92:G100,$F$72:$G$80)/SUM($F$72:$G$80))</f>
        <v>0.99071497754434323</v>
      </c>
      <c r="G101" s="467"/>
      <c r="H101" s="466">
        <f>IF(SUM($H$72:$I$80)=0,0,SUMPRODUCT(H92:I100,$H$72:$I$80)/SUM($H$72:$I$80))</f>
        <v>0.8187949111937507</v>
      </c>
      <c r="I101" s="469"/>
      <c r="J101" s="283">
        <f>SUMPRODUCT(B92:I100,$B$72:$I$80)</f>
        <v>1.0010217296796338</v>
      </c>
      <c r="L101" s="38" t="s">
        <v>276</v>
      </c>
      <c r="M101" s="462">
        <f>IF(SUM($B$72:$C$80)=0,0,SUMPRODUCT(M92:N100,$B$72:$C$80)/SUM($B$72:$C$80))</f>
        <v>0.62304634566329553</v>
      </c>
      <c r="N101" s="463"/>
      <c r="O101" s="466">
        <f>IF(SUM($D$72:$E$80)=0,0,SUMPRODUCT(O92:P100,$D$72:$E$80)/SUM($D$72:$E$80))</f>
        <v>0.51986787164837855</v>
      </c>
      <c r="P101" s="467"/>
      <c r="Q101" s="466">
        <f>IF(SUM($F$72:$G$80)=0,0,SUMPRODUCT(Q92:R100,$F$72:$G$80)/SUM($F$72:$G$80))</f>
        <v>0.42091211344182478</v>
      </c>
      <c r="R101" s="467"/>
      <c r="S101" s="466">
        <f>IF(SUM($H$72:$I$80)=0,0,SUMPRODUCT(S92:T100,$H$72:$I$80)/SUM($H$72:$I$80))</f>
        <v>0</v>
      </c>
      <c r="T101" s="469"/>
      <c r="U101" s="283">
        <f>SUMPRODUCT(M92:T100,$B$72:$I$80)</f>
        <v>0.53997685232003467</v>
      </c>
      <c r="W101" s="38" t="s">
        <v>276</v>
      </c>
      <c r="X101" s="462">
        <f>IF(SUM($B$72:$C$80)=0,0,SUMPRODUCT(X92:Y100,$B$72:$C$80)/SUM($B$72:$C$80))</f>
        <v>8.9094615526324625E-2</v>
      </c>
      <c r="Y101" s="463"/>
      <c r="Z101" s="466">
        <f>IF(SUM($D$72:$E$80)=0,0,SUMPRODUCT(Z92:AA100,$D$72:$E$80)/SUM($D$72:$E$80))</f>
        <v>0.10545563481487179</v>
      </c>
      <c r="AA101" s="467"/>
      <c r="AB101" s="466">
        <f>IF(SUM($F$72:$G$80)=0,0,SUMPRODUCT(AB92:AC100,$F$72:$G$80)/SUM($F$72:$G$80))</f>
        <v>0.11148595109925537</v>
      </c>
      <c r="AC101" s="467"/>
      <c r="AD101" s="466">
        <f>IF(SUM($H$72:$I$80)=0,0,SUMPRODUCT(AD92:AE100,$H$72:$I$80)/SUM($H$72:$I$80))</f>
        <v>4.7170775254539977E-2</v>
      </c>
      <c r="AE101" s="469"/>
      <c r="AF101" s="283">
        <f>SUMPRODUCT(X92:AE100,$B$72:$I$80)</f>
        <v>9.5219555166131634E-2</v>
      </c>
      <c r="AH101" s="38" t="s">
        <v>276</v>
      </c>
      <c r="AI101" s="462">
        <f>IF(SUM($B$72:$C$80)=0,0,SUMPRODUCT(AI92:AJ100,$B$72:$C$80)/SUM($B$72:$C$80))</f>
        <v>4.3980945615276705E-2</v>
      </c>
      <c r="AJ101" s="463"/>
      <c r="AK101" s="466">
        <f>IF(SUM($D$72:$E$80)=0,0,SUMPRODUCT(AK92:AL100,$D$72:$E$80)/SUM($D$72:$E$80))</f>
        <v>5.09099436807001E-2</v>
      </c>
      <c r="AL101" s="467"/>
      <c r="AM101" s="466">
        <f>IF(SUM($F$72:$G$80)=0,0,SUMPRODUCT(AM92:AN100,$F$72:$G$80)/SUM($F$72:$G$80))</f>
        <v>6.0651269568155704E-2</v>
      </c>
      <c r="AN101" s="467"/>
      <c r="AO101" s="466">
        <f>IF(SUM($H$72:$I$80)=0,0,SUMPRODUCT(AO92:AP100,$H$72:$I$80)/SUM($H$72:$I$80))</f>
        <v>0.1239265306313676</v>
      </c>
      <c r="AP101" s="469"/>
      <c r="AQ101" s="283">
        <f>SUMPRODUCT(AI92:AP100,$B$72:$I$80)</f>
        <v>5.153757749238734E-2</v>
      </c>
      <c r="AS101" s="38" t="s">
        <v>276</v>
      </c>
      <c r="AT101" s="462">
        <f>IF(SUM($B$72:$C$80)=0,0,SUMPRODUCT(AT92:AU100,$B$72:$C$80)/SUM($B$72:$C$80))</f>
        <v>1.8019999999999998E-2</v>
      </c>
      <c r="AU101" s="463"/>
      <c r="AV101" s="466">
        <f>IF(SUM($D$72:$E$80)=0,0,SUMPRODUCT(AV92:AW100,$D$72:$E$80)/SUM($D$72:$E$80))</f>
        <v>1.8020000000000001E-2</v>
      </c>
      <c r="AW101" s="467"/>
      <c r="AX101" s="466">
        <f>IF(SUM($F$72:$G$80)=0,0,SUMPRODUCT(AX92:AY100,$F$72:$G$80)/SUM($F$72:$G$80))</f>
        <v>1.8020000000000005E-2</v>
      </c>
      <c r="AY101" s="467"/>
      <c r="AZ101" s="466">
        <f>IF(SUM($H$72:$I$80)=0,0,SUMPRODUCT(AZ92:BA100,$H$72:$I$80)/SUM($H$72:$I$80))</f>
        <v>1.8020000000000001E-2</v>
      </c>
      <c r="BA101" s="469"/>
      <c r="BB101" s="283">
        <f>SUMPRODUCT(AT92:BA100,$B$72:$I$80)</f>
        <v>1.8020000000000001E-2</v>
      </c>
      <c r="BD101" s="38" t="s">
        <v>276</v>
      </c>
      <c r="BE101" s="462">
        <f>IF(SUM($B$72:$C$80)=0,0,SUMPRODUCT(BE92:BF100,$B$72:$C$80)/SUM($B$72:$C$80))</f>
        <v>0.24585281642085596</v>
      </c>
      <c r="BF101" s="463"/>
      <c r="BG101" s="466">
        <f>IF(SUM($D$72:$E$80)=0,0,SUMPRODUCT(BG92:BH100,$D$72:$E$80)/SUM($D$72:$E$80))</f>
        <v>0.30184148331113586</v>
      </c>
      <c r="BH101" s="467"/>
      <c r="BI101" s="466">
        <f>IF(SUM($F$72:$G$80)=0,0,SUMPRODUCT(BI92:BJ100,$F$72:$G$80)/SUM($F$72:$G$80))</f>
        <v>0.37964564343510743</v>
      </c>
      <c r="BJ101" s="467"/>
      <c r="BK101" s="466">
        <f>IF(SUM($H$72:$I$80)=0,0,SUMPRODUCT(BK92:BL100,$H$72:$I$80)/SUM($H$72:$I$80))</f>
        <v>0.62967760530784322</v>
      </c>
      <c r="BL101" s="469"/>
      <c r="BM101" s="283">
        <f>SUMPRODUCT(BE92:BL100,$B$72:$I$80)</f>
        <v>0.29626774470108008</v>
      </c>
    </row>
    <row r="102" spans="1:65" ht="15" thickBot="1" x14ac:dyDescent="0.35"/>
    <row r="103" spans="1:65" ht="15" thickBot="1" x14ac:dyDescent="0.35">
      <c r="A103" s="344" t="s">
        <v>290</v>
      </c>
      <c r="B103" s="152" t="s">
        <v>233</v>
      </c>
      <c r="C103" s="46" t="s">
        <v>237</v>
      </c>
      <c r="D103" s="46" t="s">
        <v>241</v>
      </c>
      <c r="E103" s="46" t="s">
        <v>246</v>
      </c>
      <c r="F103" s="46" t="s">
        <v>251</v>
      </c>
      <c r="G103" s="47" t="s">
        <v>255</v>
      </c>
    </row>
    <row r="104" spans="1:65" ht="15" thickTop="1" x14ac:dyDescent="0.3">
      <c r="A104" s="347" t="s">
        <v>18</v>
      </c>
      <c r="B104" s="265">
        <f>$B$101</f>
        <v>1.0199947232257529</v>
      </c>
      <c r="C104" s="266">
        <f>$M$101</f>
        <v>0.62304634566329553</v>
      </c>
      <c r="D104" s="266">
        <f>$X$101</f>
        <v>8.9094615526324625E-2</v>
      </c>
      <c r="E104" s="266">
        <f>$AI$101</f>
        <v>4.3980945615276705E-2</v>
      </c>
      <c r="F104" s="266">
        <f>$AT$101</f>
        <v>1.8019999999999998E-2</v>
      </c>
      <c r="G104" s="267">
        <f>$BE$101</f>
        <v>0.24585281642085596</v>
      </c>
    </row>
    <row r="105" spans="1:65" x14ac:dyDescent="0.3">
      <c r="A105" s="242" t="s">
        <v>19</v>
      </c>
      <c r="B105" s="277">
        <f>$D$101</f>
        <v>0.99609493345508615</v>
      </c>
      <c r="C105" s="61">
        <f>$O$101</f>
        <v>0.51986787164837855</v>
      </c>
      <c r="D105" s="61">
        <f>$Z$101</f>
        <v>0.10545563481487179</v>
      </c>
      <c r="E105" s="61">
        <f>$AK$101</f>
        <v>5.09099436807001E-2</v>
      </c>
      <c r="F105" s="61">
        <f>$AV$101</f>
        <v>1.8020000000000001E-2</v>
      </c>
      <c r="G105" s="62">
        <f>$BG$101</f>
        <v>0.30184148331113586</v>
      </c>
    </row>
    <row r="106" spans="1:65" x14ac:dyDescent="0.3">
      <c r="A106" s="242" t="s">
        <v>20</v>
      </c>
      <c r="B106" s="277">
        <f>$F$101</f>
        <v>0.99071497754434323</v>
      </c>
      <c r="C106" s="61">
        <f>$Q$101</f>
        <v>0.42091211344182478</v>
      </c>
      <c r="D106" s="61">
        <f>$AB$101</f>
        <v>0.11148595109925537</v>
      </c>
      <c r="E106" s="61">
        <f>$AM$101</f>
        <v>6.0651269568155704E-2</v>
      </c>
      <c r="F106" s="61">
        <f>$AX$101</f>
        <v>1.8020000000000005E-2</v>
      </c>
      <c r="G106" s="62">
        <f>$BI$101</f>
        <v>0.37964564343510743</v>
      </c>
    </row>
    <row r="107" spans="1:65" x14ac:dyDescent="0.3">
      <c r="A107" s="274" t="s">
        <v>21</v>
      </c>
      <c r="B107" s="279">
        <f>$H$101</f>
        <v>0.8187949111937507</v>
      </c>
      <c r="C107" s="280">
        <f>$S$101</f>
        <v>0</v>
      </c>
      <c r="D107" s="280">
        <f>$AD$101</f>
        <v>4.7170775254539977E-2</v>
      </c>
      <c r="E107" s="280">
        <f>$AO$101</f>
        <v>0.1239265306313676</v>
      </c>
      <c r="F107" s="280">
        <f>$AZ$101</f>
        <v>1.8020000000000001E-2</v>
      </c>
      <c r="G107" s="294">
        <f>$BK$101</f>
        <v>0.62967760530784322</v>
      </c>
    </row>
    <row r="108" spans="1:65" ht="15" thickBot="1" x14ac:dyDescent="0.35">
      <c r="A108" s="38" t="s">
        <v>291</v>
      </c>
      <c r="B108" s="341">
        <f>$J$101</f>
        <v>1.0010217296796338</v>
      </c>
      <c r="C108" s="342">
        <f>$U$101</f>
        <v>0.53997685232003467</v>
      </c>
      <c r="D108" s="342">
        <f>$AF$101</f>
        <v>9.5219555166131634E-2</v>
      </c>
      <c r="E108" s="342">
        <f>$AQ$101</f>
        <v>5.153757749238734E-2</v>
      </c>
      <c r="F108" s="342">
        <f>$BB$101</f>
        <v>1.8020000000000001E-2</v>
      </c>
      <c r="G108" s="268">
        <f>$BM$101</f>
        <v>0.29626774470108008</v>
      </c>
    </row>
    <row r="110" spans="1:65" ht="15" thickBot="1" x14ac:dyDescent="0.35">
      <c r="A110" s="236" t="s">
        <v>191</v>
      </c>
      <c r="B110" s="236" t="s">
        <v>292</v>
      </c>
      <c r="L110" s="236" t="s">
        <v>222</v>
      </c>
      <c r="M110" s="236" t="s">
        <v>293</v>
      </c>
      <c r="W110" s="236" t="s">
        <v>223</v>
      </c>
      <c r="X110" s="236" t="s">
        <v>294</v>
      </c>
      <c r="AH110" s="236" t="s">
        <v>224</v>
      </c>
      <c r="AI110" s="236" t="s">
        <v>295</v>
      </c>
      <c r="AS110" s="236" t="s">
        <v>225</v>
      </c>
      <c r="AT110" s="236" t="s">
        <v>296</v>
      </c>
    </row>
    <row r="111" spans="1:65" ht="16.2" x14ac:dyDescent="0.3">
      <c r="A111" s="79" t="s">
        <v>168</v>
      </c>
      <c r="B111" s="460" t="s">
        <v>18</v>
      </c>
      <c r="C111" s="461"/>
      <c r="D111" s="464" t="s">
        <v>19</v>
      </c>
      <c r="E111" s="465"/>
      <c r="F111" s="464" t="s">
        <v>20</v>
      </c>
      <c r="G111" s="465"/>
      <c r="H111" s="464" t="s">
        <v>21</v>
      </c>
      <c r="I111" s="468"/>
      <c r="J111" s="473" t="s">
        <v>276</v>
      </c>
      <c r="L111" s="79" t="s">
        <v>168</v>
      </c>
      <c r="M111" s="460" t="s">
        <v>18</v>
      </c>
      <c r="N111" s="461"/>
      <c r="O111" s="464" t="s">
        <v>19</v>
      </c>
      <c r="P111" s="465"/>
      <c r="Q111" s="464" t="s">
        <v>20</v>
      </c>
      <c r="R111" s="465"/>
      <c r="S111" s="464" t="s">
        <v>21</v>
      </c>
      <c r="T111" s="468"/>
      <c r="U111" s="473" t="s">
        <v>276</v>
      </c>
      <c r="W111" s="79" t="s">
        <v>168</v>
      </c>
      <c r="X111" s="460" t="s">
        <v>18</v>
      </c>
      <c r="Y111" s="461"/>
      <c r="Z111" s="464" t="s">
        <v>19</v>
      </c>
      <c r="AA111" s="465"/>
      <c r="AB111" s="464" t="s">
        <v>20</v>
      </c>
      <c r="AC111" s="465"/>
      <c r="AD111" s="464" t="s">
        <v>21</v>
      </c>
      <c r="AE111" s="468"/>
      <c r="AF111" s="473" t="s">
        <v>276</v>
      </c>
      <c r="AH111" s="79" t="s">
        <v>168</v>
      </c>
      <c r="AI111" s="460" t="s">
        <v>18</v>
      </c>
      <c r="AJ111" s="461"/>
      <c r="AK111" s="464" t="s">
        <v>19</v>
      </c>
      <c r="AL111" s="465"/>
      <c r="AM111" s="464" t="s">
        <v>20</v>
      </c>
      <c r="AN111" s="465"/>
      <c r="AO111" s="464" t="s">
        <v>21</v>
      </c>
      <c r="AP111" s="468"/>
      <c r="AQ111" s="473" t="s">
        <v>276</v>
      </c>
      <c r="AS111" s="79" t="s">
        <v>168</v>
      </c>
      <c r="AT111" s="460" t="s">
        <v>18</v>
      </c>
      <c r="AU111" s="461"/>
      <c r="AV111" s="464" t="s">
        <v>19</v>
      </c>
      <c r="AW111" s="465"/>
      <c r="AX111" s="464" t="s">
        <v>20</v>
      </c>
      <c r="AY111" s="465"/>
      <c r="AZ111" s="464" t="s">
        <v>21</v>
      </c>
      <c r="BA111" s="468"/>
      <c r="BB111" s="473" t="s">
        <v>276</v>
      </c>
    </row>
    <row r="112" spans="1:65" ht="15" thickBot="1" x14ac:dyDescent="0.35">
      <c r="A112" s="80" t="s">
        <v>289</v>
      </c>
      <c r="B112" s="78" t="s">
        <v>278</v>
      </c>
      <c r="C112" s="76" t="s">
        <v>279</v>
      </c>
      <c r="D112" s="76" t="s">
        <v>278</v>
      </c>
      <c r="E112" s="76" t="s">
        <v>279</v>
      </c>
      <c r="F112" s="76" t="s">
        <v>278</v>
      </c>
      <c r="G112" s="76" t="s">
        <v>279</v>
      </c>
      <c r="H112" s="76" t="s">
        <v>278</v>
      </c>
      <c r="I112" s="275" t="s">
        <v>279</v>
      </c>
      <c r="J112" s="474"/>
      <c r="L112" s="80" t="s">
        <v>289</v>
      </c>
      <c r="M112" s="78" t="s">
        <v>278</v>
      </c>
      <c r="N112" s="76" t="s">
        <v>279</v>
      </c>
      <c r="O112" s="76" t="s">
        <v>278</v>
      </c>
      <c r="P112" s="76" t="s">
        <v>279</v>
      </c>
      <c r="Q112" s="76" t="s">
        <v>278</v>
      </c>
      <c r="R112" s="76" t="s">
        <v>279</v>
      </c>
      <c r="S112" s="76" t="s">
        <v>278</v>
      </c>
      <c r="T112" s="275" t="s">
        <v>279</v>
      </c>
      <c r="U112" s="474"/>
      <c r="W112" s="80" t="s">
        <v>289</v>
      </c>
      <c r="X112" s="78" t="s">
        <v>278</v>
      </c>
      <c r="Y112" s="76" t="s">
        <v>279</v>
      </c>
      <c r="Z112" s="76" t="s">
        <v>278</v>
      </c>
      <c r="AA112" s="76" t="s">
        <v>279</v>
      </c>
      <c r="AB112" s="76" t="s">
        <v>278</v>
      </c>
      <c r="AC112" s="76" t="s">
        <v>279</v>
      </c>
      <c r="AD112" s="76" t="s">
        <v>278</v>
      </c>
      <c r="AE112" s="275" t="s">
        <v>279</v>
      </c>
      <c r="AF112" s="474"/>
      <c r="AH112" s="80" t="s">
        <v>289</v>
      </c>
      <c r="AI112" s="78" t="s">
        <v>278</v>
      </c>
      <c r="AJ112" s="76" t="s">
        <v>279</v>
      </c>
      <c r="AK112" s="76" t="s">
        <v>278</v>
      </c>
      <c r="AL112" s="76" t="s">
        <v>279</v>
      </c>
      <c r="AM112" s="76" t="s">
        <v>278</v>
      </c>
      <c r="AN112" s="76" t="s">
        <v>279</v>
      </c>
      <c r="AO112" s="76" t="s">
        <v>278</v>
      </c>
      <c r="AP112" s="275" t="s">
        <v>279</v>
      </c>
      <c r="AQ112" s="474"/>
      <c r="AS112" s="80" t="s">
        <v>289</v>
      </c>
      <c r="AT112" s="78" t="s">
        <v>278</v>
      </c>
      <c r="AU112" s="76" t="s">
        <v>279</v>
      </c>
      <c r="AV112" s="76" t="s">
        <v>278</v>
      </c>
      <c r="AW112" s="76" t="s">
        <v>279</v>
      </c>
      <c r="AX112" s="76" t="s">
        <v>278</v>
      </c>
      <c r="AY112" s="76" t="s">
        <v>279</v>
      </c>
      <c r="AZ112" s="76" t="s">
        <v>278</v>
      </c>
      <c r="BA112" s="275" t="s">
        <v>279</v>
      </c>
      <c r="BB112" s="474"/>
    </row>
    <row r="113" spans="1:54" ht="15" thickTop="1" x14ac:dyDescent="0.3">
      <c r="A113" s="410" t="s">
        <v>407</v>
      </c>
      <c r="B113" s="265">
        <v>4.8978230986818756E-2</v>
      </c>
      <c r="C113" s="266">
        <v>5.2937740018136246E-2</v>
      </c>
      <c r="D113" s="266">
        <v>5.5059524242478355E-2</v>
      </c>
      <c r="E113" s="266">
        <v>5.9004753939820673E-2</v>
      </c>
      <c r="F113" s="266">
        <v>4.7208959129695346E-2</v>
      </c>
      <c r="G113" s="266">
        <v>5.1073656917662469E-2</v>
      </c>
      <c r="H113" s="266">
        <v>5.2530759372162887E-2</v>
      </c>
      <c r="I113" s="276">
        <v>5.6133847827604062E-2</v>
      </c>
      <c r="J113" s="345">
        <f>IF(SUMPRODUCT($B$72:$I$72)=0,0,SUMPRODUCT(B113:I113,$B$72:$I$72)/SUMPRODUCT($B$72:$I$72))</f>
        <v>5.2541487417193077E-2</v>
      </c>
      <c r="L113" s="410" t="s">
        <v>407</v>
      </c>
      <c r="M113" s="265">
        <v>0.11866635546053839</v>
      </c>
      <c r="N113" s="266">
        <v>0.12422051169394348</v>
      </c>
      <c r="O113" s="266">
        <v>0.11963840583222318</v>
      </c>
      <c r="P113" s="266">
        <v>0.1253989551199704</v>
      </c>
      <c r="Q113" s="266">
        <v>0.11974972298571078</v>
      </c>
      <c r="R113" s="266">
        <v>0.12568368912316608</v>
      </c>
      <c r="S113" s="266">
        <v>0.11611407702578869</v>
      </c>
      <c r="T113" s="276">
        <v>0.12272616490136677</v>
      </c>
      <c r="U113" s="345">
        <f>IF(SUMPRODUCT($B$72:$I$72)=0,0,SUMPRODUCT(M113:T113,$B$72:$I$72)/SUMPRODUCT($B$72:$I$72))</f>
        <v>0.12137329178237652</v>
      </c>
      <c r="W113" s="410" t="s">
        <v>407</v>
      </c>
      <c r="X113" s="265">
        <v>1.1355434705559909E-4</v>
      </c>
      <c r="Y113" s="266">
        <v>9.577896191143957E-5</v>
      </c>
      <c r="Z113" s="266">
        <v>1.1661281505623424E-4</v>
      </c>
      <c r="AA113" s="266">
        <v>9.8122016631454657E-5</v>
      </c>
      <c r="AB113" s="266">
        <v>1.2033130391663993E-4</v>
      </c>
      <c r="AC113" s="266">
        <v>1.0098325391550789E-4</v>
      </c>
      <c r="AD113" s="266">
        <v>1.4421667889590706E-4</v>
      </c>
      <c r="AE113" s="276">
        <v>1.1931740020595291E-4</v>
      </c>
      <c r="AF113" s="345">
        <f>IF(SUMPRODUCT($B$72:$I$72)=0,0,SUMPRODUCT(X113:AE113,$B$72:$I$72)/SUMPRODUCT($B$72:$I$72))</f>
        <v>1.110275691135658E-4</v>
      </c>
      <c r="AH113" s="410" t="s">
        <v>407</v>
      </c>
      <c r="AI113" s="265">
        <v>-8.4588183652759108E-2</v>
      </c>
      <c r="AJ113" s="266">
        <v>-8.6237687135092417E-2</v>
      </c>
      <c r="AK113" s="266">
        <v>-7.9677946605960948E-2</v>
      </c>
      <c r="AL113" s="266">
        <v>-8.159264291802984E-2</v>
      </c>
      <c r="AM113" s="266">
        <v>-8.766372080689902E-2</v>
      </c>
      <c r="AN113" s="266">
        <v>-8.9912566716706485E-2</v>
      </c>
      <c r="AO113" s="266">
        <v>-7.3769201454347164E-2</v>
      </c>
      <c r="AP113" s="276">
        <v>-7.756623228686918E-2</v>
      </c>
      <c r="AQ113" s="345">
        <f>IF(SUMPRODUCT($B$72:$I$72)=0,0,SUMPRODUCT(AI113:AP113,$B$72:$I$72)/SUMPRODUCT($B$72:$I$72))</f>
        <v>-8.3267837170746484E-2</v>
      </c>
      <c r="AS113" s="410" t="s">
        <v>407</v>
      </c>
      <c r="AT113" s="265">
        <v>1.4664331551351901E-2</v>
      </c>
      <c r="AU113" s="266">
        <v>1.4734793513599175E-2</v>
      </c>
      <c r="AV113" s="266">
        <v>1.4837591795269304E-2</v>
      </c>
      <c r="AW113" s="266">
        <v>1.4951592960012479E-2</v>
      </c>
      <c r="AX113" s="266">
        <v>1.4846066941434826E-2</v>
      </c>
      <c r="AY113" s="266">
        <v>1.5037163941453002E-2</v>
      </c>
      <c r="AZ113" s="266">
        <v>9.9852232251279472E-3</v>
      </c>
      <c r="BA113" s="276">
        <v>1.0758035405723294E-2</v>
      </c>
      <c r="BB113" s="345">
        <f>IF(SUMPRODUCT($B$72:$I$72)=0,0,SUMPRODUCT(AT113:BA113,$B$72:$I$72)/SUMPRODUCT($B$72:$I$72))</f>
        <v>1.4196086628464713E-2</v>
      </c>
    </row>
    <row r="114" spans="1:54" x14ac:dyDescent="0.3">
      <c r="A114" s="242" t="s">
        <v>408</v>
      </c>
      <c r="B114" s="277">
        <v>4.3110659610156393E-2</v>
      </c>
      <c r="C114" s="61">
        <v>4.7558695878261989E-2</v>
      </c>
      <c r="D114" s="61">
        <v>4.8826430364119627E-2</v>
      </c>
      <c r="E114" s="61">
        <v>5.3321234518835463E-2</v>
      </c>
      <c r="F114" s="61">
        <v>4.0731230700403423E-2</v>
      </c>
      <c r="G114" s="61">
        <v>4.5191811441784718E-2</v>
      </c>
      <c r="H114" s="61">
        <v>4.5396565700484837E-2</v>
      </c>
      <c r="I114" s="278">
        <v>4.9612803609203435E-2</v>
      </c>
      <c r="J114" s="346">
        <f>IF(SUMPRODUCT($B$73:$I$73)=0,0,SUMPRODUCT(B114:I114,$B$73:$I$73)/SUMPRODUCT($B$73:$I$73))</f>
        <v>4.6401793196281668E-2</v>
      </c>
      <c r="L114" s="242" t="s">
        <v>408</v>
      </c>
      <c r="M114" s="277">
        <v>0.11006683829469234</v>
      </c>
      <c r="N114" s="61">
        <v>0.11662451951843494</v>
      </c>
      <c r="O114" s="61">
        <v>0.11071657116591087</v>
      </c>
      <c r="P114" s="61">
        <v>0.11750008354427051</v>
      </c>
      <c r="Q114" s="61">
        <v>0.11060676300349666</v>
      </c>
      <c r="R114" s="61">
        <v>0.11755696913414673</v>
      </c>
      <c r="S114" s="61">
        <v>0.10634906920632685</v>
      </c>
      <c r="T114" s="278">
        <v>0.11386236865600094</v>
      </c>
      <c r="U114" s="346">
        <f>IF(SUMPRODUCT($B$73:$I$73)=0,0,SUMPRODUCT(M114:T114,$B$73:$I$73)/SUMPRODUCT($B$73:$I$73))</f>
        <v>0.11308253449977232</v>
      </c>
      <c r="W114" s="242" t="s">
        <v>408</v>
      </c>
      <c r="X114" s="277">
        <v>6.9621815515028367E-5</v>
      </c>
      <c r="Y114" s="61">
        <v>5.765019828384339E-5</v>
      </c>
      <c r="Z114" s="61">
        <v>7.3955508541841808E-5</v>
      </c>
      <c r="AA114" s="61">
        <v>6.0142216912370696E-5</v>
      </c>
      <c r="AB114" s="61">
        <v>7.8005387308682938E-5</v>
      </c>
      <c r="AC114" s="61">
        <v>6.247984811285067E-5</v>
      </c>
      <c r="AD114" s="61">
        <v>1.0419396333178862E-4</v>
      </c>
      <c r="AE114" s="278">
        <v>7.514402793919753E-5</v>
      </c>
      <c r="AF114" s="346">
        <f>IF(SUMPRODUCT($B$73:$I$73)=0,0,SUMPRODUCT(X114:AE114,$B$73:$I$73)/SUMPRODUCT($B$73:$I$73))</f>
        <v>6.7604738609380551E-5</v>
      </c>
      <c r="AH114" s="242" t="s">
        <v>408</v>
      </c>
      <c r="AI114" s="277">
        <v>-8.1907099215466725E-2</v>
      </c>
      <c r="AJ114" s="61">
        <v>-8.4040433973848777E-2</v>
      </c>
      <c r="AK114" s="61">
        <v>-7.7013447266427143E-2</v>
      </c>
      <c r="AL114" s="61">
        <v>-7.9387507125614321E-2</v>
      </c>
      <c r="AM114" s="61">
        <v>-8.4997073356728875E-2</v>
      </c>
      <c r="AN114" s="61">
        <v>-8.7646116500160909E-2</v>
      </c>
      <c r="AO114" s="61">
        <v>-7.109327523925614E-2</v>
      </c>
      <c r="AP114" s="278">
        <v>-7.5130794930090561E-2</v>
      </c>
      <c r="AQ114" s="346">
        <f>IF(SUMPRODUCT($B$73:$I$73)=0,0,SUMPRODUCT(AI114:AP114,$B$73:$I$73)/SUMPRODUCT($B$73:$I$73))</f>
        <v>-8.1514615936434442E-2</v>
      </c>
      <c r="AS114" s="242" t="s">
        <v>408</v>
      </c>
      <c r="AT114" s="277">
        <v>1.4755094306700118E-2</v>
      </c>
      <c r="AU114" s="61">
        <v>1.4789918483958723E-2</v>
      </c>
      <c r="AV114" s="61">
        <v>1.4901183854568907E-2</v>
      </c>
      <c r="AW114" s="61">
        <v>1.4997507789969918E-2</v>
      </c>
      <c r="AX114" s="61">
        <v>1.4884452232203907E-2</v>
      </c>
      <c r="AY114" s="61">
        <v>1.5052895004879666E-2</v>
      </c>
      <c r="AZ114" s="61">
        <v>9.9808090635416929E-3</v>
      </c>
      <c r="BA114" s="278">
        <v>1.0712384070776626E-2</v>
      </c>
      <c r="BB114" s="346">
        <f>IF(SUMPRODUCT($B$73:$I$73)=0,0,SUMPRODUCT(AT114:BA114,$B$73:$I$73)/SUMPRODUCT($B$73:$I$73))</f>
        <v>1.4631135847061395E-2</v>
      </c>
    </row>
    <row r="115" spans="1:54" x14ac:dyDescent="0.3">
      <c r="A115" s="242" t="s">
        <v>409</v>
      </c>
      <c r="B115" s="277">
        <v>3.55249585612393E-2</v>
      </c>
      <c r="C115" s="61">
        <v>4.0535220085742195E-2</v>
      </c>
      <c r="D115" s="61">
        <v>4.0913874266761158E-2</v>
      </c>
      <c r="E115" s="61">
        <v>4.5966464432031347E-2</v>
      </c>
      <c r="F115" s="61">
        <v>3.2585791651967233E-2</v>
      </c>
      <c r="G115" s="61">
        <v>3.7617788084007238E-2</v>
      </c>
      <c r="H115" s="61">
        <v>3.6644475181400522E-2</v>
      </c>
      <c r="I115" s="278">
        <v>4.1443553465271059E-2</v>
      </c>
      <c r="J115" s="346">
        <f>IF(SUMPRODUCT($B$74:$I$74)=0,0,SUMPRODUCT(B115:I115,$B$74:$I$74)/SUMPRODUCT($B$74:$I$74))</f>
        <v>3.9009060003790882E-2</v>
      </c>
      <c r="L115" s="242" t="s">
        <v>409</v>
      </c>
      <c r="M115" s="277">
        <v>0.10009135087046464</v>
      </c>
      <c r="N115" s="61">
        <v>0.10742202208891308</v>
      </c>
      <c r="O115" s="61">
        <v>0.10046214297248819</v>
      </c>
      <c r="P115" s="61">
        <v>0.10800647527189491</v>
      </c>
      <c r="Q115" s="61">
        <v>0.10012373441282718</v>
      </c>
      <c r="R115" s="61">
        <v>0.10782851128635765</v>
      </c>
      <c r="S115" s="61">
        <v>9.5003900556040743E-2</v>
      </c>
      <c r="T115" s="278">
        <v>0.1032739609849976</v>
      </c>
      <c r="U115" s="346">
        <f>IF(SUMPRODUCT($B$74:$I$74)=0,0,SUMPRODUCT(M115:T115,$B$74:$I$74)/SUMPRODUCT($B$74:$I$74))</f>
        <v>0.10349305133085923</v>
      </c>
      <c r="W115" s="242" t="s">
        <v>409</v>
      </c>
      <c r="X115" s="277">
        <v>9.7954769420975911E-5</v>
      </c>
      <c r="Y115" s="61">
        <v>7.216458734556282E-5</v>
      </c>
      <c r="Z115" s="61">
        <v>1.0568695113544011E-4</v>
      </c>
      <c r="AA115" s="61">
        <v>7.6161857656598808E-5</v>
      </c>
      <c r="AB115" s="61">
        <v>1.1241748110426146E-4</v>
      </c>
      <c r="AC115" s="61">
        <v>7.9548132385034634E-5</v>
      </c>
      <c r="AD115" s="61">
        <v>1.510536351653698E-4</v>
      </c>
      <c r="AE115" s="278">
        <v>9.72628015085179E-5</v>
      </c>
      <c r="AF115" s="346">
        <f>IF(SUMPRODUCT($B$74:$I$74)=0,0,SUMPRODUCT(X115:AE115,$B$74:$I$74)/SUMPRODUCT($B$74:$I$74))</f>
        <v>9.1129564682879979E-5</v>
      </c>
      <c r="AH115" s="242" t="s">
        <v>409</v>
      </c>
      <c r="AI115" s="277">
        <v>-7.9589612674757809E-2</v>
      </c>
      <c r="AJ115" s="61">
        <v>-8.1890095359078444E-2</v>
      </c>
      <c r="AK115" s="61">
        <v>-7.4754608422007457E-2</v>
      </c>
      <c r="AL115" s="61">
        <v>-7.7280598774961531E-2</v>
      </c>
      <c r="AM115" s="61">
        <v>-8.2764373255772877E-2</v>
      </c>
      <c r="AN115" s="61">
        <v>-8.5524193885604727E-2</v>
      </c>
      <c r="AO115" s="61">
        <v>-6.8660587074546808E-2</v>
      </c>
      <c r="AP115" s="278">
        <v>-7.2770852267929259E-2</v>
      </c>
      <c r="AQ115" s="346">
        <f>IF(SUMPRODUCT($B$74:$I$74)=0,0,SUMPRODUCT(AI115:AP115,$B$74:$I$74)/SUMPRODUCT($B$74:$I$74))</f>
        <v>-7.938563913498059E-2</v>
      </c>
      <c r="AS115" s="242" t="s">
        <v>409</v>
      </c>
      <c r="AT115" s="277">
        <v>1.4797538343292168E-2</v>
      </c>
      <c r="AU115" s="61">
        <v>1.4803541045745747E-2</v>
      </c>
      <c r="AV115" s="61">
        <v>1.4950583953454753E-2</v>
      </c>
      <c r="AW115" s="61">
        <v>1.5012543238623862E-2</v>
      </c>
      <c r="AX115" s="61">
        <v>1.495217707719656E-2</v>
      </c>
      <c r="AY115" s="61">
        <v>1.5067635006515685E-2</v>
      </c>
      <c r="AZ115" s="61">
        <v>1.0089262464574915E-2</v>
      </c>
      <c r="BA115" s="278">
        <v>1.0747888524805443E-2</v>
      </c>
      <c r="BB115" s="346">
        <f>IF(SUMPRODUCT($B$74:$I$74)=0,0,SUMPRODUCT(AT115:BA115,$B$74:$I$74)/SUMPRODUCT($B$74:$I$74))</f>
        <v>1.4672964882673898E-2</v>
      </c>
    </row>
    <row r="116" spans="1:54" x14ac:dyDescent="0.3">
      <c r="A116" s="242" t="s">
        <v>410</v>
      </c>
      <c r="B116" s="277">
        <v>2.7147586038004438E-2</v>
      </c>
      <c r="C116" s="61">
        <v>3.3010588680089402E-2</v>
      </c>
      <c r="D116" s="61">
        <v>3.2118540739361469E-2</v>
      </c>
      <c r="E116" s="61">
        <v>3.8254708086422E-2</v>
      </c>
      <c r="F116" s="61">
        <v>2.4447416003508932E-2</v>
      </c>
      <c r="G116" s="61">
        <v>2.9865241747655025E-2</v>
      </c>
      <c r="H116" s="61">
        <v>2.6821642632999469E-2</v>
      </c>
      <c r="I116" s="278">
        <v>3.2025227877994757E-2</v>
      </c>
      <c r="J116" s="346">
        <f>IF(SUMPRODUCT($B$75:$I$75)=0,0,SUMPRODUCT(B116:I116,$B$75:$I$75)/SUMPRODUCT($B$75:$I$75))</f>
        <v>3.1149612440006059E-2</v>
      </c>
      <c r="L116" s="242" t="s">
        <v>410</v>
      </c>
      <c r="M116" s="277">
        <v>8.8367452875898769E-2</v>
      </c>
      <c r="N116" s="61">
        <v>9.6403835668231339E-2</v>
      </c>
      <c r="O116" s="61">
        <v>8.835895373286437E-2</v>
      </c>
      <c r="P116" s="61">
        <v>9.6603283723260977E-2</v>
      </c>
      <c r="Q116" s="61">
        <v>8.762909604941832E-2</v>
      </c>
      <c r="R116" s="61">
        <v>9.6122203935025935E-2</v>
      </c>
      <c r="S116" s="61">
        <v>8.1806118912113576E-2</v>
      </c>
      <c r="T116" s="278">
        <v>9.0792997340338646E-2</v>
      </c>
      <c r="U116" s="346">
        <f>IF(SUMPRODUCT($B$75:$I$75)=0,0,SUMPRODUCT(M116:T116,$B$75:$I$75)/SUMPRODUCT($B$75:$I$75))</f>
        <v>9.2224164433752864E-2</v>
      </c>
      <c r="W116" s="242" t="s">
        <v>410</v>
      </c>
      <c r="X116" s="277">
        <v>1.1601426224768814E-4</v>
      </c>
      <c r="Y116" s="61">
        <v>8.7821504673872677E-5</v>
      </c>
      <c r="Z116" s="61">
        <v>1.2631702881424131E-4</v>
      </c>
      <c r="AA116" s="61">
        <v>9.3703633562788069E-5</v>
      </c>
      <c r="AB116" s="61">
        <v>1.369208647063787E-4</v>
      </c>
      <c r="AC116" s="61">
        <v>9.8768313805993181E-5</v>
      </c>
      <c r="AD116" s="61">
        <v>1.9391613023021022E-4</v>
      </c>
      <c r="AE116" s="278">
        <v>1.2585539072961779E-4</v>
      </c>
      <c r="AF116" s="346">
        <f>IF(SUMPRODUCT($B$75:$I$75)=0,0,SUMPRODUCT(X116:AE116,$B$75:$I$75)/SUMPRODUCT($B$75:$I$75))</f>
        <v>1.0844292503783145E-4</v>
      </c>
      <c r="AH116" s="242" t="s">
        <v>410</v>
      </c>
      <c r="AI116" s="277">
        <v>-7.6331661012448468E-2</v>
      </c>
      <c r="AJ116" s="61">
        <v>-7.8334032652926183E-2</v>
      </c>
      <c r="AK116" s="61">
        <v>-7.1550317821495124E-2</v>
      </c>
      <c r="AL116" s="61">
        <v>-7.3459803066710003E-2</v>
      </c>
      <c r="AM116" s="61">
        <v>-7.8243112168546014E-2</v>
      </c>
      <c r="AN116" s="61">
        <v>-8.1361765977495379E-2</v>
      </c>
      <c r="AO116" s="61">
        <v>-6.5477581211442773E-2</v>
      </c>
      <c r="AP116" s="278">
        <v>-6.9808554039589146E-2</v>
      </c>
      <c r="AQ116" s="346">
        <f>IF(SUMPRODUCT($B$75:$I$75)=0,0,SUMPRODUCT(AI116:AP116,$B$75:$I$75)/SUMPRODUCT($B$75:$I$75))</f>
        <v>-7.5986013915656431E-2</v>
      </c>
      <c r="AS116" s="242" t="s">
        <v>410</v>
      </c>
      <c r="AT116" s="277">
        <v>1.4865145574912168E-2</v>
      </c>
      <c r="AU116" s="61">
        <v>1.472776976286401E-2</v>
      </c>
      <c r="AV116" s="61">
        <v>1.5029856587586102E-2</v>
      </c>
      <c r="AW116" s="61">
        <v>1.4870605166140232E-2</v>
      </c>
      <c r="AX116" s="61">
        <v>1.4768782607335756E-2</v>
      </c>
      <c r="AY116" s="61">
        <v>1.4848520668427659E-2</v>
      </c>
      <c r="AZ116" s="61">
        <v>1.0231955921568123E-2</v>
      </c>
      <c r="BA116" s="278">
        <v>1.0816546243161213E-2</v>
      </c>
      <c r="BB116" s="346">
        <f>IF(SUMPRODUCT($B$75:$I$75)=0,0,SUMPRODUCT(AT116:BA116,$B$75:$I$75)/SUMPRODUCT($B$75:$I$75))</f>
        <v>1.4666434166617469E-2</v>
      </c>
    </row>
    <row r="117" spans="1:54" x14ac:dyDescent="0.3">
      <c r="A117" s="242" t="s">
        <v>411</v>
      </c>
      <c r="B117" s="277">
        <v>3.3292414490297441E-2</v>
      </c>
      <c r="C117" s="61">
        <v>3.8816786612499779E-2</v>
      </c>
      <c r="D117" s="61">
        <v>3.8169018912686009E-2</v>
      </c>
      <c r="E117" s="61">
        <v>4.3797891337591412E-2</v>
      </c>
      <c r="F117" s="61">
        <v>2.9610651449303787E-2</v>
      </c>
      <c r="G117" s="61">
        <v>3.5663966466345141E-2</v>
      </c>
      <c r="H117" s="61">
        <v>3.452850961112669E-2</v>
      </c>
      <c r="I117" s="278">
        <v>4.1643293109050024E-2</v>
      </c>
      <c r="J117" s="346">
        <f>IF(SUMPRODUCT($B$76:$I$76)=0,0,SUMPRODUCT(B117:I117,$B$76:$I$76)/SUMPRODUCT($B$76:$I$76))</f>
        <v>3.7894766815827291E-2</v>
      </c>
      <c r="L117" s="242" t="s">
        <v>411</v>
      </c>
      <c r="M117" s="277">
        <v>7.4575202697145529E-2</v>
      </c>
      <c r="N117" s="61">
        <v>8.3391518993873745E-2</v>
      </c>
      <c r="O117" s="61">
        <v>7.4201356688927161E-2</v>
      </c>
      <c r="P117" s="61">
        <v>8.322061685439415E-2</v>
      </c>
      <c r="Q117" s="61">
        <v>7.3362348956311135E-2</v>
      </c>
      <c r="R117" s="61">
        <v>8.2515197093714368E-2</v>
      </c>
      <c r="S117" s="61">
        <v>6.6615722216688114E-2</v>
      </c>
      <c r="T117" s="278">
        <v>7.5751895983138112E-2</v>
      </c>
      <c r="U117" s="346">
        <f>IF(SUMPRODUCT($B$76:$I$76)=0,0,SUMPRODUCT(M117:T117,$B$76:$I$76)/SUMPRODUCT($B$76:$I$76))</f>
        <v>7.9916780128146694E-2</v>
      </c>
      <c r="W117" s="242" t="s">
        <v>411</v>
      </c>
      <c r="X117" s="277">
        <v>1.7284871602655231E-4</v>
      </c>
      <c r="Y117" s="61">
        <v>1.2041791501192414E-4</v>
      </c>
      <c r="Z117" s="61">
        <v>1.9487305145735365E-4</v>
      </c>
      <c r="AA117" s="61">
        <v>1.3119915485651954E-4</v>
      </c>
      <c r="AB117" s="61">
        <v>2.1281969157269784E-4</v>
      </c>
      <c r="AC117" s="61">
        <v>1.4056526254815389E-4</v>
      </c>
      <c r="AD117" s="61">
        <v>3.5473296045603493E-4</v>
      </c>
      <c r="AE117" s="278">
        <v>2.1121848264755489E-4</v>
      </c>
      <c r="AF117" s="346">
        <f>IF(SUMPRODUCT($B$76:$I$76)=0,0,SUMPRODUCT(X117:AE117,$B$76:$I$76)/SUMPRODUCT($B$76:$I$76))</f>
        <v>1.503244033372614E-4</v>
      </c>
      <c r="AH117" s="242" t="s">
        <v>411</v>
      </c>
      <c r="AI117" s="277">
        <v>-5.620888017896071E-2</v>
      </c>
      <c r="AJ117" s="61">
        <v>-5.9289181213219605E-2</v>
      </c>
      <c r="AK117" s="61">
        <v>-5.1125756474663053E-2</v>
      </c>
      <c r="AL117" s="61">
        <v>-5.4302771346452283E-2</v>
      </c>
      <c r="AM117" s="61">
        <v>-5.8945911884989086E-2</v>
      </c>
      <c r="AN117" s="61">
        <v>-6.1873030965803252E-2</v>
      </c>
      <c r="AO117" s="61">
        <v>-4.1412087861387434E-2</v>
      </c>
      <c r="AP117" s="278">
        <v>-4.3243152085523866E-2</v>
      </c>
      <c r="AQ117" s="346">
        <f>IF(SUMPRODUCT($B$76:$I$76)=0,0,SUMPRODUCT(AI117:AP117,$B$76:$I$76)/SUMPRODUCT($B$76:$I$76))</f>
        <v>-5.6711808460837322E-2</v>
      </c>
      <c r="AS117" s="242" t="s">
        <v>411</v>
      </c>
      <c r="AT117" s="277">
        <v>1.4628881218767716E-2</v>
      </c>
      <c r="AU117" s="61">
        <v>1.4475848081717192E-2</v>
      </c>
      <c r="AV117" s="61">
        <v>1.4753519597656948E-2</v>
      </c>
      <c r="AW117" s="61">
        <v>1.4610571612662309E-2</v>
      </c>
      <c r="AX117" s="61">
        <v>1.4822254656226443E-2</v>
      </c>
      <c r="AY117" s="61">
        <v>1.4727443209399612E-2</v>
      </c>
      <c r="AZ117" s="61">
        <v>8.9701431410311554E-3</v>
      </c>
      <c r="BA117" s="278">
        <v>8.9233313515988174E-3</v>
      </c>
      <c r="BB117" s="346">
        <f>IF(SUMPRODUCT($B$76:$I$76)=0,0,SUMPRODUCT(AT117:BA117,$B$76:$I$76)/SUMPRODUCT($B$76:$I$76))</f>
        <v>1.441291488106624E-2</v>
      </c>
    </row>
    <row r="118" spans="1:54" x14ac:dyDescent="0.3">
      <c r="A118" s="242" t="s">
        <v>413</v>
      </c>
      <c r="B118" s="277">
        <v>2.8368754286446085E-2</v>
      </c>
      <c r="C118" s="61">
        <v>3.3876805243103283E-2</v>
      </c>
      <c r="D118" s="61">
        <v>3.2182287760072537E-2</v>
      </c>
      <c r="E118" s="61">
        <v>3.783062858447795E-2</v>
      </c>
      <c r="F118" s="61">
        <v>2.4372318105790127E-2</v>
      </c>
      <c r="G118" s="61">
        <v>3.0168779808970227E-2</v>
      </c>
      <c r="H118" s="61">
        <v>3.5229428356199959E-2</v>
      </c>
      <c r="I118" s="278">
        <v>4.3234807625500554E-2</v>
      </c>
      <c r="J118" s="346">
        <f>IF(SUMPRODUCT($B$77:$I$77)=0,0,SUMPRODUCT(B118:I118,$B$77:$I$77)/SUMPRODUCT($B$77:$I$77))</f>
        <v>3.3122062214708821E-2</v>
      </c>
      <c r="L118" s="242" t="s">
        <v>413</v>
      </c>
      <c r="M118" s="277">
        <v>5.9306388009785403E-2</v>
      </c>
      <c r="N118" s="61">
        <v>6.8377101499283971E-2</v>
      </c>
      <c r="O118" s="61">
        <v>5.8638711762549492E-2</v>
      </c>
      <c r="P118" s="61">
        <v>6.785799474436599E-2</v>
      </c>
      <c r="Q118" s="61">
        <v>5.7494696767134111E-2</v>
      </c>
      <c r="R118" s="61">
        <v>6.6760666619338632E-2</v>
      </c>
      <c r="S118" s="61">
        <v>5.0322184219229259E-2</v>
      </c>
      <c r="T118" s="278">
        <v>5.9076750196764068E-2</v>
      </c>
      <c r="U118" s="346">
        <f>IF(SUMPRODUCT($B$77:$I$77)=0,0,SUMPRODUCT(M118:T118,$B$77:$I$77)/SUMPRODUCT($B$77:$I$77))</f>
        <v>6.5158809786673891E-2</v>
      </c>
      <c r="W118" s="242" t="s">
        <v>413</v>
      </c>
      <c r="X118" s="277">
        <v>3.0387618261842691E-4</v>
      </c>
      <c r="Y118" s="61">
        <v>1.9696502976324366E-4</v>
      </c>
      <c r="Z118" s="61">
        <v>3.5467168695276733E-4</v>
      </c>
      <c r="AA118" s="61">
        <v>2.2302504762071657E-4</v>
      </c>
      <c r="AB118" s="61">
        <v>4.0907154854403517E-4</v>
      </c>
      <c r="AC118" s="61">
        <v>2.4992494126398982E-4</v>
      </c>
      <c r="AD118" s="61">
        <v>8.1094887268116055E-4</v>
      </c>
      <c r="AE118" s="278">
        <v>4.5202675388284895E-4</v>
      </c>
      <c r="AF118" s="346">
        <f>IF(SUMPRODUCT($B$77:$I$77)=0,0,SUMPRODUCT(X118:AE118,$B$77:$I$77)/SUMPRODUCT($B$77:$I$77))</f>
        <v>2.5610658452833641E-4</v>
      </c>
      <c r="AH118" s="242" t="s">
        <v>413</v>
      </c>
      <c r="AI118" s="277">
        <v>-4.5534866866521861E-2</v>
      </c>
      <c r="AJ118" s="61">
        <v>-4.8523195013894967E-2</v>
      </c>
      <c r="AK118" s="61">
        <v>-4.1305710107076204E-2</v>
      </c>
      <c r="AL118" s="61">
        <v>-4.422931042920529E-2</v>
      </c>
      <c r="AM118" s="61">
        <v>-4.7728615898831039E-2</v>
      </c>
      <c r="AN118" s="61">
        <v>-5.049071620343841E-2</v>
      </c>
      <c r="AO118" s="61">
        <v>-2.4845545463094774E-2</v>
      </c>
      <c r="AP118" s="278">
        <v>-2.5142232108821671E-2</v>
      </c>
      <c r="AQ118" s="346">
        <f>IF(SUMPRODUCT($B$77:$I$77)=0,0,SUMPRODUCT(AI118:AP118,$B$77:$I$77)/SUMPRODUCT($B$77:$I$77))</f>
        <v>-4.6127096287673641E-2</v>
      </c>
      <c r="AS118" s="242" t="s">
        <v>413</v>
      </c>
      <c r="AT118" s="277">
        <v>1.4179677875549643E-2</v>
      </c>
      <c r="AU118" s="61">
        <v>1.3729596178629734E-2</v>
      </c>
      <c r="AV118" s="61">
        <v>1.4359528883176763E-2</v>
      </c>
      <c r="AW118" s="61">
        <v>1.3865447043726761E-2</v>
      </c>
      <c r="AX118" s="61">
        <v>1.4064405575167114E-2</v>
      </c>
      <c r="AY118" s="61">
        <v>1.3540758576672019E-2</v>
      </c>
      <c r="AZ118" s="61">
        <v>8.9418407453228411E-3</v>
      </c>
      <c r="BA118" s="278">
        <v>8.8482627836801182E-3</v>
      </c>
      <c r="BB118" s="346">
        <f>IF(SUMPRODUCT($B$77:$I$77)=0,0,SUMPRODUCT(AT118:BA118,$B$77:$I$77)/SUMPRODUCT($B$77:$I$77))</f>
        <v>1.3729013736397844E-2</v>
      </c>
    </row>
    <row r="119" spans="1:54" x14ac:dyDescent="0.3">
      <c r="A119" s="242" t="s">
        <v>412</v>
      </c>
      <c r="B119" s="277">
        <v>2.8057958924778678E-2</v>
      </c>
      <c r="C119" s="61">
        <v>3.3150730550101225E-2</v>
      </c>
      <c r="D119" s="61">
        <v>3.2581174735254577E-2</v>
      </c>
      <c r="E119" s="61">
        <v>3.7923156871570142E-2</v>
      </c>
      <c r="F119" s="61">
        <v>2.4041308657087819E-2</v>
      </c>
      <c r="G119" s="61">
        <v>3.0706542614104992E-2</v>
      </c>
      <c r="H119" s="61">
        <v>3.3415371846123747E-2</v>
      </c>
      <c r="I119" s="278">
        <v>4.5429926754916743E-2</v>
      </c>
      <c r="J119" s="346">
        <f>IF(SUMPRODUCT($B$78:$I$78)=0,0,SUMPRODUCT(B119:I119,$B$78:$I$78)/SUMPRODUCT($B$78:$I$78))</f>
        <v>3.2699437312564479E-2</v>
      </c>
      <c r="L119" s="242" t="s">
        <v>412</v>
      </c>
      <c r="M119" s="277">
        <v>4.3304216928372441E-2</v>
      </c>
      <c r="N119" s="61">
        <v>5.1829829438297975E-2</v>
      </c>
      <c r="O119" s="61">
        <v>4.2332944391790833E-2</v>
      </c>
      <c r="P119" s="61">
        <v>5.087912623967869E-2</v>
      </c>
      <c r="Q119" s="61">
        <v>4.1131819781348798E-2</v>
      </c>
      <c r="R119" s="61">
        <v>4.9539600876661032E-2</v>
      </c>
      <c r="S119" s="61">
        <v>3.4909915750695249E-2</v>
      </c>
      <c r="T119" s="278">
        <v>4.2276831436481269E-2</v>
      </c>
      <c r="U119" s="346">
        <f>IF(SUMPRODUCT($B$78:$I$78)=0,0,SUMPRODUCT(M119:T119,$B$78:$I$78)/SUMPRODUCT($B$78:$I$78))</f>
        <v>4.8848246456330638E-2</v>
      </c>
      <c r="W119" s="242" t="s">
        <v>412</v>
      </c>
      <c r="X119" s="277">
        <v>7.0406995355130246E-4</v>
      </c>
      <c r="Y119" s="61">
        <v>4.247434569964125E-4</v>
      </c>
      <c r="Z119" s="61">
        <v>8.7014814212307834E-4</v>
      </c>
      <c r="AA119" s="61">
        <v>5.1513064556458457E-4</v>
      </c>
      <c r="AB119" s="61">
        <v>1.0639492162650937E-3</v>
      </c>
      <c r="AC119" s="61">
        <v>6.3041473152547999E-4</v>
      </c>
      <c r="AD119" s="61">
        <v>2.3590272392925681E-3</v>
      </c>
      <c r="AE119" s="278">
        <v>1.3287113253765575E-3</v>
      </c>
      <c r="AF119" s="346">
        <f>IF(SUMPRODUCT($B$78:$I$78)=0,0,SUMPRODUCT(X119:AE119,$B$78:$I$78)/SUMPRODUCT($B$78:$I$78))</f>
        <v>5.7585029811799506E-4</v>
      </c>
      <c r="AH119" s="242" t="s">
        <v>412</v>
      </c>
      <c r="AI119" s="277">
        <v>-2.9663214402578318E-2</v>
      </c>
      <c r="AJ119" s="61">
        <v>-3.1658718810538923E-2</v>
      </c>
      <c r="AK119" s="61">
        <v>-2.4106462294046963E-2</v>
      </c>
      <c r="AL119" s="61">
        <v>-2.5618940574622443E-2</v>
      </c>
      <c r="AM119" s="61">
        <v>-3.1253402703402336E-2</v>
      </c>
      <c r="AN119" s="61">
        <v>-3.0777894392286904E-2</v>
      </c>
      <c r="AO119" s="61">
        <v>-1.2902986957991747E-2</v>
      </c>
      <c r="AP119" s="278">
        <v>-7.0248717048316811E-3</v>
      </c>
      <c r="AQ119" s="346">
        <f>IF(SUMPRODUCT($B$78:$I$78)=0,0,SUMPRODUCT(AI119:AP119,$B$78:$I$78)/SUMPRODUCT($B$78:$I$78))</f>
        <v>-2.9326817573041841E-2</v>
      </c>
      <c r="AS119" s="242" t="s">
        <v>412</v>
      </c>
      <c r="AT119" s="277">
        <v>1.3607720043109246E-2</v>
      </c>
      <c r="AU119" s="61">
        <v>1.2492057207113789E-2</v>
      </c>
      <c r="AV119" s="61">
        <v>1.3374102813504998E-2</v>
      </c>
      <c r="AW119" s="61">
        <v>1.2092650967255179E-2</v>
      </c>
      <c r="AX119" s="61">
        <v>1.2997358766704353E-2</v>
      </c>
      <c r="AY119" s="61">
        <v>1.1290040048584428E-2</v>
      </c>
      <c r="AZ119" s="61">
        <v>9.0494158254934461E-3</v>
      </c>
      <c r="BA119" s="278">
        <v>8.8492556978917395E-3</v>
      </c>
      <c r="BB119" s="346">
        <f>IF(SUMPRODUCT($B$78:$I$78)=0,0,SUMPRODUCT(AT119:BA119,$B$78:$I$78)/SUMPRODUCT($B$78:$I$78))</f>
        <v>1.2533143495664586E-2</v>
      </c>
    </row>
    <row r="120" spans="1:54" x14ac:dyDescent="0.3">
      <c r="A120" s="242" t="s">
        <v>414</v>
      </c>
      <c r="B120" s="277">
        <v>4.5115250841093475E-2</v>
      </c>
      <c r="C120" s="61">
        <v>4.6887460758275067E-2</v>
      </c>
      <c r="D120" s="61">
        <v>4.6578626884637049E-2</v>
      </c>
      <c r="E120" s="61">
        <v>5.0375196289025974E-2</v>
      </c>
      <c r="F120" s="61">
        <v>3.4303846969758842E-2</v>
      </c>
      <c r="G120" s="61">
        <v>4.0797344076105441E-2</v>
      </c>
      <c r="H120" s="61">
        <v>3.1261361940923174E-2</v>
      </c>
      <c r="I120" s="278">
        <v>4.5204670299863484E-2</v>
      </c>
      <c r="J120" s="346">
        <f>IF(SUMPRODUCT($B$79:$I$79)=0,0,SUMPRODUCT(B120:I120,$B$79:$I$79)/SUMPRODUCT($B$79:$I$79))</f>
        <v>4.6623319107753122E-2</v>
      </c>
      <c r="L120" s="242" t="s">
        <v>414</v>
      </c>
      <c r="M120" s="277">
        <v>2.7683761403081694E-2</v>
      </c>
      <c r="N120" s="61">
        <v>3.4763070888940956E-2</v>
      </c>
      <c r="O120" s="61">
        <v>2.6789101811442777E-2</v>
      </c>
      <c r="P120" s="61">
        <v>3.3712726555041657E-2</v>
      </c>
      <c r="Q120" s="61">
        <v>2.5817801773352321E-2</v>
      </c>
      <c r="R120" s="61">
        <v>3.2501482588428894E-2</v>
      </c>
      <c r="S120" s="61">
        <v>2.79396505861839E-2</v>
      </c>
      <c r="T120" s="278">
        <v>3.4403896911679561E-2</v>
      </c>
      <c r="U120" s="346">
        <f>IF(SUMPRODUCT($B$79:$I$79)=0,0,SUMPRODUCT(M120:T120,$B$79:$I$79)/SUMPRODUCT($B$79:$I$79))</f>
        <v>3.2454915511061895E-2</v>
      </c>
      <c r="W120" s="242" t="s">
        <v>414</v>
      </c>
      <c r="X120" s="277">
        <v>2.565206178737023E-3</v>
      </c>
      <c r="Y120" s="61">
        <v>1.4286405791949011E-3</v>
      </c>
      <c r="Z120" s="61">
        <v>3.0613807585342483E-3</v>
      </c>
      <c r="AA120" s="61">
        <v>1.7287370831409632E-3</v>
      </c>
      <c r="AB120" s="61">
        <v>3.6651830304748035E-3</v>
      </c>
      <c r="AC120" s="61">
        <v>2.1094191002584703E-3</v>
      </c>
      <c r="AD120" s="61">
        <v>4.4730866730189498E-3</v>
      </c>
      <c r="AE120" s="278">
        <v>2.5336228334800451E-3</v>
      </c>
      <c r="AF120" s="346">
        <f>IF(SUMPRODUCT($B$79:$I$79)=0,0,SUMPRODUCT(X120:AE120,$B$79:$I$79)/SUMPRODUCT($B$79:$I$79))</f>
        <v>1.8434373039670556E-3</v>
      </c>
      <c r="AH120" s="242" t="s">
        <v>414</v>
      </c>
      <c r="AI120" s="277">
        <v>3.1538130190596099E-3</v>
      </c>
      <c r="AJ120" s="61">
        <v>6.772141589721746E-4</v>
      </c>
      <c r="AK120" s="61">
        <v>4.9029930695627978E-3</v>
      </c>
      <c r="AL120" s="61">
        <v>4.9059286377861992E-3</v>
      </c>
      <c r="AM120" s="61">
        <v>-7.100513873472377E-3</v>
      </c>
      <c r="AN120" s="61">
        <v>-3.9205833216544288E-3</v>
      </c>
      <c r="AO120" s="61">
        <v>-1.0382346476262034E-2</v>
      </c>
      <c r="AP120" s="278">
        <v>-6.7901658034855844E-4</v>
      </c>
      <c r="AQ120" s="346">
        <f>IF(SUMPRODUCT($B$79:$I$79)=0,0,SUMPRODUCT(AI120:AP120,$B$79:$I$79)/SUMPRODUCT($B$79:$I$79))</f>
        <v>1.8023543229770905E-3</v>
      </c>
      <c r="AS120" s="242" t="s">
        <v>414</v>
      </c>
      <c r="AT120" s="277">
        <v>1.1645033384227376E-2</v>
      </c>
      <c r="AU120" s="61">
        <v>1.0018535131168481E-2</v>
      </c>
      <c r="AV120" s="61">
        <v>1.1746196595545075E-2</v>
      </c>
      <c r="AW120" s="61">
        <v>1.0027804013058606E-2</v>
      </c>
      <c r="AX120" s="61">
        <v>1.1836356425484211E-2</v>
      </c>
      <c r="AY120" s="61">
        <v>1.0107025709073831E-2</v>
      </c>
      <c r="AZ120" s="61">
        <v>9.2309711579835352E-3</v>
      </c>
      <c r="BA120" s="278">
        <v>8.9461671350536953E-3</v>
      </c>
      <c r="BB120" s="346">
        <f>IF(SUMPRODUCT($B$79:$I$79)=0,0,SUMPRODUCT(AT120:BA120,$B$79:$I$79)/SUMPRODUCT($B$79:$I$79))</f>
        <v>1.050235100166241E-2</v>
      </c>
    </row>
    <row r="121" spans="1:54" x14ac:dyDescent="0.3">
      <c r="A121" s="274" t="s">
        <v>415</v>
      </c>
      <c r="B121" s="279">
        <v>5.4053726604821023E-2</v>
      </c>
      <c r="C121" s="280">
        <v>6.580324280343787E-2</v>
      </c>
      <c r="D121" s="280">
        <v>5.0587112010976779E-2</v>
      </c>
      <c r="E121" s="280">
        <v>6.2424143963110343E-2</v>
      </c>
      <c r="F121" s="280">
        <v>3.4540959316200902E-2</v>
      </c>
      <c r="G121" s="280">
        <v>4.7530756031204921E-2</v>
      </c>
      <c r="H121" s="280"/>
      <c r="I121" s="281"/>
      <c r="J121" s="282">
        <f>IF(SUMPRODUCT($B$80:$I$80)=0,0,SUMPRODUCT(B121:I121,$B$80:$I$80)/SUMPRODUCT($B$80:$I$80))</f>
        <v>0</v>
      </c>
      <c r="L121" s="274" t="s">
        <v>415</v>
      </c>
      <c r="M121" s="279">
        <v>1.6359935462531731E-2</v>
      </c>
      <c r="N121" s="280">
        <v>2.0973072704122627E-2</v>
      </c>
      <c r="O121" s="280">
        <v>1.7947433297912867E-2</v>
      </c>
      <c r="P121" s="280">
        <v>2.2860044839627724E-2</v>
      </c>
      <c r="Q121" s="280">
        <v>1.9517524196695047E-2</v>
      </c>
      <c r="R121" s="280">
        <v>2.4730454223414394E-2</v>
      </c>
      <c r="S121" s="280"/>
      <c r="T121" s="281"/>
      <c r="U121" s="282">
        <f>IF(SUMPRODUCT($B$80:$I$80)=0,0,SUMPRODUCT(M121:T121,$B$80:$I$80)/SUMPRODUCT($B$80:$I$80))</f>
        <v>0</v>
      </c>
      <c r="W121" s="274" t="s">
        <v>415</v>
      </c>
      <c r="X121" s="279">
        <v>9.0515587905735662E-3</v>
      </c>
      <c r="Y121" s="280">
        <v>5.7263149945965949E-3</v>
      </c>
      <c r="Z121" s="280">
        <v>7.4996091368461654E-3</v>
      </c>
      <c r="AA121" s="280">
        <v>4.8886643171086337E-3</v>
      </c>
      <c r="AB121" s="280">
        <v>6.702816461185093E-3</v>
      </c>
      <c r="AC121" s="280">
        <v>4.3289315111827336E-3</v>
      </c>
      <c r="AD121" s="280"/>
      <c r="AE121" s="281"/>
      <c r="AF121" s="282">
        <f>IF(SUMPRODUCT($B$80:$I$80)=0,0,SUMPRODUCT(X121:AE121,$B$80:$I$80)/SUMPRODUCT($B$80:$I$80))</f>
        <v>0</v>
      </c>
      <c r="AH121" s="274" t="s">
        <v>415</v>
      </c>
      <c r="AI121" s="279">
        <v>1.2708574375832863E-2</v>
      </c>
      <c r="AJ121" s="280">
        <v>2.9419901943366251E-2</v>
      </c>
      <c r="AK121" s="280">
        <v>9.7550938533862864E-3</v>
      </c>
      <c r="AL121" s="280">
        <v>2.5407045889015795E-2</v>
      </c>
      <c r="AM121" s="280">
        <v>-6.3058188719411663E-3</v>
      </c>
      <c r="AN121" s="280">
        <v>8.8586412754871682E-3</v>
      </c>
      <c r="AO121" s="280"/>
      <c r="AP121" s="281"/>
      <c r="AQ121" s="282">
        <f>IF(SUMPRODUCT($B$80:$I$80)=0,0,SUMPRODUCT(AI121:AP121,$B$80:$I$80)/SUMPRODUCT($B$80:$I$80))</f>
        <v>0</v>
      </c>
      <c r="AS121" s="274" t="s">
        <v>415</v>
      </c>
      <c r="AT121" s="279">
        <v>1.5700023285412763E-2</v>
      </c>
      <c r="AU121" s="280">
        <v>9.6623455934853591E-3</v>
      </c>
      <c r="AV121" s="280">
        <v>1.5149740824958591E-2</v>
      </c>
      <c r="AW121" s="280">
        <v>9.2683889173599369E-3</v>
      </c>
      <c r="AX121" s="280">
        <v>1.4416469364842571E-2</v>
      </c>
      <c r="AY121" s="280">
        <v>9.6127290211221583E-3</v>
      </c>
      <c r="AZ121" s="280"/>
      <c r="BA121" s="281"/>
      <c r="BB121" s="282">
        <f>IF(SUMPRODUCT($B$80:$I$80)=0,0,SUMPRODUCT(AT121:BA121,$B$80:$I$80)/SUMPRODUCT($B$80:$I$80))</f>
        <v>0</v>
      </c>
    </row>
    <row r="122" spans="1:54" ht="16.8" thickBot="1" x14ac:dyDescent="0.35">
      <c r="A122" s="38" t="s">
        <v>276</v>
      </c>
      <c r="B122" s="462">
        <f>IF(SUM($B$72:$C$80)=0,0,SUMPRODUCT(B113:C121,$B$72:$C$80)/SUM($B$72:$C$80))</f>
        <v>3.5585919371926761E-2</v>
      </c>
      <c r="C122" s="463"/>
      <c r="D122" s="466">
        <f>IF(SUM($D$72:$E$80)=0,0,SUMPRODUCT(D113:E121,$D$72:$E$80)/SUM($D$72:$E$80))</f>
        <v>4.0604502345253618E-2</v>
      </c>
      <c r="E122" s="467"/>
      <c r="F122" s="466">
        <f>IF(SUM($F$72:$G$80)=0,0,SUMPRODUCT(F113:G121,$F$72:$G$80)/SUM($F$72:$G$80))</f>
        <v>3.2627309807884662E-2</v>
      </c>
      <c r="G122" s="467"/>
      <c r="H122" s="466">
        <f>IF(SUM($H$72:$I$80)=0,0,SUMPRODUCT(H113:I121,$H$72:$I$80)/SUM($H$72:$I$80))</f>
        <v>3.964165277367894E-2</v>
      </c>
      <c r="I122" s="469"/>
      <c r="J122" s="283">
        <f>SUMPRODUCT(B113:I121,$B$72:$I$80)</f>
        <v>3.6714599272665301E-2</v>
      </c>
      <c r="L122" s="38" t="s">
        <v>276</v>
      </c>
      <c r="M122" s="462">
        <f>IF(SUM($B$72:$C$80)=0,0,SUMPRODUCT(M113:N121,$B$72:$C$80)/SUM($B$72:$C$80))</f>
        <v>8.6858520983692844E-2</v>
      </c>
      <c r="N122" s="463"/>
      <c r="O122" s="466">
        <f>IF(SUM($D$72:$E$80)=0,0,SUMPRODUCT(O113:P121,$D$72:$E$80)/SUM($D$72:$E$80))</f>
        <v>8.7775691525372582E-2</v>
      </c>
      <c r="P122" s="467"/>
      <c r="Q122" s="466">
        <f>IF(SUM($F$72:$G$80)=0,0,SUMPRODUCT(Q113:R121,$F$72:$G$80)/SUM($F$72:$G$80))</f>
        <v>8.7956839704554715E-2</v>
      </c>
      <c r="R122" s="467"/>
      <c r="S122" s="466">
        <f>IF(SUM($H$72:$I$80)=0,0,SUMPRODUCT(S113:T121,$H$72:$I$80)/SUM($H$72:$I$80))</f>
        <v>9.0766686588950152E-2</v>
      </c>
      <c r="T122" s="469"/>
      <c r="U122" s="283">
        <f>SUMPRODUCT(M113:T121,$B$72:$I$80)</f>
        <v>8.7430036097702432E-2</v>
      </c>
      <c r="W122" s="38" t="s">
        <v>276</v>
      </c>
      <c r="X122" s="462">
        <f>IF(SUM($B$72:$C$80)=0,0,SUMPRODUCT(X113:Y121,$B$72:$C$80)/SUM($B$72:$C$80))</f>
        <v>1.7022533586821592E-4</v>
      </c>
      <c r="Y122" s="463"/>
      <c r="Z122" s="466">
        <f>IF(SUM($D$72:$E$80)=0,0,SUMPRODUCT(Z113:AA121,$D$72:$E$80)/SUM($D$72:$E$80))</f>
        <v>1.8358625498582202E-4</v>
      </c>
      <c r="AA122" s="467"/>
      <c r="AB122" s="466">
        <f>IF(SUM($F$72:$G$80)=0,0,SUMPRODUCT(AB113:AC121,$F$72:$G$80)/SUM($F$72:$G$80))</f>
        <v>2.0254011918603644E-4</v>
      </c>
      <c r="AC122" s="467"/>
      <c r="AD122" s="466">
        <f>IF(SUM($H$72:$I$80)=0,0,SUMPRODUCT(AD113:AE121,$H$72:$I$80)/SUM($H$72:$I$80))</f>
        <v>2.1743186100430117E-4</v>
      </c>
      <c r="AE122" s="469"/>
      <c r="AF122" s="283">
        <f>SUMPRODUCT(X113:AE121,$B$72:$I$80)</f>
        <v>1.8053239188928501E-4</v>
      </c>
      <c r="AH122" s="38" t="s">
        <v>276</v>
      </c>
      <c r="AI122" s="462">
        <f>IF(SUM($B$72:$C$80)=0,0,SUMPRODUCT(AI113:AJ121,$B$72:$C$80)/SUM($B$72:$C$80))</f>
        <v>-6.5933963840453982E-2</v>
      </c>
      <c r="AJ122" s="463"/>
      <c r="AK122" s="466">
        <f>IF(SUM($D$72:$E$80)=0,0,SUMPRODUCT(AK113:AL121,$D$72:$E$80)/SUM($D$72:$E$80))</f>
        <v>-6.2014461939734734E-2</v>
      </c>
      <c r="AL122" s="467"/>
      <c r="AM122" s="466">
        <f>IF(SUM($F$72:$G$80)=0,0,SUMPRODUCT(AM113:AN121,$F$72:$G$80)/SUM($F$72:$G$80))</f>
        <v>-7.0108099847291314E-2</v>
      </c>
      <c r="AN122" s="467"/>
      <c r="AO122" s="466">
        <f>IF(SUM($H$72:$I$80)=0,0,SUMPRODUCT(AO113:AP121,$H$72:$I$80)/SUM($H$72:$I$80))</f>
        <v>-6.1431421541902093E-2</v>
      </c>
      <c r="AP122" s="469"/>
      <c r="AQ122" s="283">
        <f>SUMPRODUCT(AI113:AP121,$B$72:$I$80)</f>
        <v>-6.5269800367823025E-2</v>
      </c>
      <c r="AS122" s="38" t="s">
        <v>276</v>
      </c>
      <c r="AT122" s="462">
        <f>IF(SUM($B$72:$C$80)=0,0,SUMPRODUCT(AT113:AU121,$B$72:$C$80)/SUM($B$72:$C$80))</f>
        <v>1.437501225242418E-2</v>
      </c>
      <c r="AU122" s="463"/>
      <c r="AV122" s="466">
        <f>IF(SUM($D$72:$E$80)=0,0,SUMPRODUCT(AV113:AW121,$D$72:$E$80)/SUM($D$72:$E$80))</f>
        <v>1.4523306926429669E-2</v>
      </c>
      <c r="AW122" s="467"/>
      <c r="AX122" s="466">
        <f>IF(SUM($F$72:$G$80)=0,0,SUMPRODUCT(AX113:AY121,$F$72:$G$80)/SUM($F$72:$G$80))</f>
        <v>1.4433019874756215E-2</v>
      </c>
      <c r="AY122" s="467"/>
      <c r="AZ122" s="466">
        <f>IF(SUM($H$72:$I$80)=0,0,SUMPRODUCT(AZ113:BA121,$H$72:$I$80)/SUM($H$72:$I$80))</f>
        <v>1.0031069301626316E-2</v>
      </c>
      <c r="BA122" s="469"/>
      <c r="BB122" s="283">
        <f>SUMPRODUCT(AT113:BA121,$B$72:$I$80)</f>
        <v>1.4250499329713945E-2</v>
      </c>
    </row>
    <row r="123" spans="1:54" ht="15" thickBot="1" x14ac:dyDescent="0.35"/>
    <row r="124" spans="1:54" ht="15" thickBot="1" x14ac:dyDescent="0.35">
      <c r="A124" s="344" t="s">
        <v>290</v>
      </c>
      <c r="B124" s="152" t="s">
        <v>234</v>
      </c>
      <c r="C124" s="46" t="s">
        <v>238</v>
      </c>
      <c r="D124" s="46" t="s">
        <v>242</v>
      </c>
      <c r="E124" s="46" t="s">
        <v>247</v>
      </c>
      <c r="F124" s="47" t="s">
        <v>252</v>
      </c>
    </row>
    <row r="125" spans="1:54" ht="15" thickTop="1" x14ac:dyDescent="0.3">
      <c r="A125" s="347" t="s">
        <v>18</v>
      </c>
      <c r="B125" s="265">
        <f>$B$122</f>
        <v>3.5585919371926761E-2</v>
      </c>
      <c r="C125" s="266">
        <f>$M$122</f>
        <v>8.6858520983692844E-2</v>
      </c>
      <c r="D125" s="266">
        <f>$X$122</f>
        <v>1.7022533586821592E-4</v>
      </c>
      <c r="E125" s="266">
        <f>$AI$122</f>
        <v>-6.5933963840453982E-2</v>
      </c>
      <c r="F125" s="267">
        <f>$AT$122</f>
        <v>1.437501225242418E-2</v>
      </c>
    </row>
    <row r="126" spans="1:54" x14ac:dyDescent="0.3">
      <c r="A126" s="242" t="s">
        <v>19</v>
      </c>
      <c r="B126" s="277">
        <f>$D$122</f>
        <v>4.0604502345253618E-2</v>
      </c>
      <c r="C126" s="61">
        <f>$O$122</f>
        <v>8.7775691525372582E-2</v>
      </c>
      <c r="D126" s="61">
        <f>$Z$122</f>
        <v>1.8358625498582202E-4</v>
      </c>
      <c r="E126" s="61">
        <f>$AK$122</f>
        <v>-6.2014461939734734E-2</v>
      </c>
      <c r="F126" s="62">
        <f>$AV$122</f>
        <v>1.4523306926429669E-2</v>
      </c>
    </row>
    <row r="127" spans="1:54" x14ac:dyDescent="0.3">
      <c r="A127" s="242" t="s">
        <v>20</v>
      </c>
      <c r="B127" s="277">
        <f>$F$122</f>
        <v>3.2627309807884662E-2</v>
      </c>
      <c r="C127" s="61">
        <f>$Q$122</f>
        <v>8.7956839704554715E-2</v>
      </c>
      <c r="D127" s="61">
        <f>$AB$122</f>
        <v>2.0254011918603644E-4</v>
      </c>
      <c r="E127" s="61">
        <f>$AM$122</f>
        <v>-7.0108099847291314E-2</v>
      </c>
      <c r="F127" s="62">
        <f>$AX$122</f>
        <v>1.4433019874756215E-2</v>
      </c>
    </row>
    <row r="128" spans="1:54" x14ac:dyDescent="0.3">
      <c r="A128" s="274" t="s">
        <v>21</v>
      </c>
      <c r="B128" s="279">
        <f>$H$122</f>
        <v>3.964165277367894E-2</v>
      </c>
      <c r="C128" s="280">
        <f>$S$122</f>
        <v>9.0766686588950152E-2</v>
      </c>
      <c r="D128" s="280">
        <f>$AD$122</f>
        <v>2.1743186100430117E-4</v>
      </c>
      <c r="E128" s="280">
        <f>$AO$122</f>
        <v>-6.1431421541902093E-2</v>
      </c>
      <c r="F128" s="294">
        <f>$AZ$122</f>
        <v>1.0031069301626316E-2</v>
      </c>
    </row>
    <row r="129" spans="1:54" ht="15" thickBot="1" x14ac:dyDescent="0.35">
      <c r="A129" s="38" t="s">
        <v>291</v>
      </c>
      <c r="B129" s="341">
        <f>$J$122</f>
        <v>3.6714599272665301E-2</v>
      </c>
      <c r="C129" s="342">
        <f>$U$122</f>
        <v>8.7430036097702432E-2</v>
      </c>
      <c r="D129" s="342">
        <f>$AF$122</f>
        <v>1.8053239188928501E-4</v>
      </c>
      <c r="E129" s="342">
        <f>$AQ$122</f>
        <v>-6.5269800367823025E-2</v>
      </c>
      <c r="F129" s="268">
        <f>$BB$122</f>
        <v>1.4250499329713945E-2</v>
      </c>
    </row>
    <row r="131" spans="1:54" ht="15" thickBot="1" x14ac:dyDescent="0.35">
      <c r="A131" s="236" t="s">
        <v>213</v>
      </c>
      <c r="B131" s="236" t="s">
        <v>297</v>
      </c>
      <c r="L131" s="236" t="s">
        <v>214</v>
      </c>
      <c r="M131" s="236" t="s">
        <v>298</v>
      </c>
      <c r="W131" s="236" t="s">
        <v>215</v>
      </c>
      <c r="X131" s="236" t="s">
        <v>299</v>
      </c>
      <c r="AH131" s="236" t="s">
        <v>226</v>
      </c>
      <c r="AI131" s="236" t="s">
        <v>300</v>
      </c>
      <c r="AS131" s="236" t="s">
        <v>227</v>
      </c>
      <c r="AT131" s="236" t="s">
        <v>189</v>
      </c>
    </row>
    <row r="132" spans="1:54" ht="16.2" x14ac:dyDescent="0.3">
      <c r="A132" s="79" t="s">
        <v>168</v>
      </c>
      <c r="B132" s="460" t="s">
        <v>18</v>
      </c>
      <c r="C132" s="461"/>
      <c r="D132" s="464" t="s">
        <v>19</v>
      </c>
      <c r="E132" s="465"/>
      <c r="F132" s="464" t="s">
        <v>20</v>
      </c>
      <c r="G132" s="465"/>
      <c r="H132" s="464" t="s">
        <v>21</v>
      </c>
      <c r="I132" s="468"/>
      <c r="J132" s="473" t="s">
        <v>276</v>
      </c>
      <c r="L132" s="79" t="s">
        <v>168</v>
      </c>
      <c r="M132" s="460" t="s">
        <v>18</v>
      </c>
      <c r="N132" s="461"/>
      <c r="O132" s="464" t="s">
        <v>19</v>
      </c>
      <c r="P132" s="465"/>
      <c r="Q132" s="464" t="s">
        <v>20</v>
      </c>
      <c r="R132" s="465"/>
      <c r="S132" s="464" t="s">
        <v>21</v>
      </c>
      <c r="T132" s="468"/>
      <c r="U132" s="473" t="s">
        <v>276</v>
      </c>
      <c r="W132" s="79" t="s">
        <v>168</v>
      </c>
      <c r="X132" s="460" t="s">
        <v>18</v>
      </c>
      <c r="Y132" s="461"/>
      <c r="Z132" s="464" t="s">
        <v>19</v>
      </c>
      <c r="AA132" s="465"/>
      <c r="AB132" s="464" t="s">
        <v>20</v>
      </c>
      <c r="AC132" s="465"/>
      <c r="AD132" s="464" t="s">
        <v>21</v>
      </c>
      <c r="AE132" s="468"/>
      <c r="AF132" s="473" t="s">
        <v>276</v>
      </c>
      <c r="AH132" s="79" t="s">
        <v>168</v>
      </c>
      <c r="AI132" s="460" t="s">
        <v>18</v>
      </c>
      <c r="AJ132" s="461"/>
      <c r="AK132" s="464" t="s">
        <v>19</v>
      </c>
      <c r="AL132" s="465"/>
      <c r="AM132" s="464" t="s">
        <v>20</v>
      </c>
      <c r="AN132" s="465"/>
      <c r="AO132" s="464" t="s">
        <v>21</v>
      </c>
      <c r="AP132" s="468"/>
      <c r="AQ132" s="473" t="s">
        <v>276</v>
      </c>
      <c r="AS132" s="79" t="s">
        <v>168</v>
      </c>
      <c r="AT132" s="460" t="s">
        <v>18</v>
      </c>
      <c r="AU132" s="461"/>
      <c r="AV132" s="464" t="s">
        <v>19</v>
      </c>
      <c r="AW132" s="465"/>
      <c r="AX132" s="464" t="s">
        <v>20</v>
      </c>
      <c r="AY132" s="465"/>
      <c r="AZ132" s="464" t="s">
        <v>21</v>
      </c>
      <c r="BA132" s="468"/>
      <c r="BB132" s="473" t="s">
        <v>276</v>
      </c>
    </row>
    <row r="133" spans="1:54" ht="15" thickBot="1" x14ac:dyDescent="0.35">
      <c r="A133" s="80" t="s">
        <v>289</v>
      </c>
      <c r="B133" s="78" t="s">
        <v>278</v>
      </c>
      <c r="C133" s="76" t="s">
        <v>279</v>
      </c>
      <c r="D133" s="76" t="s">
        <v>278</v>
      </c>
      <c r="E133" s="76" t="s">
        <v>279</v>
      </c>
      <c r="F133" s="76" t="s">
        <v>278</v>
      </c>
      <c r="G133" s="76" t="s">
        <v>279</v>
      </c>
      <c r="H133" s="76" t="s">
        <v>278</v>
      </c>
      <c r="I133" s="275" t="s">
        <v>279</v>
      </c>
      <c r="J133" s="474"/>
      <c r="L133" s="80" t="s">
        <v>289</v>
      </c>
      <c r="M133" s="78" t="s">
        <v>278</v>
      </c>
      <c r="N133" s="76" t="s">
        <v>279</v>
      </c>
      <c r="O133" s="76" t="s">
        <v>278</v>
      </c>
      <c r="P133" s="76" t="s">
        <v>279</v>
      </c>
      <c r="Q133" s="76" t="s">
        <v>278</v>
      </c>
      <c r="R133" s="76" t="s">
        <v>279</v>
      </c>
      <c r="S133" s="76" t="s">
        <v>278</v>
      </c>
      <c r="T133" s="275" t="s">
        <v>279</v>
      </c>
      <c r="U133" s="474"/>
      <c r="W133" s="80" t="s">
        <v>289</v>
      </c>
      <c r="X133" s="78" t="s">
        <v>278</v>
      </c>
      <c r="Y133" s="76" t="s">
        <v>279</v>
      </c>
      <c r="Z133" s="76" t="s">
        <v>278</v>
      </c>
      <c r="AA133" s="76" t="s">
        <v>279</v>
      </c>
      <c r="AB133" s="76" t="s">
        <v>278</v>
      </c>
      <c r="AC133" s="76" t="s">
        <v>279</v>
      </c>
      <c r="AD133" s="76" t="s">
        <v>278</v>
      </c>
      <c r="AE133" s="275" t="s">
        <v>279</v>
      </c>
      <c r="AF133" s="474"/>
      <c r="AH133" s="80" t="s">
        <v>289</v>
      </c>
      <c r="AI133" s="78" t="s">
        <v>278</v>
      </c>
      <c r="AJ133" s="76" t="s">
        <v>279</v>
      </c>
      <c r="AK133" s="76" t="s">
        <v>278</v>
      </c>
      <c r="AL133" s="76" t="s">
        <v>279</v>
      </c>
      <c r="AM133" s="76" t="s">
        <v>278</v>
      </c>
      <c r="AN133" s="76" t="s">
        <v>279</v>
      </c>
      <c r="AO133" s="76" t="s">
        <v>278</v>
      </c>
      <c r="AP133" s="275" t="s">
        <v>279</v>
      </c>
      <c r="AQ133" s="474"/>
      <c r="AS133" s="80" t="s">
        <v>289</v>
      </c>
      <c r="AT133" s="78" t="s">
        <v>278</v>
      </c>
      <c r="AU133" s="76" t="s">
        <v>279</v>
      </c>
      <c r="AV133" s="76" t="s">
        <v>278</v>
      </c>
      <c r="AW133" s="76" t="s">
        <v>279</v>
      </c>
      <c r="AX133" s="76" t="s">
        <v>278</v>
      </c>
      <c r="AY133" s="76" t="s">
        <v>279</v>
      </c>
      <c r="AZ133" s="76" t="s">
        <v>278</v>
      </c>
      <c r="BA133" s="275" t="s">
        <v>279</v>
      </c>
      <c r="BB133" s="474"/>
    </row>
    <row r="134" spans="1:54" ht="15" thickTop="1" x14ac:dyDescent="0.3">
      <c r="A134" s="410" t="s">
        <v>407</v>
      </c>
      <c r="B134" s="265">
        <v>0.17368211376825324</v>
      </c>
      <c r="C134" s="266">
        <v>0.18591470842091895</v>
      </c>
      <c r="D134" s="266">
        <v>0.25163176537826465</v>
      </c>
      <c r="E134" s="266">
        <v>0.26666740813011863</v>
      </c>
      <c r="F134" s="266">
        <v>0.24257718538295073</v>
      </c>
      <c r="G134" s="266">
        <v>0.25960542734992037</v>
      </c>
      <c r="H134" s="266">
        <v>0.45375017508484844</v>
      </c>
      <c r="I134" s="276">
        <v>0.47669885165441295</v>
      </c>
      <c r="J134" s="345">
        <f>IF(SUMPRODUCT($B$72:$I$72)=0,0,SUMPRODUCT(B134:I134,$B$72:$I$72)/SUMPRODUCT($B$72:$I$72))</f>
        <v>0.2506401236130158</v>
      </c>
      <c r="L134" s="410" t="s">
        <v>407</v>
      </c>
      <c r="M134" s="156">
        <v>307768.56851510907</v>
      </c>
      <c r="N134" s="157">
        <v>332609.6760780894</v>
      </c>
      <c r="O134" s="157">
        <v>379849.28418130963</v>
      </c>
      <c r="P134" s="157">
        <v>406972.94932763709</v>
      </c>
      <c r="Q134" s="157">
        <v>324759.23147202772</v>
      </c>
      <c r="R134" s="157">
        <v>351217.2148936016</v>
      </c>
      <c r="S134" s="157">
        <v>286003.73625843175</v>
      </c>
      <c r="T134" s="295">
        <v>309911.33715739771</v>
      </c>
      <c r="U134" s="296">
        <f>IF(SUMPRODUCT($B$72:$I$72)=0,0,SUMPRODUCT(M134:T134,$B$72:$I$72)/SUMPRODUCT($B$72:$I$72))</f>
        <v>338437.68882248976</v>
      </c>
      <c r="W134" s="410" t="s">
        <v>407</v>
      </c>
      <c r="X134" s="156">
        <v>22</v>
      </c>
      <c r="Y134" s="157">
        <v>22</v>
      </c>
      <c r="Z134" s="157">
        <v>19</v>
      </c>
      <c r="AA134" s="157">
        <v>19</v>
      </c>
      <c r="AB134" s="157">
        <v>26</v>
      </c>
      <c r="AC134" s="157">
        <v>27</v>
      </c>
      <c r="AD134" s="157">
        <v>25</v>
      </c>
      <c r="AE134" s="295">
        <v>26</v>
      </c>
      <c r="AF134" s="296">
        <f>IF(SUMPRODUCT($B$72:$I$72)=0,0,SUMPRODUCT(X134:AE134,$B$72:$I$72)/SUMPRODUCT($B$72:$I$72))</f>
        <v>22.399152554176567</v>
      </c>
      <c r="AH134" s="410" t="s">
        <v>407</v>
      </c>
      <c r="AI134" s="156">
        <v>7</v>
      </c>
      <c r="AJ134" s="157">
        <v>7</v>
      </c>
      <c r="AK134" s="157">
        <v>9</v>
      </c>
      <c r="AL134" s="157">
        <v>9</v>
      </c>
      <c r="AM134" s="157">
        <v>11</v>
      </c>
      <c r="AN134" s="157">
        <v>11</v>
      </c>
      <c r="AO134" s="157">
        <v>9</v>
      </c>
      <c r="AP134" s="295">
        <v>10</v>
      </c>
      <c r="AQ134" s="296">
        <f>IF(SUMPRODUCT($B$72:$I$72)=0,0,SUMPRODUCT(AI134:AP134,$B$72:$I$72)/SUMPRODUCT($B$72:$I$72))</f>
        <v>8.5290287682943173</v>
      </c>
      <c r="AS134" s="410" t="s">
        <v>407</v>
      </c>
      <c r="AT134" s="265">
        <v>8.0903269601953098E-2</v>
      </c>
      <c r="AU134" s="266">
        <v>8.0579817856787209E-2</v>
      </c>
      <c r="AV134" s="266">
        <v>9.6352750859262482E-2</v>
      </c>
      <c r="AW134" s="266">
        <v>9.4354363646644679E-2</v>
      </c>
      <c r="AX134" s="266">
        <v>6.7493733936149922E-2</v>
      </c>
      <c r="AY134" s="266">
        <v>6.6816710763089468E-2</v>
      </c>
      <c r="AZ134" s="266">
        <v>8.8947034379503367E-2</v>
      </c>
      <c r="BA134" s="276">
        <v>8.160585433419193E-2</v>
      </c>
      <c r="BB134" s="345">
        <f>IF(SUMPRODUCT($B$72:$I$72)=0,0,SUMPRODUCT(AT134:BA134,$B$72:$I$72)/SUMPRODUCT($B$72:$I$72))</f>
        <v>8.3108070483824223E-2</v>
      </c>
    </row>
    <row r="135" spans="1:54" x14ac:dyDescent="0.3">
      <c r="A135" s="242" t="s">
        <v>408</v>
      </c>
      <c r="B135" s="277">
        <v>0.15653548304189011</v>
      </c>
      <c r="C135" s="61">
        <v>0.17091629982596726</v>
      </c>
      <c r="D135" s="61">
        <v>0.22856349154540864</v>
      </c>
      <c r="E135" s="61">
        <v>0.24667292510245267</v>
      </c>
      <c r="F135" s="61">
        <v>0.21348475497486841</v>
      </c>
      <c r="G135" s="61">
        <v>0.23458172100666347</v>
      </c>
      <c r="H135" s="61">
        <v>0.40002217395291678</v>
      </c>
      <c r="I135" s="278">
        <v>0.43072323225486203</v>
      </c>
      <c r="J135" s="346">
        <f>IF(SUMPRODUCT($B$73:$I$73)=0,0,SUMPRODUCT(B135:I135,$B$73:$I$73)/SUMPRODUCT($B$73:$I$73))</f>
        <v>0.20321137645751733</v>
      </c>
      <c r="L135" s="242" t="s">
        <v>408</v>
      </c>
      <c r="M135" s="284">
        <v>210509.34057173217</v>
      </c>
      <c r="N135" s="285">
        <v>232139.4759842334</v>
      </c>
      <c r="O135" s="285">
        <v>261810.60985290815</v>
      </c>
      <c r="P135" s="285">
        <v>285797.69790716784</v>
      </c>
      <c r="Q135" s="285">
        <v>217752.08768581456</v>
      </c>
      <c r="R135" s="285">
        <v>241530.69010061657</v>
      </c>
      <c r="S135" s="285">
        <v>191697.4520428821</v>
      </c>
      <c r="T135" s="297">
        <v>212818.44215392714</v>
      </c>
      <c r="U135" s="246">
        <f>IF(SUMPRODUCT($B$73:$I$73)=0,0,SUMPRODUCT(M135:T135,$B$73:$I$73)/SUMPRODUCT($B$73:$I$73))</f>
        <v>234549.37774720584</v>
      </c>
      <c r="W135" s="242" t="s">
        <v>408</v>
      </c>
      <c r="X135" s="284">
        <v>21</v>
      </c>
      <c r="Y135" s="285">
        <v>21</v>
      </c>
      <c r="Z135" s="285">
        <v>18</v>
      </c>
      <c r="AA135" s="285">
        <v>19</v>
      </c>
      <c r="AB135" s="285">
        <v>26</v>
      </c>
      <c r="AC135" s="285">
        <v>26</v>
      </c>
      <c r="AD135" s="285">
        <v>25</v>
      </c>
      <c r="AE135" s="297">
        <v>26</v>
      </c>
      <c r="AF135" s="246">
        <f>IF(SUMPRODUCT($B$73:$I$73)=0,0,SUMPRODUCT(X135:AE135,$B$73:$I$73)/SUMPRODUCT($B$73:$I$73))</f>
        <v>21.203459013376843</v>
      </c>
      <c r="AH135" s="242" t="s">
        <v>408</v>
      </c>
      <c r="AI135" s="284">
        <v>7</v>
      </c>
      <c r="AJ135" s="285">
        <v>7</v>
      </c>
      <c r="AK135" s="285">
        <v>9</v>
      </c>
      <c r="AL135" s="285">
        <v>9</v>
      </c>
      <c r="AM135" s="285">
        <v>11</v>
      </c>
      <c r="AN135" s="285">
        <v>11</v>
      </c>
      <c r="AO135" s="285">
        <v>9</v>
      </c>
      <c r="AP135" s="297">
        <v>9</v>
      </c>
      <c r="AQ135" s="246">
        <f>IF(SUMPRODUCT($B$73:$I$73)=0,0,SUMPRODUCT(AI135:AP135,$B$73:$I$73)/SUMPRODUCT($B$73:$I$73))</f>
        <v>8.1993460523900605</v>
      </c>
      <c r="AS135" s="242" t="s">
        <v>408</v>
      </c>
      <c r="AT135" s="277">
        <v>8.2471229196173459E-2</v>
      </c>
      <c r="AU135" s="61">
        <v>8.2039314750808751E-2</v>
      </c>
      <c r="AV135" s="61">
        <v>9.9195114182565894E-2</v>
      </c>
      <c r="AW135" s="61">
        <v>9.674348957171873E-2</v>
      </c>
      <c r="AX135" s="61">
        <v>6.7381303207415186E-2</v>
      </c>
      <c r="AY135" s="61">
        <v>6.7021675365449951E-2</v>
      </c>
      <c r="AZ135" s="61">
        <v>8.9823699492136658E-2</v>
      </c>
      <c r="BA135" s="278">
        <v>8.2631464230424681E-2</v>
      </c>
      <c r="BB135" s="346">
        <f>IF(SUMPRODUCT($B$73:$I$73)=0,0,SUMPRODUCT(AT135:BA135,$B$73:$I$73)/SUMPRODUCT($B$73:$I$73))</f>
        <v>8.4742713031328229E-2</v>
      </c>
    </row>
    <row r="136" spans="1:54" x14ac:dyDescent="0.3">
      <c r="A136" s="242" t="s">
        <v>409</v>
      </c>
      <c r="B136" s="277">
        <v>0.13031888217202833</v>
      </c>
      <c r="C136" s="61">
        <v>0.14773787647820646</v>
      </c>
      <c r="D136" s="61">
        <v>0.19389295627965381</v>
      </c>
      <c r="E136" s="61">
        <v>0.2159187921400359</v>
      </c>
      <c r="F136" s="61">
        <v>0.1710383972538787</v>
      </c>
      <c r="G136" s="61">
        <v>0.19683737561665365</v>
      </c>
      <c r="H136" s="61">
        <v>0.32537713187100431</v>
      </c>
      <c r="I136" s="278">
        <v>0.3641849640558717</v>
      </c>
      <c r="J136" s="346">
        <f>IF(SUMPRODUCT($B$74:$I$74)=0,0,SUMPRODUCT(B136:I136,$B$74:$I$74)/SUMPRODUCT($B$74:$I$74))</f>
        <v>0.17407379154415289</v>
      </c>
      <c r="L136" s="242" t="s">
        <v>409</v>
      </c>
      <c r="M136" s="284">
        <v>133927.58820217883</v>
      </c>
      <c r="N136" s="285">
        <v>152965.9478818283</v>
      </c>
      <c r="O136" s="285">
        <v>169275.05793993888</v>
      </c>
      <c r="P136" s="285">
        <v>190441.88808946952</v>
      </c>
      <c r="Q136" s="285">
        <v>134363.45684123391</v>
      </c>
      <c r="R136" s="285">
        <v>155385.20077134625</v>
      </c>
      <c r="S136" s="285">
        <v>119196.27436417107</v>
      </c>
      <c r="T136" s="297">
        <v>137315.22736188074</v>
      </c>
      <c r="U136" s="246">
        <f>IF(SUMPRODUCT($B$74:$I$74)=0,0,SUMPRODUCT(M136:T136,$B$74:$I$74)/SUMPRODUCT($B$74:$I$74))</f>
        <v>152709.40040816515</v>
      </c>
      <c r="W136" s="242" t="s">
        <v>409</v>
      </c>
      <c r="X136" s="284">
        <v>21</v>
      </c>
      <c r="Y136" s="285">
        <v>21</v>
      </c>
      <c r="Z136" s="285">
        <v>19</v>
      </c>
      <c r="AA136" s="285">
        <v>19</v>
      </c>
      <c r="AB136" s="285">
        <v>26</v>
      </c>
      <c r="AC136" s="285">
        <v>27</v>
      </c>
      <c r="AD136" s="285">
        <v>25</v>
      </c>
      <c r="AE136" s="297">
        <v>26</v>
      </c>
      <c r="AF136" s="246">
        <f>IF(SUMPRODUCT($B$74:$I$74)=0,0,SUMPRODUCT(X136:AE136,$B$74:$I$74)/SUMPRODUCT($B$74:$I$74))</f>
        <v>21.511547703151223</v>
      </c>
      <c r="AH136" s="242" t="s">
        <v>409</v>
      </c>
      <c r="AI136" s="284">
        <v>7</v>
      </c>
      <c r="AJ136" s="285">
        <v>7</v>
      </c>
      <c r="AK136" s="285">
        <v>9</v>
      </c>
      <c r="AL136" s="285">
        <v>9</v>
      </c>
      <c r="AM136" s="285">
        <v>11</v>
      </c>
      <c r="AN136" s="285">
        <v>11</v>
      </c>
      <c r="AO136" s="285">
        <v>9</v>
      </c>
      <c r="AP136" s="297">
        <v>8</v>
      </c>
      <c r="AQ136" s="246">
        <f>IF(SUMPRODUCT($B$74:$I$74)=0,0,SUMPRODUCT(AI136:AP136,$B$74:$I$74)/SUMPRODUCT($B$74:$I$74))</f>
        <v>8.2702400595254648</v>
      </c>
      <c r="AS136" s="242" t="s">
        <v>409</v>
      </c>
      <c r="AT136" s="277">
        <v>7.9806486836908802E-2</v>
      </c>
      <c r="AU136" s="61">
        <v>8.0678884118794467E-2</v>
      </c>
      <c r="AV136" s="61">
        <v>9.6465091765778097E-2</v>
      </c>
      <c r="AW136" s="61">
        <v>9.5411602338255838E-2</v>
      </c>
      <c r="AX136" s="61">
        <v>6.4389792589505196E-2</v>
      </c>
      <c r="AY136" s="61">
        <v>6.5122747640752765E-2</v>
      </c>
      <c r="AZ136" s="61">
        <v>8.5801428458746887E-2</v>
      </c>
      <c r="BA136" s="278">
        <v>8.0604297418338286E-2</v>
      </c>
      <c r="BB136" s="346">
        <f>IF(SUMPRODUCT($B$74:$I$74)=0,0,SUMPRODUCT(AT136:BA136,$B$74:$I$74)/SUMPRODUCT($B$74:$I$74))</f>
        <v>8.2394378302406548E-2</v>
      </c>
    </row>
    <row r="137" spans="1:54" x14ac:dyDescent="0.3">
      <c r="A137" s="242" t="s">
        <v>410</v>
      </c>
      <c r="B137" s="277">
        <v>0.10048187565087864</v>
      </c>
      <c r="C137" s="61">
        <v>0.12239251407387869</v>
      </c>
      <c r="D137" s="61">
        <v>0.15429817550728006</v>
      </c>
      <c r="E137" s="61">
        <v>0.18338051536909983</v>
      </c>
      <c r="F137" s="61">
        <v>0.12901686676486956</v>
      </c>
      <c r="G137" s="61">
        <v>0.15823816239096025</v>
      </c>
      <c r="H137" s="61">
        <v>0.23823432210158385</v>
      </c>
      <c r="I137" s="278">
        <v>0.28323582734104663</v>
      </c>
      <c r="J137" s="346">
        <f>IF(SUMPRODUCT($B$75:$I$75)=0,0,SUMPRODUCT(B137:I137,$B$75:$I$75)/SUMPRODUCT($B$75:$I$75))</f>
        <v>0.13882434832860019</v>
      </c>
      <c r="L137" s="242" t="s">
        <v>410</v>
      </c>
      <c r="M137" s="284">
        <v>79147.823844925297</v>
      </c>
      <c r="N137" s="285">
        <v>96404.256065308859</v>
      </c>
      <c r="O137" s="285">
        <v>102732.24853066326</v>
      </c>
      <c r="P137" s="285">
        <v>122657.30269651454</v>
      </c>
      <c r="Q137" s="285">
        <v>77978.830362188091</v>
      </c>
      <c r="R137" s="285">
        <v>95467.088712188663</v>
      </c>
      <c r="S137" s="285">
        <v>67141.196914436558</v>
      </c>
      <c r="T137" s="297">
        <v>81861.287091511855</v>
      </c>
      <c r="U137" s="246">
        <f>IF(SUMPRODUCT($B$75:$I$75)=0,0,SUMPRODUCT(M137:T137,$B$75:$I$75)/SUMPRODUCT($B$75:$I$75))</f>
        <v>94389.733263674294</v>
      </c>
      <c r="W137" s="242" t="s">
        <v>410</v>
      </c>
      <c r="X137" s="284">
        <v>22</v>
      </c>
      <c r="Y137" s="285">
        <v>21</v>
      </c>
      <c r="Z137" s="285">
        <v>19</v>
      </c>
      <c r="AA137" s="285">
        <v>18</v>
      </c>
      <c r="AB137" s="285">
        <v>26</v>
      </c>
      <c r="AC137" s="285">
        <v>26</v>
      </c>
      <c r="AD137" s="285">
        <v>25</v>
      </c>
      <c r="AE137" s="297">
        <v>26</v>
      </c>
      <c r="AF137" s="246">
        <f>IF(SUMPRODUCT($B$75:$I$75)=0,0,SUMPRODUCT(X137:AE137,$B$75:$I$75)/SUMPRODUCT($B$75:$I$75))</f>
        <v>21.475105977371136</v>
      </c>
      <c r="AH137" s="242" t="s">
        <v>410</v>
      </c>
      <c r="AI137" s="284">
        <v>7</v>
      </c>
      <c r="AJ137" s="285">
        <v>7</v>
      </c>
      <c r="AK137" s="285">
        <v>9</v>
      </c>
      <c r="AL137" s="285">
        <v>9</v>
      </c>
      <c r="AM137" s="285">
        <v>11</v>
      </c>
      <c r="AN137" s="285">
        <v>11</v>
      </c>
      <c r="AO137" s="285">
        <v>10</v>
      </c>
      <c r="AP137" s="297">
        <v>9</v>
      </c>
      <c r="AQ137" s="246">
        <f>IF(SUMPRODUCT($B$75:$I$75)=0,0,SUMPRODUCT(AI137:AP137,$B$75:$I$75)/SUMPRODUCT($B$75:$I$75))</f>
        <v>8.2627932953490753</v>
      </c>
      <c r="AS137" s="242" t="s">
        <v>410</v>
      </c>
      <c r="AT137" s="277">
        <v>7.6101463075859188E-2</v>
      </c>
      <c r="AU137" s="61">
        <v>8.0525895355230456E-2</v>
      </c>
      <c r="AV137" s="61">
        <v>9.3256239843059585E-2</v>
      </c>
      <c r="AW137" s="61">
        <v>9.808071077568771E-2</v>
      </c>
      <c r="AX137" s="61">
        <v>6.2342692963061858E-2</v>
      </c>
      <c r="AY137" s="61">
        <v>6.43476257405277E-2</v>
      </c>
      <c r="AZ137" s="61">
        <v>7.9107677860154005E-2</v>
      </c>
      <c r="BA137" s="278">
        <v>7.6567040356943103E-2</v>
      </c>
      <c r="BB137" s="346">
        <f>IF(SUMPRODUCT($B$75:$I$75)=0,0,SUMPRODUCT(AT137:BA137,$B$75:$I$75)/SUMPRODUCT($B$75:$I$75))</f>
        <v>8.1010907620434086E-2</v>
      </c>
    </row>
    <row r="138" spans="1:54" x14ac:dyDescent="0.3">
      <c r="A138" s="242" t="s">
        <v>411</v>
      </c>
      <c r="B138" s="277">
        <v>0.13808949532874015</v>
      </c>
      <c r="C138" s="61">
        <v>0.15946481468923829</v>
      </c>
      <c r="D138" s="61">
        <v>0.2014402323053808</v>
      </c>
      <c r="E138" s="61">
        <v>0.2291234738851203</v>
      </c>
      <c r="F138" s="61">
        <v>0.17912208100098917</v>
      </c>
      <c r="G138" s="61">
        <v>0.21472457475529227</v>
      </c>
      <c r="H138" s="61">
        <v>0.34592556265260099</v>
      </c>
      <c r="I138" s="278">
        <v>0.41883511839601151</v>
      </c>
      <c r="J138" s="346">
        <f>IF(SUMPRODUCT($B$76:$I$76)=0,0,SUMPRODUCT(B138:I138,$B$76:$I$76)/SUMPRODUCT($B$76:$I$76))</f>
        <v>0.18473177578390954</v>
      </c>
      <c r="L138" s="242" t="s">
        <v>411</v>
      </c>
      <c r="M138" s="284">
        <v>75031.738533617798</v>
      </c>
      <c r="N138" s="285">
        <v>87729.403795738777</v>
      </c>
      <c r="O138" s="285">
        <v>92581.265884509659</v>
      </c>
      <c r="P138" s="285">
        <v>106679.69596151504</v>
      </c>
      <c r="Q138" s="285">
        <v>71484.014415426747</v>
      </c>
      <c r="R138" s="285">
        <v>88027.804321693387</v>
      </c>
      <c r="S138" s="285">
        <v>66036.688480452838</v>
      </c>
      <c r="T138" s="297">
        <v>81003.021162261066</v>
      </c>
      <c r="U138" s="246">
        <f>IF(SUMPRODUCT($B$76:$I$76)=0,0,SUMPRODUCT(M138:T138,$B$76:$I$76)/SUMPRODUCT($B$76:$I$76))</f>
        <v>88004.830380999672</v>
      </c>
      <c r="W138" s="242" t="s">
        <v>411</v>
      </c>
      <c r="X138" s="284">
        <v>1</v>
      </c>
      <c r="Y138" s="285">
        <v>1</v>
      </c>
      <c r="Z138" s="285">
        <v>1</v>
      </c>
      <c r="AA138" s="285">
        <v>1</v>
      </c>
      <c r="AB138" s="285">
        <v>13</v>
      </c>
      <c r="AC138" s="285">
        <v>13</v>
      </c>
      <c r="AD138" s="285">
        <v>1</v>
      </c>
      <c r="AE138" s="297">
        <v>1</v>
      </c>
      <c r="AF138" s="246">
        <f>IF(SUMPRODUCT($B$76:$I$76)=0,0,SUMPRODUCT(X138:AE138,$B$76:$I$76)/SUMPRODUCT($B$76:$I$76))</f>
        <v>2.5807312657446833</v>
      </c>
      <c r="AH138" s="242" t="s">
        <v>411</v>
      </c>
      <c r="AI138" s="284">
        <v>7</v>
      </c>
      <c r="AJ138" s="285">
        <v>7</v>
      </c>
      <c r="AK138" s="285">
        <v>9</v>
      </c>
      <c r="AL138" s="285">
        <v>9</v>
      </c>
      <c r="AM138" s="285">
        <v>11</v>
      </c>
      <c r="AN138" s="285">
        <v>11</v>
      </c>
      <c r="AO138" s="285">
        <v>8</v>
      </c>
      <c r="AP138" s="297">
        <v>8</v>
      </c>
      <c r="AQ138" s="246">
        <f>IF(SUMPRODUCT($B$76:$I$76)=0,0,SUMPRODUCT(AI138:AP138,$B$76:$I$76)/SUMPRODUCT($B$76:$I$76))</f>
        <v>8.1039521739057108</v>
      </c>
      <c r="AS138" s="242" t="s">
        <v>411</v>
      </c>
      <c r="AT138" s="277" t="e">
        <v>#DIV/0!</v>
      </c>
      <c r="AU138" s="61" t="e">
        <v>#DIV/0!</v>
      </c>
      <c r="AV138" s="61" t="e">
        <v>#DIV/0!</v>
      </c>
      <c r="AW138" s="61" t="e">
        <v>#DIV/0!</v>
      </c>
      <c r="AX138" s="61" t="e">
        <v>#NUM!</v>
      </c>
      <c r="AY138" s="61" t="e">
        <v>#DIV/0!</v>
      </c>
      <c r="AZ138" s="61" t="e">
        <v>#NUM!</v>
      </c>
      <c r="BA138" s="278" t="e">
        <v>#DIV/0!</v>
      </c>
      <c r="BB138" s="346" t="e">
        <f>IF(SUMPRODUCT($B$76:$I$76)=0,0,SUMPRODUCT(AT138:BA138,$B$76:$I$76)/SUMPRODUCT($B$76:$I$76))</f>
        <v>#DIV/0!</v>
      </c>
    </row>
    <row r="139" spans="1:54" x14ac:dyDescent="0.3">
      <c r="A139" s="242" t="s">
        <v>413</v>
      </c>
      <c r="B139" s="277">
        <v>0.1216035012060212</v>
      </c>
      <c r="C139" s="61">
        <v>0.1443667617754035</v>
      </c>
      <c r="D139" s="61">
        <v>0.17407936235370172</v>
      </c>
      <c r="E139" s="61">
        <v>0.20402631777503838</v>
      </c>
      <c r="F139" s="61">
        <v>0.15225877716407088</v>
      </c>
      <c r="G139" s="61">
        <v>0.18872829674015099</v>
      </c>
      <c r="H139" s="61">
        <v>0.35441179206710188</v>
      </c>
      <c r="I139" s="278">
        <v>0.44509285086081168</v>
      </c>
      <c r="J139" s="346">
        <f>IF(SUMPRODUCT($B$77:$I$77)=0,0,SUMPRODUCT(B139:I139,$B$77:$I$77)/SUMPRODUCT($B$77:$I$77))</f>
        <v>0.16733931055566673</v>
      </c>
      <c r="L139" s="242" t="s">
        <v>413</v>
      </c>
      <c r="M139" s="284">
        <v>49360.93912542137</v>
      </c>
      <c r="N139" s="285">
        <v>59314.358083155683</v>
      </c>
      <c r="O139" s="285">
        <v>60024.71870113843</v>
      </c>
      <c r="P139" s="285">
        <v>71216.26394363599</v>
      </c>
      <c r="Q139" s="285">
        <v>45131.280930243207</v>
      </c>
      <c r="R139" s="285">
        <v>56571.2884547297</v>
      </c>
      <c r="S139" s="285">
        <v>50113.28680348568</v>
      </c>
      <c r="T139" s="297">
        <v>63705.726845689336</v>
      </c>
      <c r="U139" s="246">
        <f>IF(SUMPRODUCT($B$77:$I$77)=0,0,SUMPRODUCT(M139:T139,$B$77:$I$77)/SUMPRODUCT($B$77:$I$77))</f>
        <v>59340.698476193618</v>
      </c>
      <c r="W139" s="242" t="s">
        <v>413</v>
      </c>
      <c r="X139" s="284">
        <v>1</v>
      </c>
      <c r="Y139" s="285">
        <v>1</v>
      </c>
      <c r="Z139" s="285">
        <v>1</v>
      </c>
      <c r="AA139" s="285">
        <v>1</v>
      </c>
      <c r="AB139" s="285">
        <v>1</v>
      </c>
      <c r="AC139" s="285">
        <v>1</v>
      </c>
      <c r="AD139" s="285">
        <v>1</v>
      </c>
      <c r="AE139" s="297">
        <v>1</v>
      </c>
      <c r="AF139" s="246">
        <f>IF(SUMPRODUCT($B$77:$I$77)=0,0,SUMPRODUCT(X139:AE139,$B$77:$I$77)/SUMPRODUCT($B$77:$I$77))</f>
        <v>1</v>
      </c>
      <c r="AH139" s="242" t="s">
        <v>413</v>
      </c>
      <c r="AI139" s="284">
        <v>7</v>
      </c>
      <c r="AJ139" s="285">
        <v>7</v>
      </c>
      <c r="AK139" s="285">
        <v>9</v>
      </c>
      <c r="AL139" s="285">
        <v>9</v>
      </c>
      <c r="AM139" s="285">
        <v>11</v>
      </c>
      <c r="AN139" s="285">
        <v>11</v>
      </c>
      <c r="AO139" s="285">
        <v>7</v>
      </c>
      <c r="AP139" s="297">
        <v>7</v>
      </c>
      <c r="AQ139" s="246">
        <f>IF(SUMPRODUCT($B$77:$I$77)=0,0,SUMPRODUCT(AI139:AP139,$B$77:$I$77)/SUMPRODUCT($B$77:$I$77))</f>
        <v>8.1025029860322562</v>
      </c>
      <c r="AS139" s="242" t="s">
        <v>413</v>
      </c>
      <c r="AT139" s="277" t="e">
        <v>#DIV/0!</v>
      </c>
      <c r="AU139" s="61" t="e">
        <v>#DIV/0!</v>
      </c>
      <c r="AV139" s="61" t="e">
        <v>#DIV/0!</v>
      </c>
      <c r="AW139" s="61" t="e">
        <v>#DIV/0!</v>
      </c>
      <c r="AX139" s="61" t="e">
        <v>#DIV/0!</v>
      </c>
      <c r="AY139" s="61" t="e">
        <v>#NUM!</v>
      </c>
      <c r="AZ139" s="61" t="e">
        <v>#DIV/0!</v>
      </c>
      <c r="BA139" s="278" t="e">
        <v>#DIV/0!</v>
      </c>
      <c r="BB139" s="346" t="e">
        <f>IF(SUMPRODUCT($B$77:$I$77)=0,0,SUMPRODUCT(AT139:BA139,$B$77:$I$77)/SUMPRODUCT($B$77:$I$77))</f>
        <v>#DIV/0!</v>
      </c>
    </row>
    <row r="140" spans="1:54" x14ac:dyDescent="0.3">
      <c r="A140" s="242" t="s">
        <v>412</v>
      </c>
      <c r="B140" s="277">
        <v>0.12340383606016357</v>
      </c>
      <c r="C140" s="61">
        <v>0.14652623114266136</v>
      </c>
      <c r="D140" s="61">
        <v>0.17880690848915376</v>
      </c>
      <c r="E140" s="61">
        <v>0.21072863092064734</v>
      </c>
      <c r="F140" s="61">
        <v>0.1531096110477948</v>
      </c>
      <c r="G140" s="61">
        <v>0.19975854216041111</v>
      </c>
      <c r="H140" s="61">
        <v>0.31434358547065006</v>
      </c>
      <c r="I140" s="278">
        <v>0.45492659244512546</v>
      </c>
      <c r="J140" s="346">
        <f>IF(SUMPRODUCT($B$78:$I$78)=0,0,SUMPRODUCT(B140:I140,$B$78:$I$78)/SUMPRODUCT($B$78:$I$78))</f>
        <v>0.16561635415395667</v>
      </c>
      <c r="L140" s="242" t="s">
        <v>412</v>
      </c>
      <c r="M140" s="284">
        <v>36734.436987965048</v>
      </c>
      <c r="N140" s="285">
        <v>44022.782999312956</v>
      </c>
      <c r="O140" s="285">
        <v>45544.761769022647</v>
      </c>
      <c r="P140" s="285">
        <v>54128.037127088224</v>
      </c>
      <c r="Q140" s="285">
        <v>33106.494967751438</v>
      </c>
      <c r="R140" s="285">
        <v>43529.371814663151</v>
      </c>
      <c r="S140" s="285">
        <v>33106.364000798625</v>
      </c>
      <c r="T140" s="297">
        <v>48434.310208445226</v>
      </c>
      <c r="U140" s="246">
        <f>IF(SUMPRODUCT($B$78:$I$78)=0,0,SUMPRODUCT(M140:T140,$B$78:$I$78)/SUMPRODUCT($B$78:$I$78))</f>
        <v>44601.957626269112</v>
      </c>
      <c r="W140" s="242" t="s">
        <v>412</v>
      </c>
      <c r="X140" s="284">
        <v>1</v>
      </c>
      <c r="Y140" s="285">
        <v>1</v>
      </c>
      <c r="Z140" s="285">
        <v>1</v>
      </c>
      <c r="AA140" s="285">
        <v>1</v>
      </c>
      <c r="AB140" s="285">
        <v>1</v>
      </c>
      <c r="AC140" s="285">
        <v>1</v>
      </c>
      <c r="AD140" s="285">
        <v>1</v>
      </c>
      <c r="AE140" s="297">
        <v>1</v>
      </c>
      <c r="AF140" s="246">
        <f>IF(SUMPRODUCT($B$78:$I$78)=0,0,SUMPRODUCT(X140:AE140,$B$78:$I$78)/SUMPRODUCT($B$78:$I$78))</f>
        <v>1</v>
      </c>
      <c r="AH140" s="242" t="s">
        <v>412</v>
      </c>
      <c r="AI140" s="284">
        <v>7</v>
      </c>
      <c r="AJ140" s="285">
        <v>7</v>
      </c>
      <c r="AK140" s="285">
        <v>9</v>
      </c>
      <c r="AL140" s="285">
        <v>9</v>
      </c>
      <c r="AM140" s="285">
        <v>7</v>
      </c>
      <c r="AN140" s="285">
        <v>11</v>
      </c>
      <c r="AO140" s="285">
        <v>7</v>
      </c>
      <c r="AP140" s="297">
        <v>7</v>
      </c>
      <c r="AQ140" s="246">
        <f>IF(SUMPRODUCT($B$78:$I$78)=0,0,SUMPRODUCT(AI140:AP140,$B$78:$I$78)/SUMPRODUCT($B$78:$I$78))</f>
        <v>7.9764172008288652</v>
      </c>
      <c r="AS140" s="242" t="s">
        <v>412</v>
      </c>
      <c r="AT140" s="277" t="e">
        <v>#DIV/0!</v>
      </c>
      <c r="AU140" s="61" t="e">
        <v>#DIV/0!</v>
      </c>
      <c r="AV140" s="61" t="e">
        <v>#DIV/0!</v>
      </c>
      <c r="AW140" s="61" t="e">
        <v>#DIV/0!</v>
      </c>
      <c r="AX140" s="61" t="e">
        <v>#DIV/0!</v>
      </c>
      <c r="AY140" s="61" t="e">
        <v>#DIV/0!</v>
      </c>
      <c r="AZ140" s="61" t="e">
        <v>#DIV/0!</v>
      </c>
      <c r="BA140" s="278" t="e">
        <v>#DIV/0!</v>
      </c>
      <c r="BB140" s="346" t="e">
        <f>IF(SUMPRODUCT($B$78:$I$78)=0,0,SUMPRODUCT(AT140:BA140,$B$78:$I$78)/SUMPRODUCT($B$78:$I$78))</f>
        <v>#DIV/0!</v>
      </c>
    </row>
    <row r="141" spans="1:54" x14ac:dyDescent="0.3">
      <c r="A141" s="242" t="s">
        <v>414</v>
      </c>
      <c r="B141" s="277">
        <v>0.1954734124043194</v>
      </c>
      <c r="C141" s="61">
        <v>0.20907666384967125</v>
      </c>
      <c r="D141" s="61">
        <v>0.24552432439201166</v>
      </c>
      <c r="E141" s="61">
        <v>0.27725658433759814</v>
      </c>
      <c r="F141" s="61">
        <v>0.20704809891117701</v>
      </c>
      <c r="G141" s="61">
        <v>0.26043103360978126</v>
      </c>
      <c r="H141" s="61">
        <v>0.27309941303800456</v>
      </c>
      <c r="I141" s="278">
        <v>0.43214146288656341</v>
      </c>
      <c r="J141" s="346">
        <f>IF(SUMPRODUCT($B$79:$I$79)=0,0,SUMPRODUCT(B141:I141,$B$79:$I$79)/SUMPRODUCT($B$79:$I$79))</f>
        <v>0.21706534587942639</v>
      </c>
      <c r="L141" s="242" t="s">
        <v>414</v>
      </c>
      <c r="M141" s="284">
        <v>43600.599451927716</v>
      </c>
      <c r="N141" s="285">
        <v>47345.713911595136</v>
      </c>
      <c r="O141" s="285">
        <v>47306.527987253197</v>
      </c>
      <c r="P141" s="285">
        <v>54140.298266800361</v>
      </c>
      <c r="Q141" s="285">
        <v>33657.513461799317</v>
      </c>
      <c r="R141" s="285">
        <v>42257.152733560266</v>
      </c>
      <c r="S141" s="285">
        <v>25273.565414453467</v>
      </c>
      <c r="T141" s="297">
        <v>40108.200620608623</v>
      </c>
      <c r="U141" s="246">
        <f>IF(SUMPRODUCT($B$79:$I$79)=0,0,SUMPRODUCT(M141:T141,$B$79:$I$79)/SUMPRODUCT($B$79:$I$79))</f>
        <v>47038.769165459555</v>
      </c>
      <c r="W141" s="242" t="s">
        <v>414</v>
      </c>
      <c r="X141" s="284">
        <v>1</v>
      </c>
      <c r="Y141" s="285">
        <v>1</v>
      </c>
      <c r="Z141" s="285">
        <v>1</v>
      </c>
      <c r="AA141" s="285">
        <v>1</v>
      </c>
      <c r="AB141" s="285">
        <v>1</v>
      </c>
      <c r="AC141" s="285">
        <v>1</v>
      </c>
      <c r="AD141" s="285">
        <v>1</v>
      </c>
      <c r="AE141" s="297">
        <v>1</v>
      </c>
      <c r="AF141" s="246">
        <f>IF(SUMPRODUCT($B$79:$I$79)=0,0,SUMPRODUCT(X141:AE141,$B$79:$I$79)/SUMPRODUCT($B$79:$I$79))</f>
        <v>1</v>
      </c>
      <c r="AH141" s="242" t="s">
        <v>414</v>
      </c>
      <c r="AI141" s="284">
        <v>7</v>
      </c>
      <c r="AJ141" s="285">
        <v>7</v>
      </c>
      <c r="AK141" s="285">
        <v>9</v>
      </c>
      <c r="AL141" s="285">
        <v>4</v>
      </c>
      <c r="AM141" s="285">
        <v>5</v>
      </c>
      <c r="AN141" s="285">
        <v>5</v>
      </c>
      <c r="AO141" s="285">
        <v>7</v>
      </c>
      <c r="AP141" s="297">
        <v>7</v>
      </c>
      <c r="AQ141" s="246">
        <f>IF(SUMPRODUCT($B$79:$I$79)=0,0,SUMPRODUCT(AI141:AP141,$B$79:$I$79)/SUMPRODUCT($B$79:$I$79))</f>
        <v>6.637708996612746</v>
      </c>
      <c r="AS141" s="242" t="s">
        <v>414</v>
      </c>
      <c r="AT141" s="277" t="e">
        <v>#DIV/0!</v>
      </c>
      <c r="AU141" s="61" t="e">
        <v>#DIV/0!</v>
      </c>
      <c r="AV141" s="61" t="e">
        <v>#DIV/0!</v>
      </c>
      <c r="AW141" s="61" t="e">
        <v>#DIV/0!</v>
      </c>
      <c r="AX141" s="61" t="e">
        <v>#DIV/0!</v>
      </c>
      <c r="AY141" s="61" t="e">
        <v>#DIV/0!</v>
      </c>
      <c r="AZ141" s="61" t="e">
        <v>#DIV/0!</v>
      </c>
      <c r="BA141" s="278" t="e">
        <v>#DIV/0!</v>
      </c>
      <c r="BB141" s="346" t="e">
        <f>IF(SUMPRODUCT($B$79:$I$79)=0,0,SUMPRODUCT(AT141:BA141,$B$79:$I$79)/SUMPRODUCT($B$79:$I$79))</f>
        <v>#DIV/0!</v>
      </c>
    </row>
    <row r="142" spans="1:54" x14ac:dyDescent="0.3">
      <c r="A142" s="274" t="s">
        <v>415</v>
      </c>
      <c r="B142" s="279">
        <v>0.21358543373602204</v>
      </c>
      <c r="C142" s="280">
        <v>0.27775344453288231</v>
      </c>
      <c r="D142" s="280">
        <v>0.24297945118778658</v>
      </c>
      <c r="E142" s="280">
        <v>0.32465320942981085</v>
      </c>
      <c r="F142" s="280">
        <v>0.1927243394289872</v>
      </c>
      <c r="G142" s="280">
        <v>0.28932408479669697</v>
      </c>
      <c r="H142" s="280"/>
      <c r="I142" s="281"/>
      <c r="J142" s="282">
        <f>IF(SUMPRODUCT($B$80:$I$80)=0,0,SUMPRODUCT(B142:I142,$B$80:$I$80)/SUMPRODUCT($B$80:$I$80))</f>
        <v>0</v>
      </c>
      <c r="L142" s="274" t="s">
        <v>415</v>
      </c>
      <c r="M142" s="298">
        <v>37333.999384152274</v>
      </c>
      <c r="N142" s="299">
        <v>49006.087194503343</v>
      </c>
      <c r="O142" s="299">
        <v>38811.323544481194</v>
      </c>
      <c r="P142" s="299">
        <v>52240.232485911285</v>
      </c>
      <c r="Q142" s="299">
        <v>27163.500940635666</v>
      </c>
      <c r="R142" s="299">
        <v>40852.000223150157</v>
      </c>
      <c r="S142" s="299"/>
      <c r="T142" s="300"/>
      <c r="U142" s="301">
        <f>IF(SUMPRODUCT($B$80:$I$80)=0,0,SUMPRODUCT(M142:T142,$B$80:$I$80)/SUMPRODUCT($B$80:$I$80))</f>
        <v>0</v>
      </c>
      <c r="W142" s="274" t="s">
        <v>415</v>
      </c>
      <c r="X142" s="298">
        <v>1</v>
      </c>
      <c r="Y142" s="299">
        <v>1</v>
      </c>
      <c r="Z142" s="299">
        <v>1</v>
      </c>
      <c r="AA142" s="299">
        <v>1</v>
      </c>
      <c r="AB142" s="299">
        <v>1</v>
      </c>
      <c r="AC142" s="299">
        <v>1</v>
      </c>
      <c r="AD142" s="299"/>
      <c r="AE142" s="300"/>
      <c r="AF142" s="301">
        <f>IF(SUMPRODUCT($B$80:$I$80)=0,0,SUMPRODUCT(X142:AE142,$B$80:$I$80)/SUMPRODUCT($B$80:$I$80))</f>
        <v>0</v>
      </c>
      <c r="AH142" s="274" t="s">
        <v>415</v>
      </c>
      <c r="AI142" s="298">
        <v>7</v>
      </c>
      <c r="AJ142" s="299">
        <v>7</v>
      </c>
      <c r="AK142" s="299">
        <v>4</v>
      </c>
      <c r="AL142" s="299">
        <v>4</v>
      </c>
      <c r="AM142" s="299">
        <v>5</v>
      </c>
      <c r="AN142" s="299">
        <v>5</v>
      </c>
      <c r="AO142" s="299"/>
      <c r="AP142" s="300"/>
      <c r="AQ142" s="301">
        <f>IF(SUMPRODUCT($B$80:$I$80)=0,0,SUMPRODUCT(AI142:AP142,$B$80:$I$80)/SUMPRODUCT($B$80:$I$80))</f>
        <v>0</v>
      </c>
      <c r="AS142" s="274" t="s">
        <v>415</v>
      </c>
      <c r="AT142" s="279" t="e">
        <v>#DIV/0!</v>
      </c>
      <c r="AU142" s="280" t="e">
        <v>#DIV/0!</v>
      </c>
      <c r="AV142" s="280" t="e">
        <v>#DIV/0!</v>
      </c>
      <c r="AW142" s="280" t="e">
        <v>#DIV/0!</v>
      </c>
      <c r="AX142" s="280" t="e">
        <v>#DIV/0!</v>
      </c>
      <c r="AY142" s="280" t="e">
        <v>#DIV/0!</v>
      </c>
      <c r="AZ142" s="280"/>
      <c r="BA142" s="281"/>
      <c r="BB142" s="282">
        <f>IF(SUMPRODUCT($B$80:$I$80)=0,0,SUMPRODUCT(AT142:BA142,$B$80:$I$80)/SUMPRODUCT($B$80:$I$80))</f>
        <v>0</v>
      </c>
    </row>
    <row r="143" spans="1:54" ht="16.8" thickBot="1" x14ac:dyDescent="0.35">
      <c r="A143" s="38" t="s">
        <v>276</v>
      </c>
      <c r="B143" s="462">
        <f>IF(SUM($B$72:$C$80)=0,0,SUMPRODUCT(B134:C142,$B$72:$C$80)/SUM($B$72:$C$80))</f>
        <v>0.13867147089523066</v>
      </c>
      <c r="C143" s="463"/>
      <c r="D143" s="466">
        <f>IF(SUM($D$72:$E$80)=0,0,SUMPRODUCT(D134:E142,$D$72:$E$80)/SUM($D$72:$E$80))</f>
        <v>0.20170841204639028</v>
      </c>
      <c r="E143" s="467"/>
      <c r="F143" s="466">
        <f>IF(SUM($F$72:$G$80)=0,0,SUMPRODUCT(F134:G142,$F$72:$G$80)/SUM($F$72:$G$80))</f>
        <v>0.18222859192605553</v>
      </c>
      <c r="G143" s="467"/>
      <c r="H143" s="466">
        <f>IF(SUM($H$72:$I$80)=0,0,SUMPRODUCT(H134:I142,$H$72:$I$80)/SUM($H$72:$I$80))</f>
        <v>0.36057665385380899</v>
      </c>
      <c r="I143" s="469"/>
      <c r="J143" s="283">
        <f>SUMPRODUCT(B134:I142,$B$72:$I$80)</f>
        <v>0.17143748053756294</v>
      </c>
      <c r="L143" s="38" t="s">
        <v>276</v>
      </c>
      <c r="M143" s="475">
        <f>IF(SUM($B$72:$C$80)=0,0,SUMPRODUCT(M134:N142,$B$72:$C$80)/SUM($B$72:$C$80))</f>
        <v>108803.69421405996</v>
      </c>
      <c r="N143" s="463"/>
      <c r="O143" s="476">
        <f>IF(SUM($D$72:$E$80)=0,0,SUMPRODUCT(O134:P142,$D$72:$E$80)/SUM($D$72:$E$80))</f>
        <v>138571.54364918874</v>
      </c>
      <c r="P143" s="477"/>
      <c r="Q143" s="476">
        <f>IF(SUM($F$72:$G$80)=0,0,SUMPRODUCT(Q134:R142,$F$72:$G$80)/SUM($F$72:$G$80))</f>
        <v>114616.94024020377</v>
      </c>
      <c r="R143" s="477"/>
      <c r="S143" s="476">
        <f>IF(SUM($H$72:$I$80)=0,0,SUMPRODUCT(S134:T142,$H$72:$I$80)/SUM($H$72:$I$80))</f>
        <v>130838.91139535556</v>
      </c>
      <c r="T143" s="469"/>
      <c r="U143" s="302">
        <f>SUMPRODUCT(M134:T142,$B$72:$I$80)</f>
        <v>118813.31234419168</v>
      </c>
      <c r="W143" s="38" t="s">
        <v>276</v>
      </c>
      <c r="X143" s="475">
        <f>IF(SUM($B$72:$C$80)=0,0,SUMPRODUCT(X134:Y142,$B$72:$C$80)/SUM($B$72:$C$80))</f>
        <v>12.533866140745603</v>
      </c>
      <c r="Y143" s="463"/>
      <c r="Z143" s="476">
        <f>IF(SUM($D$72:$E$80)=0,0,SUMPRODUCT(Z134:AA142,$D$72:$E$80)/SUM($D$72:$E$80))</f>
        <v>11.496197593658074</v>
      </c>
      <c r="AA143" s="477"/>
      <c r="AB143" s="476">
        <f>IF(SUM($F$72:$G$80)=0,0,SUMPRODUCT(AB134:AC142,$F$72:$G$80)/SUM($F$72:$G$80))</f>
        <v>18.276188019917985</v>
      </c>
      <c r="AC143" s="477"/>
      <c r="AD143" s="476">
        <f>IF(SUM($H$72:$I$80)=0,0,SUMPRODUCT(AD134:AE142,$H$72:$I$80)/SUM($H$72:$I$80))</f>
        <v>19.297891120060886</v>
      </c>
      <c r="AE143" s="469"/>
      <c r="AF143" s="302">
        <f>SUMPRODUCT(X134:AE142,$B$72:$I$80)</f>
        <v>13.351138845809601</v>
      </c>
      <c r="AH143" s="38" t="s">
        <v>276</v>
      </c>
      <c r="AI143" s="475">
        <f>IF(SUM($B$72:$C$80)=0,0,SUMPRODUCT(AI134:AJ142,$B$72:$C$80)/SUM($B$72:$C$80))</f>
        <v>7</v>
      </c>
      <c r="AJ143" s="463"/>
      <c r="AK143" s="476">
        <f>IF(SUM($D$72:$E$80)=0,0,SUMPRODUCT(AK134:AL142,$D$72:$E$80)/SUM($D$72:$E$80))</f>
        <v>8.9881902887491183</v>
      </c>
      <c r="AL143" s="477"/>
      <c r="AM143" s="476">
        <f>IF(SUM($F$72:$G$80)=0,0,SUMPRODUCT(AM134:AN142,$F$72:$G$80)/SUM($F$72:$G$80))</f>
        <v>10.877798526331256</v>
      </c>
      <c r="AN143" s="477"/>
      <c r="AO143" s="476">
        <f>IF(SUM($H$72:$I$80)=0,0,SUMPRODUCT(AO134:AP142,$H$72:$I$80)/SUM($H$72:$I$80))</f>
        <v>8.7066753269754873</v>
      </c>
      <c r="AP143" s="469"/>
      <c r="AQ143" s="302">
        <f>SUMPRODUCT(AI134:AP142,$B$72:$I$80)</f>
        <v>8.1851925901562055</v>
      </c>
      <c r="AS143" s="38" t="s">
        <v>276</v>
      </c>
      <c r="AT143" s="462" t="e">
        <f>IF(SUM($B$72:$C$80)=0,0,SUMPRODUCT(AT134:AU142,$B$72:$C$80)/SUM($B$72:$C$80))</f>
        <v>#DIV/0!</v>
      </c>
      <c r="AU143" s="463"/>
      <c r="AV143" s="466" t="e">
        <f>IF(SUM($D$72:$E$80)=0,0,SUMPRODUCT(AV134:AW142,$D$72:$E$80)/SUM($D$72:$E$80))</f>
        <v>#DIV/0!</v>
      </c>
      <c r="AW143" s="467"/>
      <c r="AX143" s="466" t="e">
        <f>IF(SUM($F$72:$G$80)=0,0,SUMPRODUCT(AX134:AY142,$F$72:$G$80)/SUM($F$72:$G$80))</f>
        <v>#NUM!</v>
      </c>
      <c r="AY143" s="467"/>
      <c r="AZ143" s="466" t="e">
        <f>IF(SUM($H$72:$I$80)=0,0,SUMPRODUCT(AZ134:BA142,$H$72:$I$80)/SUM($H$72:$I$80))</f>
        <v>#NUM!</v>
      </c>
      <c r="BA143" s="469"/>
      <c r="BB143" s="283" t="e">
        <f>SUMPRODUCT(AT134:BA142,$B$72:$I$80)</f>
        <v>#DIV/0!</v>
      </c>
    </row>
    <row r="144" spans="1:54" ht="15" thickBot="1" x14ac:dyDescent="0.35"/>
    <row r="145" spans="1:6" ht="15" thickBot="1" x14ac:dyDescent="0.35">
      <c r="A145" s="344" t="s">
        <v>290</v>
      </c>
      <c r="B145" s="152" t="s">
        <v>301</v>
      </c>
      <c r="C145" s="46" t="s">
        <v>243</v>
      </c>
      <c r="D145" s="46" t="s">
        <v>248</v>
      </c>
      <c r="E145" s="46" t="s">
        <v>253</v>
      </c>
      <c r="F145" s="47" t="s">
        <v>189</v>
      </c>
    </row>
    <row r="146" spans="1:6" ht="15" thickTop="1" x14ac:dyDescent="0.3">
      <c r="A146" s="347" t="s">
        <v>18</v>
      </c>
      <c r="B146" s="265">
        <f>$B$143</f>
        <v>0.13867147089523066</v>
      </c>
      <c r="C146" s="358">
        <f>$M$143</f>
        <v>108803.69421405996</v>
      </c>
      <c r="D146" s="358">
        <f>$X$143</f>
        <v>12.533866140745603</v>
      </c>
      <c r="E146" s="358">
        <f>$AI$143</f>
        <v>7</v>
      </c>
      <c r="F146" s="267" t="e">
        <f>$AT$143</f>
        <v>#DIV/0!</v>
      </c>
    </row>
    <row r="147" spans="1:6" x14ac:dyDescent="0.3">
      <c r="A147" s="242" t="s">
        <v>19</v>
      </c>
      <c r="B147" s="277">
        <f>$D$143</f>
        <v>0.20170841204639028</v>
      </c>
      <c r="C147" s="359">
        <f>$O$143</f>
        <v>138571.54364918874</v>
      </c>
      <c r="D147" s="359">
        <f>$Z$143</f>
        <v>11.496197593658074</v>
      </c>
      <c r="E147" s="359">
        <f>$AK$143</f>
        <v>8.9881902887491183</v>
      </c>
      <c r="F147" s="62" t="e">
        <f>$AV$143</f>
        <v>#DIV/0!</v>
      </c>
    </row>
    <row r="148" spans="1:6" x14ac:dyDescent="0.3">
      <c r="A148" s="242" t="s">
        <v>20</v>
      </c>
      <c r="B148" s="277">
        <f>$F$143</f>
        <v>0.18222859192605553</v>
      </c>
      <c r="C148" s="359">
        <f>$Q$143</f>
        <v>114616.94024020377</v>
      </c>
      <c r="D148" s="359">
        <f>$AB$143</f>
        <v>18.276188019917985</v>
      </c>
      <c r="E148" s="359">
        <f>$AM$143</f>
        <v>10.877798526331256</v>
      </c>
      <c r="F148" s="62" t="e">
        <f>$AX$143</f>
        <v>#NUM!</v>
      </c>
    </row>
    <row r="149" spans="1:6" x14ac:dyDescent="0.3">
      <c r="A149" s="274" t="s">
        <v>21</v>
      </c>
      <c r="B149" s="279">
        <f>$H$143</f>
        <v>0.36057665385380899</v>
      </c>
      <c r="C149" s="360">
        <f>$S$143</f>
        <v>130838.91139535556</v>
      </c>
      <c r="D149" s="360">
        <f>$AD$143</f>
        <v>19.297891120060886</v>
      </c>
      <c r="E149" s="360">
        <f>$AO$143</f>
        <v>8.7066753269754873</v>
      </c>
      <c r="F149" s="294" t="e">
        <f>$AZ$143</f>
        <v>#NUM!</v>
      </c>
    </row>
    <row r="150" spans="1:6" ht="15" thickBot="1" x14ac:dyDescent="0.35">
      <c r="A150" s="38" t="s">
        <v>291</v>
      </c>
      <c r="B150" s="341">
        <f>$J$143</f>
        <v>0.17143748053756294</v>
      </c>
      <c r="C150" s="361">
        <f>$U$143</f>
        <v>118813.31234419168</v>
      </c>
      <c r="D150" s="361">
        <f>$AF$143</f>
        <v>13.351138845809601</v>
      </c>
      <c r="E150" s="361">
        <f>$AQ$143</f>
        <v>8.1851925901562055</v>
      </c>
      <c r="F150" s="268" t="e">
        <f>$BB$143</f>
        <v>#DIV/0!</v>
      </c>
    </row>
  </sheetData>
  <mergeCells count="176">
    <mergeCell ref="AX132:AY132"/>
    <mergeCell ref="AX143:AY143"/>
    <mergeCell ref="AZ132:BA132"/>
    <mergeCell ref="AZ143:BA143"/>
    <mergeCell ref="BB132:BB133"/>
    <mergeCell ref="AO132:AP132"/>
    <mergeCell ref="AO143:AP143"/>
    <mergeCell ref="AQ132:AQ133"/>
    <mergeCell ref="AT132:AU132"/>
    <mergeCell ref="AT143:AU143"/>
    <mergeCell ref="AV132:AW132"/>
    <mergeCell ref="AV143:AW143"/>
    <mergeCell ref="AI132:AJ132"/>
    <mergeCell ref="AI143:AJ143"/>
    <mergeCell ref="AK132:AL132"/>
    <mergeCell ref="AK143:AL143"/>
    <mergeCell ref="AM132:AN132"/>
    <mergeCell ref="AM143:AN143"/>
    <mergeCell ref="X143:Y143"/>
    <mergeCell ref="Z132:AA132"/>
    <mergeCell ref="Z143:AA143"/>
    <mergeCell ref="AB132:AC132"/>
    <mergeCell ref="AB143:AC143"/>
    <mergeCell ref="AD132:AE132"/>
    <mergeCell ref="AD143:AE143"/>
    <mergeCell ref="M143:N143"/>
    <mergeCell ref="O132:P132"/>
    <mergeCell ref="O143:P143"/>
    <mergeCell ref="Q132:R132"/>
    <mergeCell ref="Q143:R143"/>
    <mergeCell ref="S132:T132"/>
    <mergeCell ref="S143:T143"/>
    <mergeCell ref="B143:C143"/>
    <mergeCell ref="D132:E132"/>
    <mergeCell ref="D143:E143"/>
    <mergeCell ref="F132:G132"/>
    <mergeCell ref="F143:G143"/>
    <mergeCell ref="H132:I132"/>
    <mergeCell ref="H143:I143"/>
    <mergeCell ref="AX122:AY122"/>
    <mergeCell ref="AZ111:BA111"/>
    <mergeCell ref="AZ122:BA122"/>
    <mergeCell ref="BB111:BB112"/>
    <mergeCell ref="B132:C132"/>
    <mergeCell ref="J132:J133"/>
    <mergeCell ref="M132:N132"/>
    <mergeCell ref="U132:U133"/>
    <mergeCell ref="X132:Y132"/>
    <mergeCell ref="AO111:AP111"/>
    <mergeCell ref="AO122:AP122"/>
    <mergeCell ref="AQ111:AQ112"/>
    <mergeCell ref="AT111:AU111"/>
    <mergeCell ref="AT122:AU122"/>
    <mergeCell ref="AV111:AW111"/>
    <mergeCell ref="AV122:AW122"/>
    <mergeCell ref="AF111:AF112"/>
    <mergeCell ref="AI111:AJ111"/>
    <mergeCell ref="AI122:AJ122"/>
    <mergeCell ref="AK111:AL111"/>
    <mergeCell ref="AK122:AL122"/>
    <mergeCell ref="AM111:AN111"/>
    <mergeCell ref="AM122:AN122"/>
    <mergeCell ref="AF132:AF133"/>
    <mergeCell ref="X122:Y122"/>
    <mergeCell ref="Z111:AA111"/>
    <mergeCell ref="Z122:AA122"/>
    <mergeCell ref="AB111:AC111"/>
    <mergeCell ref="AB122:AC122"/>
    <mergeCell ref="AD111:AE111"/>
    <mergeCell ref="AD122:AE122"/>
    <mergeCell ref="M122:N122"/>
    <mergeCell ref="O111:P111"/>
    <mergeCell ref="O122:P122"/>
    <mergeCell ref="Q111:R111"/>
    <mergeCell ref="Q122:R122"/>
    <mergeCell ref="S111:T111"/>
    <mergeCell ref="S122:T122"/>
    <mergeCell ref="B122:C122"/>
    <mergeCell ref="D111:E111"/>
    <mergeCell ref="D122:E122"/>
    <mergeCell ref="F111:G111"/>
    <mergeCell ref="F122:G122"/>
    <mergeCell ref="H111:I111"/>
    <mergeCell ref="H122:I122"/>
    <mergeCell ref="BI90:BJ90"/>
    <mergeCell ref="BI101:BJ101"/>
    <mergeCell ref="AM90:AN90"/>
    <mergeCell ref="AM101:AN101"/>
    <mergeCell ref="AO90:AP90"/>
    <mergeCell ref="AO101:AP101"/>
    <mergeCell ref="AB90:AC90"/>
    <mergeCell ref="AB101:AC101"/>
    <mergeCell ref="AD90:AE90"/>
    <mergeCell ref="AD101:AE101"/>
    <mergeCell ref="AF90:AF91"/>
    <mergeCell ref="AI90:AJ90"/>
    <mergeCell ref="AI101:AJ101"/>
    <mergeCell ref="S90:T90"/>
    <mergeCell ref="S101:T101"/>
    <mergeCell ref="U90:U91"/>
    <mergeCell ref="X90:Y90"/>
    <mergeCell ref="BM90:BM91"/>
    <mergeCell ref="B111:C111"/>
    <mergeCell ref="J111:J112"/>
    <mergeCell ref="M111:N111"/>
    <mergeCell ref="U111:U112"/>
    <mergeCell ref="X111:Y111"/>
    <mergeCell ref="AZ90:BA90"/>
    <mergeCell ref="AZ101:BA101"/>
    <mergeCell ref="BB90:BB91"/>
    <mergeCell ref="BE90:BF90"/>
    <mergeCell ref="BE101:BF101"/>
    <mergeCell ref="BG90:BH90"/>
    <mergeCell ref="BG101:BH101"/>
    <mergeCell ref="AQ90:AQ91"/>
    <mergeCell ref="AT90:AU90"/>
    <mergeCell ref="AT101:AU101"/>
    <mergeCell ref="AV90:AW90"/>
    <mergeCell ref="AV101:AW101"/>
    <mergeCell ref="AX90:AY90"/>
    <mergeCell ref="AX101:AY101"/>
    <mergeCell ref="AK90:AL90"/>
    <mergeCell ref="AK101:AL101"/>
    <mergeCell ref="AX111:AY111"/>
    <mergeCell ref="Z101:AA101"/>
    <mergeCell ref="J90:J91"/>
    <mergeCell ref="M90:N90"/>
    <mergeCell ref="M101:N101"/>
    <mergeCell ref="O90:P90"/>
    <mergeCell ref="O101:P101"/>
    <mergeCell ref="Q90:R90"/>
    <mergeCell ref="Q101:R101"/>
    <mergeCell ref="BK90:BL90"/>
    <mergeCell ref="BK101:BL101"/>
    <mergeCell ref="AC70:AD70"/>
    <mergeCell ref="A88:B88"/>
    <mergeCell ref="B90:C90"/>
    <mergeCell ref="B101:C101"/>
    <mergeCell ref="D90:E90"/>
    <mergeCell ref="D101:E101"/>
    <mergeCell ref="F90:G90"/>
    <mergeCell ref="F101:G101"/>
    <mergeCell ref="H90:I90"/>
    <mergeCell ref="H101:I101"/>
    <mergeCell ref="O70:P70"/>
    <mergeCell ref="Q70:R70"/>
    <mergeCell ref="S70:T70"/>
    <mergeCell ref="W70:X70"/>
    <mergeCell ref="Y70:Z70"/>
    <mergeCell ref="AA70:AB70"/>
    <mergeCell ref="J70:J71"/>
    <mergeCell ref="B70:C70"/>
    <mergeCell ref="D70:E70"/>
    <mergeCell ref="F70:G70"/>
    <mergeCell ref="H70:I70"/>
    <mergeCell ref="M70:N70"/>
    <mergeCell ref="X101:Y101"/>
    <mergeCell ref="Z90:AA90"/>
    <mergeCell ref="A1:M1"/>
    <mergeCell ref="A2:M2"/>
    <mergeCell ref="A4:D4"/>
    <mergeCell ref="F4:G4"/>
    <mergeCell ref="I4:J4"/>
    <mergeCell ref="L4:M4"/>
    <mergeCell ref="A52:A54"/>
    <mergeCell ref="A63:A65"/>
    <mergeCell ref="B81:C81"/>
    <mergeCell ref="D81:E81"/>
    <mergeCell ref="F81:G81"/>
    <mergeCell ref="H81:I81"/>
    <mergeCell ref="A12:B12"/>
    <mergeCell ref="L5:L6"/>
    <mergeCell ref="M5:M6"/>
    <mergeCell ref="A19:A21"/>
    <mergeCell ref="A30:A32"/>
    <mergeCell ref="A41:A4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Drop Down 1">
              <controlPr defaultSize="0" autoFill="0" autoPict="0">
                <anchor moveWithCells="1">
                  <from>
                    <xdr:col>1</xdr:col>
                    <xdr:colOff>7620</xdr:colOff>
                    <xdr:row>4</xdr:row>
                    <xdr:rowOff>7620</xdr:rowOff>
                  </from>
                  <to>
                    <xdr:col>1</xdr:col>
                    <xdr:colOff>640080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Drop Down 2">
              <controlPr defaultSize="0" autoFill="0" autoPict="0">
                <anchor moveWithCells="1">
                  <from>
                    <xdr:col>3</xdr:col>
                    <xdr:colOff>0</xdr:colOff>
                    <xdr:row>4</xdr:row>
                    <xdr:rowOff>7620</xdr:rowOff>
                  </from>
                  <to>
                    <xdr:col>3</xdr:col>
                    <xdr:colOff>609600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Drop Down 3">
              <controlPr defaultSize="0" autoFill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609600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Drop Down 4">
              <controlPr defaultSize="0" autoFill="0" autoPict="0">
                <anchor moveWithCells="1">
                  <from>
                    <xdr:col>1</xdr:col>
                    <xdr:colOff>7620</xdr:colOff>
                    <xdr:row>9</xdr:row>
                    <xdr:rowOff>0</xdr:rowOff>
                  </from>
                  <to>
                    <xdr:col>1</xdr:col>
                    <xdr:colOff>640080</xdr:colOff>
                    <xdr:row>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Drop Down 5">
              <controlPr defaultSize="0" autoFill="0" autoPict="0">
                <anchor moveWithCells="1">
                  <from>
                    <xdr:col>12</xdr:col>
                    <xdr:colOff>609600</xdr:colOff>
                    <xdr:row>68</xdr:row>
                    <xdr:rowOff>0</xdr:rowOff>
                  </from>
                  <to>
                    <xdr:col>13</xdr:col>
                    <xdr:colOff>609600</xdr:colOff>
                    <xdr:row>68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Drop Down 6">
              <controlPr defaultSize="0" autoFill="0" autoPict="0">
                <anchor moveWithCells="1">
                  <from>
                    <xdr:col>0</xdr:col>
                    <xdr:colOff>7620</xdr:colOff>
                    <xdr:row>84</xdr:row>
                    <xdr:rowOff>0</xdr:rowOff>
                  </from>
                  <to>
                    <xdr:col>0</xdr:col>
                    <xdr:colOff>609600</xdr:colOff>
                    <xdr:row>84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W115"/>
  <sheetViews>
    <sheetView showGridLines="0" zoomScale="90" zoomScaleNormal="90" workbookViewId="0">
      <pane xSplit="8" ySplit="4" topLeftCell="BJ32" activePane="bottomRight" state="frozenSplit"/>
      <selection activeCell="A2" sqref="A2:I2"/>
      <selection pane="topRight" activeCell="A2" sqref="A2:I2"/>
      <selection pane="bottomLeft" activeCell="A2" sqref="A2:I2"/>
      <selection pane="bottomRight" activeCell="BP14" sqref="BP14"/>
    </sheetView>
  </sheetViews>
  <sheetFormatPr defaultColWidth="8.6640625" defaultRowHeight="14.4" x14ac:dyDescent="0.3"/>
  <cols>
    <col min="1" max="4" width="10.109375" style="35" customWidth="1"/>
    <col min="5" max="5" width="4.6640625" style="35" customWidth="1"/>
    <col min="6" max="6" width="4.6640625" style="35" hidden="1" customWidth="1"/>
    <col min="7" max="8" width="4.6640625" style="35" customWidth="1"/>
    <col min="9" max="33" width="8.77734375" style="35" bestFit="1" customWidth="1"/>
    <col min="34" max="34" width="9.44140625" style="35" bestFit="1" customWidth="1"/>
    <col min="35" max="39" width="8.77734375" style="35" bestFit="1" customWidth="1"/>
    <col min="40" max="41" width="10.109375" style="35" customWidth="1"/>
    <col min="42" max="42" width="8.77734375" style="35" bestFit="1" customWidth="1"/>
    <col min="43" max="43" width="9.44140625" style="35" bestFit="1" customWidth="1"/>
    <col min="44" max="44" width="8.77734375" style="35" bestFit="1" customWidth="1"/>
    <col min="45" max="45" width="9.44140625" style="35" bestFit="1" customWidth="1"/>
    <col min="46" max="63" width="8.77734375" style="35" bestFit="1" customWidth="1"/>
    <col min="64" max="71" width="8.6640625" style="35"/>
    <col min="72" max="73" width="10.21875" style="35" customWidth="1"/>
    <col min="74" max="74" width="28" style="35" customWidth="1"/>
    <col min="75" max="16384" width="8.6640625" style="35"/>
  </cols>
  <sheetData>
    <row r="1" spans="1:75" ht="19.8" x14ac:dyDescent="0.3">
      <c r="A1" s="431" t="s">
        <v>14</v>
      </c>
      <c r="B1" s="431"/>
      <c r="C1" s="431"/>
      <c r="D1" s="431"/>
      <c r="E1" s="431"/>
      <c r="AH1" s="35" t="s">
        <v>303</v>
      </c>
      <c r="AI1" s="203">
        <f>NPV($D$8,AI5:AI115)*(1+$D$8)</f>
        <v>319731.01079148694</v>
      </c>
      <c r="AT1" s="35" t="s">
        <v>304</v>
      </c>
      <c r="AU1" s="203">
        <f ca="1">NPV($D$8,AU5:AU115)</f>
        <v>12635.776736906917</v>
      </c>
      <c r="AV1" s="203">
        <f ca="1">NPV($D$7,AU5:AU115)</f>
        <v>12029.954043836153</v>
      </c>
      <c r="AZ1" s="35" t="s">
        <v>305</v>
      </c>
      <c r="BA1" s="203">
        <f t="shared" ref="BA1:BJ1" ca="1" si="0">NPV($D$8,BA5:BA115)</f>
        <v>9616.5587498228233</v>
      </c>
      <c r="BB1" s="203">
        <f t="shared" ca="1" si="0"/>
        <v>672.64334657215613</v>
      </c>
      <c r="BC1" s="203">
        <f t="shared" ca="1" si="0"/>
        <v>3594.7041862784263</v>
      </c>
      <c r="BD1" s="203">
        <f t="shared" ca="1" si="0"/>
        <v>2500.7280641262014</v>
      </c>
      <c r="BE1" s="203">
        <f t="shared" ca="1" si="0"/>
        <v>0.21933347646428103</v>
      </c>
      <c r="BF1" s="203">
        <f t="shared" ca="1" si="0"/>
        <v>35.867137324846503</v>
      </c>
      <c r="BG1" s="203">
        <f t="shared" ca="1" si="0"/>
        <v>14.67507967253391</v>
      </c>
      <c r="BH1" s="203">
        <f t="shared" ca="1" si="0"/>
        <v>0.14583781924529715</v>
      </c>
      <c r="BI1" s="203">
        <f t="shared" ca="1" si="0"/>
        <v>-6.231831422374505E-2</v>
      </c>
      <c r="BJ1" s="203">
        <f t="shared" ca="1" si="0"/>
        <v>-0.30285298148582662</v>
      </c>
      <c r="BK1" s="203">
        <f ca="1">NPV($D$8,BK5:BK115)</f>
        <v>-3799.3998268897185</v>
      </c>
      <c r="BP1" s="203">
        <f ca="1">NPV($D$8,BP5:BP115)*(1+$D$8)</f>
        <v>29093.530851226955</v>
      </c>
      <c r="BQ1" s="203">
        <f>NPV($D$8,BQ5:BQ115)*(1+$D$8)</f>
        <v>9249.0295516927217</v>
      </c>
      <c r="BR1" s="203">
        <f>NPV($D$8,BR5:BR115)*(1+$D$8)</f>
        <v>4121.5636938144389</v>
      </c>
      <c r="BS1" s="203">
        <f>NPV($D$8,BS5:BS115)*(1+$D$8)</f>
        <v>25203.851483943934</v>
      </c>
      <c r="BT1" s="203">
        <f t="shared" ref="BT1:BU1" ca="1" si="1">NPV($D$8,BT5:BT115)</f>
        <v>692.51551805469717</v>
      </c>
      <c r="BU1" s="203">
        <f t="shared" ca="1" si="1"/>
        <v>3799.3998268897185</v>
      </c>
    </row>
    <row r="2" spans="1:75" ht="16.8" thickBot="1" x14ac:dyDescent="0.35">
      <c r="A2" s="432" t="s">
        <v>306</v>
      </c>
      <c r="B2" s="432"/>
      <c r="C2" s="432"/>
      <c r="D2" s="432"/>
      <c r="E2" s="432"/>
      <c r="AT2" s="35" t="s">
        <v>234</v>
      </c>
      <c r="AU2" s="317">
        <f ca="1">AU1/$AI$1</f>
        <v>4.5204670299863484E-2</v>
      </c>
      <c r="AZ2" s="35" t="s">
        <v>234</v>
      </c>
      <c r="BA2" s="317">
        <f t="shared" ref="BA2:BJ2" ca="1" si="2">BA1/$AI$1</f>
        <v>3.4403375174814982E-2</v>
      </c>
      <c r="BB2" s="317">
        <f t="shared" ca="1" si="2"/>
        <v>2.4063911023671897E-3</v>
      </c>
      <c r="BC2" s="317">
        <f t="shared" ca="1" si="2"/>
        <v>1.2860105156149878E-2</v>
      </c>
      <c r="BD2" s="317">
        <f t="shared" ca="1" si="2"/>
        <v>8.9463900797057561E-3</v>
      </c>
      <c r="BE2" s="317">
        <f t="shared" ca="1" si="2"/>
        <v>7.8466861956582316E-7</v>
      </c>
      <c r="BF2" s="317">
        <f t="shared" ca="1" si="2"/>
        <v>1.2831519194493962E-4</v>
      </c>
      <c r="BG2" s="317">
        <f t="shared" ca="1" si="2"/>
        <v>5.2500305444895968E-5</v>
      </c>
      <c r="BH2" s="317">
        <f t="shared" ca="1" si="2"/>
        <v>5.2173686457905228E-7</v>
      </c>
      <c r="BI2" s="317">
        <f t="shared" ca="1" si="2"/>
        <v>-2.2294465206080195E-7</v>
      </c>
      <c r="BJ2" s="317">
        <f t="shared" ca="1" si="2"/>
        <v>-1.0834608320840501E-6</v>
      </c>
      <c r="BK2" s="317">
        <f ca="1">BK1/$AI$1</f>
        <v>-1.3592406710562898E-2</v>
      </c>
      <c r="BP2" s="317">
        <f t="shared" ref="BP2:BU2" ca="1" si="3">BP1/$AI$1</f>
        <v>0.10408251881716589</v>
      </c>
      <c r="BQ2" s="317">
        <f t="shared" si="3"/>
        <v>2.8927533581421947E-2</v>
      </c>
      <c r="BR2" s="317">
        <f t="shared" si="3"/>
        <v>1.2890722371945093E-2</v>
      </c>
      <c r="BS2" s="317">
        <f t="shared" si="3"/>
        <v>7.8828298267197686E-2</v>
      </c>
      <c r="BT2" s="317">
        <f t="shared" ca="1" si="3"/>
        <v>2.4774840773947393E-3</v>
      </c>
      <c r="BU2" s="317">
        <f t="shared" ca="1" si="3"/>
        <v>1.3592406710562898E-2</v>
      </c>
    </row>
    <row r="3" spans="1:75" ht="16.2" x14ac:dyDescent="0.3">
      <c r="F3" s="479" t="s">
        <v>302</v>
      </c>
      <c r="G3" s="479" t="s">
        <v>307</v>
      </c>
      <c r="H3" s="468"/>
      <c r="I3" s="460" t="s">
        <v>308</v>
      </c>
      <c r="J3" s="484"/>
      <c r="K3" s="468"/>
      <c r="L3" s="460" t="s">
        <v>309</v>
      </c>
      <c r="M3" s="484"/>
      <c r="N3" s="484"/>
      <c r="O3" s="484"/>
      <c r="P3" s="468"/>
      <c r="Q3" s="318" t="s">
        <v>310</v>
      </c>
      <c r="R3" s="460" t="s">
        <v>311</v>
      </c>
      <c r="S3" s="484"/>
      <c r="T3" s="484"/>
      <c r="U3" s="468"/>
      <c r="V3" s="460" t="s">
        <v>312</v>
      </c>
      <c r="W3" s="484"/>
      <c r="X3" s="468"/>
      <c r="Y3" s="460" t="s">
        <v>313</v>
      </c>
      <c r="Z3" s="484"/>
      <c r="AA3" s="484"/>
      <c r="AB3" s="484"/>
      <c r="AC3" s="468"/>
      <c r="AD3" s="460" t="s">
        <v>314</v>
      </c>
      <c r="AE3" s="484"/>
      <c r="AF3" s="484"/>
      <c r="AG3" s="468"/>
      <c r="AH3" s="460" t="s">
        <v>315</v>
      </c>
      <c r="AI3" s="484"/>
      <c r="AJ3" s="484"/>
      <c r="AK3" s="484"/>
      <c r="AL3" s="484"/>
      <c r="AM3" s="484"/>
      <c r="AN3" s="484"/>
      <c r="AO3" s="484"/>
      <c r="AP3" s="484"/>
      <c r="AQ3" s="484"/>
      <c r="AR3" s="468"/>
      <c r="AS3" s="460" t="s">
        <v>316</v>
      </c>
      <c r="AT3" s="484"/>
      <c r="AU3" s="484"/>
      <c r="AV3" s="484"/>
      <c r="AW3" s="468"/>
      <c r="AX3" s="460" t="s">
        <v>317</v>
      </c>
      <c r="AY3" s="484"/>
      <c r="AZ3" s="468"/>
      <c r="BA3" s="460" t="s">
        <v>318</v>
      </c>
      <c r="BB3" s="484"/>
      <c r="BC3" s="484"/>
      <c r="BD3" s="484"/>
      <c r="BE3" s="484"/>
      <c r="BF3" s="484"/>
      <c r="BG3" s="484"/>
      <c r="BH3" s="484"/>
      <c r="BI3" s="484"/>
      <c r="BJ3" s="484"/>
      <c r="BK3" s="485"/>
      <c r="BL3" s="478" t="s">
        <v>398</v>
      </c>
      <c r="BM3" s="458"/>
      <c r="BN3" s="458"/>
      <c r="BO3" s="458"/>
      <c r="BP3" s="458"/>
      <c r="BQ3" s="458"/>
      <c r="BR3" s="458"/>
      <c r="BS3" s="458"/>
      <c r="BT3" s="458"/>
      <c r="BU3" s="459"/>
    </row>
    <row r="4" spans="1:75" ht="55.8" thickBot="1" x14ac:dyDescent="0.35">
      <c r="F4" s="492"/>
      <c r="G4" s="321" t="s">
        <v>319</v>
      </c>
      <c r="H4" s="308" t="s">
        <v>320</v>
      </c>
      <c r="I4" s="322" t="s">
        <v>321</v>
      </c>
      <c r="J4" s="306" t="s">
        <v>322</v>
      </c>
      <c r="K4" s="326" t="s">
        <v>131</v>
      </c>
      <c r="L4" s="322" t="s">
        <v>323</v>
      </c>
      <c r="M4" s="306" t="s">
        <v>324</v>
      </c>
      <c r="N4" s="306" t="s">
        <v>325</v>
      </c>
      <c r="O4" s="306" t="s">
        <v>326</v>
      </c>
      <c r="P4" s="275" t="s">
        <v>276</v>
      </c>
      <c r="Q4" s="319" t="s">
        <v>327</v>
      </c>
      <c r="R4" s="322" t="s">
        <v>328</v>
      </c>
      <c r="S4" s="306" t="s">
        <v>329</v>
      </c>
      <c r="T4" s="76" t="s">
        <v>330</v>
      </c>
      <c r="U4" s="326" t="s">
        <v>331</v>
      </c>
      <c r="V4" s="322" t="s">
        <v>332</v>
      </c>
      <c r="W4" s="306" t="s">
        <v>333</v>
      </c>
      <c r="X4" s="326" t="s">
        <v>334</v>
      </c>
      <c r="Y4" s="322" t="s">
        <v>335</v>
      </c>
      <c r="Z4" s="306" t="s">
        <v>336</v>
      </c>
      <c r="AA4" s="306" t="s">
        <v>337</v>
      </c>
      <c r="AB4" s="306" t="s">
        <v>338</v>
      </c>
      <c r="AC4" s="275">
        <f>AssetShare_Table!$A$85</f>
        <v>2</v>
      </c>
      <c r="AD4" s="322" t="s">
        <v>339</v>
      </c>
      <c r="AE4" s="306" t="s">
        <v>340</v>
      </c>
      <c r="AF4" s="306" t="s">
        <v>341</v>
      </c>
      <c r="AG4" s="326" t="s">
        <v>342</v>
      </c>
      <c r="AH4" s="322" t="s">
        <v>343</v>
      </c>
      <c r="AI4" s="306" t="s">
        <v>344</v>
      </c>
      <c r="AJ4" s="306" t="s">
        <v>345</v>
      </c>
      <c r="AK4" s="306" t="s">
        <v>346</v>
      </c>
      <c r="AL4" s="306" t="s">
        <v>347</v>
      </c>
      <c r="AM4" s="306" t="s">
        <v>348</v>
      </c>
      <c r="AN4" s="306" t="s">
        <v>349</v>
      </c>
      <c r="AO4" s="306" t="s">
        <v>350</v>
      </c>
      <c r="AP4" s="306" t="s">
        <v>351</v>
      </c>
      <c r="AQ4" s="306" t="s">
        <v>352</v>
      </c>
      <c r="AR4" s="326" t="s">
        <v>353</v>
      </c>
      <c r="AS4" s="322" t="s">
        <v>354</v>
      </c>
      <c r="AT4" s="306" t="s">
        <v>355</v>
      </c>
      <c r="AU4" s="306" t="s">
        <v>356</v>
      </c>
      <c r="AV4" s="306" t="s">
        <v>357</v>
      </c>
      <c r="AW4" s="326" t="s">
        <v>358</v>
      </c>
      <c r="AX4" s="322" t="s">
        <v>359</v>
      </c>
      <c r="AY4" s="306" t="s">
        <v>360</v>
      </c>
      <c r="AZ4" s="326" t="s">
        <v>361</v>
      </c>
      <c r="BA4" s="78" t="s">
        <v>238</v>
      </c>
      <c r="BB4" s="76" t="s">
        <v>242</v>
      </c>
      <c r="BC4" s="76" t="s">
        <v>247</v>
      </c>
      <c r="BD4" s="76" t="s">
        <v>252</v>
      </c>
      <c r="BE4" s="76" t="s">
        <v>362</v>
      </c>
      <c r="BF4" s="76" t="s">
        <v>363</v>
      </c>
      <c r="BG4" s="76" t="s">
        <v>364</v>
      </c>
      <c r="BH4" s="76" t="s">
        <v>365</v>
      </c>
      <c r="BI4" s="76" t="s">
        <v>366</v>
      </c>
      <c r="BJ4" s="76" t="s">
        <v>367</v>
      </c>
      <c r="BK4" s="307" t="s">
        <v>368</v>
      </c>
      <c r="BL4" s="380" t="s">
        <v>399</v>
      </c>
      <c r="BM4" s="378" t="s">
        <v>400</v>
      </c>
      <c r="BN4" s="378" t="s">
        <v>401</v>
      </c>
      <c r="BO4" s="378" t="s">
        <v>326</v>
      </c>
      <c r="BP4" s="378" t="s">
        <v>402</v>
      </c>
      <c r="BQ4" s="378" t="s">
        <v>403</v>
      </c>
      <c r="BR4" s="378" t="s">
        <v>404</v>
      </c>
      <c r="BS4" s="378" t="s">
        <v>405</v>
      </c>
      <c r="BT4" s="378" t="s">
        <v>349</v>
      </c>
      <c r="BU4" s="379" t="s">
        <v>350</v>
      </c>
    </row>
    <row r="5" spans="1:75" ht="15.6" thickTop="1" thickBot="1" x14ac:dyDescent="0.35">
      <c r="A5" s="480" t="s">
        <v>369</v>
      </c>
      <c r="B5" s="481"/>
      <c r="C5" s="482" t="s">
        <v>370</v>
      </c>
      <c r="D5" s="483"/>
      <c r="F5" s="36">
        <v>1</v>
      </c>
      <c r="G5" s="363">
        <f t="shared" ref="G5:G36" si="4">IF(F5&lt;=$B$10,F5,"")</f>
        <v>1</v>
      </c>
      <c r="H5" s="153">
        <f t="shared" ref="H5:H36" si="5">IF($G5="","",$B$7+$G5-1)</f>
        <v>35</v>
      </c>
      <c r="I5" s="323">
        <f>IF($G5="","",IF($G5&lt;=$B$9,$B$11,0))</f>
        <v>423</v>
      </c>
      <c r="J5" s="163">
        <f t="shared" ref="J5:J36" si="6">IF($G5="","",IF($G5&lt;=$B$9,$B$12,0))</f>
        <v>423</v>
      </c>
      <c r="K5" s="327">
        <f ca="1">IF($G5="","",Reserve!N5)</f>
        <v>5.3543528305965324</v>
      </c>
      <c r="L5" s="163">
        <f>IF($G5="","",IF($G5&gt;1,0,$B$44/$B$13+$J5*$C$44))</f>
        <v>60.213369090909097</v>
      </c>
      <c r="M5" s="163">
        <f>IF($G5="","",IF($G5&gt;1,$B$45/$B$13+$J5*$C$45,0))</f>
        <v>0</v>
      </c>
      <c r="N5" s="163">
        <f>IF($G5="","",IF($G5&gt;1,$B$46/$B$13+$J5*$C$46,0))</f>
        <v>0</v>
      </c>
      <c r="O5" s="163">
        <f t="shared" ref="O5:O68" si="7">IF($G5="","",$J5*$B54*IF($G5=1,1+$B$51,1))</f>
        <v>284.25600000000003</v>
      </c>
      <c r="P5" s="327">
        <f>IF($G5="","",SUM(L5:O5)*$D$12)</f>
        <v>344.46936909090914</v>
      </c>
      <c r="Q5" s="218">
        <f ca="1">IF($G5="","",Reserve!$I5)</f>
        <v>453</v>
      </c>
      <c r="R5" s="323">
        <f>IF($G5="","",Reserve!$J6+Reserve!$K6)</f>
        <v>0</v>
      </c>
      <c r="S5" s="163">
        <f ca="1">IF($G5="","",Change!$G6)</f>
        <v>0</v>
      </c>
      <c r="T5" s="163">
        <f t="shared" ref="T5" ca="1" si="8">IF($G5="","",MAX($J5-$K5,0)*$B$50)</f>
        <v>8.8729129433880694</v>
      </c>
      <c r="U5" s="331">
        <f t="shared" ref="U5:U36" si="9">IF($G5="","",$C$47*($C$48+(1-$C$48)*$C$49^($G5-1)))</f>
        <v>2.7720000000000002E-3</v>
      </c>
      <c r="V5" s="323">
        <f ca="1">IF($G5="","",Reserve!$Q6-$R5)</f>
        <v>0</v>
      </c>
      <c r="W5" s="163">
        <f ca="1">IF($G5="","",Reserve!$S6)</f>
        <v>0</v>
      </c>
      <c r="X5" s="327">
        <f t="shared" ref="X5:X36" ca="1" si="10">IF($G5="","",$V5+$W5)</f>
        <v>0</v>
      </c>
      <c r="Y5" s="334">
        <f t="shared" ref="Y5:Y36" si="11">IF($G5="","",$D$6)</f>
        <v>2.5999999999999999E-2</v>
      </c>
      <c r="Z5" s="220">
        <f>IF($G5="","",VLOOKUP(H5,Life!$A$3:$Q$113,$B$6+1,FALSE))</f>
        <v>1.8860000000000001E-3</v>
      </c>
      <c r="AA5" s="220">
        <f t="shared" ref="AA5:AA36" si="12">IF($G5="","",Z5*$D$10)</f>
        <v>1.6974000000000002E-3</v>
      </c>
      <c r="AB5" s="220">
        <f t="shared" ref="AB5:AB36" si="13">IF($G5="","",AF5/AD5)</f>
        <v>9.9830260000000004E-2</v>
      </c>
      <c r="AC5" s="331">
        <f>IF($G5="","",HLOOKUP($G5,AssetShare_Table!$B$84:$G$85,2)*$D$11)</f>
        <v>0.1</v>
      </c>
      <c r="AD5" s="334">
        <f t="shared" ref="AD5:AD36" si="14">IF($G5="","",IF($G5=1,1,$AG4))</f>
        <v>1</v>
      </c>
      <c r="AE5" s="220">
        <f t="shared" ref="AE5:AE36" si="15">IF($G5="","",$AD5*$AA5)</f>
        <v>1.6974000000000002E-3</v>
      </c>
      <c r="AF5" s="220">
        <f t="shared" ref="AF5:AF36" si="16">IF($G5="","",IF($AC$4=1,$AD5*$AC5,IF($AC$4=2,($AD5-$AE5)*$AC5,MAX($AD5*$AC5-$AE5,0))))</f>
        <v>9.9830260000000004E-2</v>
      </c>
      <c r="AG5" s="331">
        <f t="shared" ref="AG5:AG36" si="17">IF($G5="","",$AD5-$AE5-$AF5)</f>
        <v>0.89847234000000009</v>
      </c>
      <c r="AH5" s="323">
        <f t="shared" ref="AH5:AH36" si="18">IF($G5="","",IF($G5=1,0,$AQ4))</f>
        <v>0</v>
      </c>
      <c r="AI5" s="163">
        <f t="shared" ref="AI5:AI36" si="19">IF($G5="","",$J5*$AD5*$B$13)</f>
        <v>27918</v>
      </c>
      <c r="AJ5" s="163">
        <f>IF($G5="","",$P5*$AD5*$B$13)</f>
        <v>22734.978360000005</v>
      </c>
      <c r="AK5" s="163">
        <f t="shared" ref="AK5:AK36" ca="1" si="20">IF($G5="","",$Q5*$AE5*$B$13)</f>
        <v>301.8627108</v>
      </c>
      <c r="AL5" s="163">
        <f t="shared" ref="AL5:AL36" si="21">IF($G5="","",$R5*($AF5+$AG5)*$B$13)</f>
        <v>0</v>
      </c>
      <c r="AM5" s="163">
        <f t="shared" ref="AM5:AM36" ca="1" si="22">IF($G5="","",$S5*$AF5*$B$13)</f>
        <v>0</v>
      </c>
      <c r="AN5" s="163">
        <f ca="1">IF($G5="","",$T5*$AD5*$B$13)</f>
        <v>0</v>
      </c>
      <c r="AO5" s="163">
        <f ca="1">IF($G5="","",$U5*$V5*$AG5*$B$13)</f>
        <v>0</v>
      </c>
      <c r="AP5" s="163">
        <f t="shared" ref="AP5:AP36" ca="1" si="23">IF($G5="","",($AH5+$AI5-$AJ5)*$Y5-$AK5*((1+$Y5)^0.5-1))</f>
        <v>251.81115409471727</v>
      </c>
      <c r="AQ5" s="163">
        <f ca="1">IF($G5="","",$AH5+$AI5-SUM($AJ5:$AO5)+$AP5)</f>
        <v>9234.8350808046562</v>
      </c>
      <c r="AR5" s="327">
        <f ca="1">IF($G5="","",$X5*$AG5*$B$13)</f>
        <v>0</v>
      </c>
      <c r="AS5" s="323">
        <f t="shared" ref="AS5:AS36" ca="1" si="24">IF($G5="","",$AQ5-$AR5)</f>
        <v>9234.8350808046562</v>
      </c>
      <c r="AT5" s="163">
        <f t="shared" ref="AT5:AT36" ca="1" si="25">IF($G5="","",$AS5-IF($G5=1,0,$AS4))</f>
        <v>9234.8350808046562</v>
      </c>
      <c r="AU5" s="163">
        <f t="shared" ref="AU5:AU36" ca="1" si="26">IF($G5="","",$AS5-IF($G5=1,0,$AS4*(1+$Y5)))</f>
        <v>9234.8350808046562</v>
      </c>
      <c r="AV5" s="163">
        <f t="shared" ref="AV5:AV36" ca="1" si="27">IF($G5="","",IF($AS5&gt;0,0,$G5))</f>
        <v>0</v>
      </c>
      <c r="AW5" s="327">
        <f t="shared" ref="AW5:AW36" ca="1" si="28">IF($G5="","",IF($AU5&gt;0,0,$G5))</f>
        <v>0</v>
      </c>
      <c r="AX5" s="323">
        <f ca="1">IF($G5="","",Reserve!$P6-$R5)</f>
        <v>4.6174153840183862E-3</v>
      </c>
      <c r="AY5" s="220">
        <f t="shared" ref="AY5:AY36" si="29">IF($G5="","",$C$34)</f>
        <v>2.2499999999999999E-2</v>
      </c>
      <c r="AZ5" s="331">
        <f>IF($G5="","",VLOOKUP($H5,Life!$A$3:$R$113,18,FALSE))</f>
        <v>1.8860041592487161E-3</v>
      </c>
      <c r="BA5" s="162">
        <f t="shared" ref="BA5:BA36" ca="1" si="30">IF($G5="","",(($K5+IF($G5=1,0,$AX4))*($Y5-$AY5)-$Q5*$AZ5*((1+$Y5)^0.5-(1+$AY5)^0.5))*$AD5*$B$13)</f>
        <v>0.58192727682408296</v>
      </c>
      <c r="BB5" s="163">
        <f t="shared" ref="BB5:BB36" ca="1" si="31">IF($G5="","",($AX5+$R5-$Q5*(1+$AY5)^0.5)*($AA5-$AZ5)*$AD5*$B$13)</f>
        <v>33.916218847478291</v>
      </c>
      <c r="BC5" s="163">
        <f t="shared" ref="BC5:BC36" ca="1" si="32">IF($G5="","",(($J5-$P5-$K5)*(1+$AY5)-$T5)*$AD5*$B$13)</f>
        <v>9166.735102714274</v>
      </c>
      <c r="BD5" s="163">
        <f t="shared" ref="BD5:BD36" ca="1" si="33">IF($G5="","",$AB5*($AX5-$S5)*$AD5*$B$13)</f>
        <v>2.8320287627115009E-2</v>
      </c>
      <c r="BE5" s="163">
        <f t="shared" ref="BE5:BE36" ca="1" si="34">IF($G5="","",((IF($G5=1,0,$X4)-IF($G5=1,0,$AX4))*(1+$AY5)-(1-$AZ5)*($X5-$AX5))*$AD5*$B$13)</f>
        <v>0.28286099060584513</v>
      </c>
      <c r="BF5" s="163">
        <f ca="1">IF($G5="","",-$Q5*($AA5-$AZ5)*((1+$Y5)^0.5-(1+$AY5)^0.5)*$AD5*$B$13)</f>
        <v>0</v>
      </c>
      <c r="BG5" s="163">
        <f t="shared" ref="BG5:BG36" ca="1" si="35">IF($G5="","",($J5-$P5-$K5)*($Y5-$AY5)*$AD5*$B$13)</f>
        <v>33.260630775760553</v>
      </c>
      <c r="BH5" s="163">
        <f t="shared" ref="BH5:BH36" si="36">IF($G5="","",(IF($G5=1,0,$X4)-IF($G5=1,0,$AX4))*($Y5-$AY5)*$AD5*$B$13)</f>
        <v>0</v>
      </c>
      <c r="BI5" s="163">
        <f t="shared" ref="BI5:BI36" ca="1" si="37">IF($G5="","",$AB5*($X5-$AX5)*$AD5*$B$13)</f>
        <v>-2.8320287627115009E-2</v>
      </c>
      <c r="BJ5" s="163">
        <f t="shared" ref="BJ5:BJ36" ca="1" si="38">IF($G5="","",($AA5-$AZ5)*($X5-$AX5)*$AD5*$B$13)</f>
        <v>3.4188566530490903E-4</v>
      </c>
      <c r="BK5" s="164">
        <f t="shared" ref="BK5:BK36" ca="1" si="39">IF($G5="","",-(1-$AA5-$AB5)*$U5*$X5*$AD5*$B$13)</f>
        <v>0</v>
      </c>
      <c r="BL5" s="163">
        <f ca="1">IF($G5="","",I5*$B$36)</f>
        <v>46.73305094890749</v>
      </c>
      <c r="BM5" s="163">
        <f>IF($G5="","",IF($G5&gt;1,($B$45+$B$46)/$B$13,$B$44/$B$13))</f>
        <v>52.590909090909093</v>
      </c>
      <c r="BN5" s="163">
        <f>IF($G5="","",IF($G5=1,$J5*$C$44,$J5*$C$45+$J5*$C$46))</f>
        <v>7.6224600000000002</v>
      </c>
      <c r="BO5" s="163">
        <f>O5</f>
        <v>284.25600000000003</v>
      </c>
      <c r="BP5" s="163">
        <f ca="1">IF($G5="","",$BL5*$AD5*$B$13)</f>
        <v>2897.4491588322644</v>
      </c>
      <c r="BQ5" s="163">
        <f>IF($G5="","",$BM5*$AD5*$B$13)</f>
        <v>3471</v>
      </c>
      <c r="BR5" s="163">
        <f>IF($G5="","",$BN5*$AD5*$B$13)</f>
        <v>503.08235999999999</v>
      </c>
      <c r="BS5" s="163">
        <f>IF($G5="","",$BO5*$AD5*$B$13)</f>
        <v>18760.896000000001</v>
      </c>
      <c r="BT5" s="163">
        <f ca="1">AN5</f>
        <v>550.12060249006026</v>
      </c>
      <c r="BU5" s="164">
        <f ca="1">AO5</f>
        <v>0</v>
      </c>
      <c r="BV5" s="411" t="s">
        <v>416</v>
      </c>
      <c r="BW5" s="203">
        <f>AI1</f>
        <v>319731.01079148694</v>
      </c>
    </row>
    <row r="6" spans="1:75" x14ac:dyDescent="0.3">
      <c r="A6" s="43" t="s">
        <v>166</v>
      </c>
      <c r="B6" s="309">
        <f>Pricing!B6</f>
        <v>1</v>
      </c>
      <c r="C6" s="100" t="s">
        <v>236</v>
      </c>
      <c r="D6" s="267">
        <f>AssetShare_Table!B6</f>
        <v>2.5999999999999999E-2</v>
      </c>
      <c r="F6" s="36">
        <v>2</v>
      </c>
      <c r="G6" s="363">
        <f t="shared" si="4"/>
        <v>2</v>
      </c>
      <c r="H6" s="153">
        <f t="shared" si="5"/>
        <v>36</v>
      </c>
      <c r="I6" s="323">
        <f t="shared" ref="I6:I36" si="40">IF($G6="","",IF($G6&lt;=$B$9,$B$11,0))</f>
        <v>423</v>
      </c>
      <c r="J6" s="163">
        <f t="shared" si="6"/>
        <v>423</v>
      </c>
      <c r="K6" s="327">
        <f ca="1">IF($G6="","",Reserve!N6)</f>
        <v>434.69252384829758</v>
      </c>
      <c r="L6" s="163">
        <f t="shared" ref="L6:L69" si="41">IF($G6="","",IF($G6&gt;1,0,$B$44/$B$13+$J6*$C$44))</f>
        <v>0</v>
      </c>
      <c r="M6" s="163">
        <f t="shared" ref="M6:M69" si="42">IF($G6="","",IF($G6&gt;1,$B$45/$B$13+$J6*$C$45,0))</f>
        <v>7.0336496969696976</v>
      </c>
      <c r="N6" s="163">
        <f t="shared" ref="N6:N69" si="43">IF($G6="","",IF($G6&gt;1,$B$46/$B$13+$J6*$C$46,0))</f>
        <v>3.9085199999999998</v>
      </c>
      <c r="O6" s="163">
        <f t="shared" si="7"/>
        <v>42.300000000000004</v>
      </c>
      <c r="P6" s="327">
        <f t="shared" ref="P6:P68" si="44">IF($G6="","",SUM(L6:O6)*$D$12)</f>
        <v>53.242169696969704</v>
      </c>
      <c r="Q6" s="218">
        <f ca="1">IF($G6="","",Reserve!$I6)</f>
        <v>912</v>
      </c>
      <c r="R6" s="323">
        <f>IF($G6="","",Reserve!$J7+Reserve!$K7)</f>
        <v>0</v>
      </c>
      <c r="S6" s="163">
        <f ca="1">IF($G6="","",Change!$G7)</f>
        <v>343</v>
      </c>
      <c r="T6" s="163">
        <f ca="1">IF($G6="","",MAX($J6-$K6,0)*$B$50)</f>
        <v>0</v>
      </c>
      <c r="U6" s="331">
        <f t="shared" si="9"/>
        <v>2.6167680000000007E-3</v>
      </c>
      <c r="V6" s="323">
        <f ca="1">IF($G6="","",Reserve!$Q7-$R6)</f>
        <v>438</v>
      </c>
      <c r="W6" s="163">
        <f ca="1">IF($G6="","",Reserve!$S7)</f>
        <v>0</v>
      </c>
      <c r="X6" s="327">
        <f t="shared" ca="1" si="10"/>
        <v>438</v>
      </c>
      <c r="Y6" s="334">
        <f t="shared" si="11"/>
        <v>2.5999999999999999E-2</v>
      </c>
      <c r="Z6" s="220">
        <f>IF($G6="","",VLOOKUP(H6,Life!$A$3:$Q$113,$B$6+1,FALSE))</f>
        <v>2.0370000000000002E-3</v>
      </c>
      <c r="AA6" s="220">
        <f t="shared" si="12"/>
        <v>1.8333000000000002E-3</v>
      </c>
      <c r="AB6" s="220">
        <f t="shared" si="13"/>
        <v>7.9853335999999997E-2</v>
      </c>
      <c r="AC6" s="331">
        <f>IF($G6="","",HLOOKUP($G6,AssetShare_Table!$B$84:$G$85,2)*$D$11)</f>
        <v>0.08</v>
      </c>
      <c r="AD6" s="334">
        <f t="shared" si="14"/>
        <v>0.89847234000000009</v>
      </c>
      <c r="AE6" s="220">
        <f t="shared" si="15"/>
        <v>1.6471693409220002E-3</v>
      </c>
      <c r="AF6" s="220">
        <f t="shared" si="16"/>
        <v>7.1746013652726245E-2</v>
      </c>
      <c r="AG6" s="331">
        <f t="shared" si="17"/>
        <v>0.82507915700635182</v>
      </c>
      <c r="AH6" s="323">
        <f t="shared" ca="1" si="18"/>
        <v>9234.8350808046562</v>
      </c>
      <c r="AI6" s="163">
        <f t="shared" si="19"/>
        <v>25083.550788120003</v>
      </c>
      <c r="AJ6" s="163">
        <f t="shared" ref="AJ6:AJ36" si="45">IF($G6="","",$P6*$AD6*$B$13)</f>
        <v>3157.2167084246885</v>
      </c>
      <c r="AK6" s="163">
        <f t="shared" ca="1" si="20"/>
        <v>594.89908036288693</v>
      </c>
      <c r="AL6" s="163">
        <f t="shared" si="21"/>
        <v>0</v>
      </c>
      <c r="AM6" s="163">
        <f t="shared" ca="1" si="22"/>
        <v>1496.7963279936569</v>
      </c>
      <c r="AN6" s="163">
        <f t="shared" ref="AN6:AN69" ca="1" si="46">IF($G6="","",$T6*$AD6*$B$13)</f>
        <v>0</v>
      </c>
      <c r="AO6" s="163">
        <f t="shared" ref="AO6:AO69" ca="1" si="47">IF($G6="","",$U6*$V6*$AG6*$B$13)</f>
        <v>57.518262714869252</v>
      </c>
      <c r="AP6" s="163">
        <f t="shared" ca="1" si="23"/>
        <v>795.69434018124957</v>
      </c>
      <c r="AQ6" s="163">
        <f t="shared" ref="AQ6:AQ36" ca="1" si="48">IF($G6="","",$AH6+$AI6-SUM($AJ6:$AO6)+$AP6)</f>
        <v>29529.854457410289</v>
      </c>
      <c r="AR6" s="327">
        <f t="shared" ref="AR6:AR36" ca="1" si="49">IF($G6="","",$X6*$AG6*$B$13)</f>
        <v>21980.650449282944</v>
      </c>
      <c r="AS6" s="323">
        <f t="shared" ca="1" si="24"/>
        <v>7549.2040081273444</v>
      </c>
      <c r="AT6" s="163">
        <f t="shared" ca="1" si="25"/>
        <v>-1685.6310726773117</v>
      </c>
      <c r="AU6" s="163">
        <f t="shared" ca="1" si="26"/>
        <v>-1925.7367847782334</v>
      </c>
      <c r="AV6" s="163">
        <f t="shared" ca="1" si="27"/>
        <v>0</v>
      </c>
      <c r="AW6" s="327">
        <f t="shared" ca="1" si="28"/>
        <v>2</v>
      </c>
      <c r="AX6" s="323">
        <f ca="1">IF($G6="","",Reserve!$P7-$R6)</f>
        <v>438.12182064781882</v>
      </c>
      <c r="AY6" s="220">
        <f t="shared" si="29"/>
        <v>2.2499999999999999E-2</v>
      </c>
      <c r="AZ6" s="331">
        <f>IF($G6="","",VLOOKUP($H6,Life!$A$3:$R$113,18,FALSE))</f>
        <v>2.0370097908293011E-3</v>
      </c>
      <c r="BA6" s="162">
        <f t="shared" ca="1" si="30"/>
        <v>82.840925740429199</v>
      </c>
      <c r="BB6" s="163">
        <f t="shared" ca="1" si="31"/>
        <v>35.086389166356348</v>
      </c>
      <c r="BC6" s="163">
        <f t="shared" ca="1" si="32"/>
        <v>-2399.0504376517124</v>
      </c>
      <c r="BD6" s="163">
        <f t="shared" ca="1" si="33"/>
        <v>415.09618617412951</v>
      </c>
      <c r="BE6" s="163">
        <f t="shared" ca="1" si="34"/>
        <v>6.3756221256989383</v>
      </c>
      <c r="BF6" s="163">
        <f t="shared" ref="BF6:BF36" ca="1" si="50">IF($G6="","",-$Q6*($AA6-$AZ6)*((1+$Y6)^0.5-(1+$AY6)^0.5)*$AD6*$B$13)</f>
        <v>0.11430115057560029</v>
      </c>
      <c r="BG6" s="163">
        <f t="shared" ca="1" si="35"/>
        <v>-8.1578407537949253</v>
      </c>
      <c r="BH6" s="163">
        <f t="shared" ca="1" si="36"/>
        <v>-8.9208906025412254E-4</v>
      </c>
      <c r="BI6" s="163">
        <f t="shared" ca="1" si="37"/>
        <v>-0.53160553448694325</v>
      </c>
      <c r="BJ6" s="163">
        <f t="shared" ca="1" si="38"/>
        <v>8.8296084993262688E-3</v>
      </c>
      <c r="BK6" s="164">
        <f t="shared" ca="1" si="39"/>
        <v>-57.518262714869245</v>
      </c>
      <c r="BL6" s="163">
        <f t="shared" ref="BL6:BL69" ca="1" si="51">IF($G6="","",I6*$B$36)</f>
        <v>46.73305094890749</v>
      </c>
      <c r="BM6" s="163">
        <f t="shared" ref="BM6:BM69" si="52">IF($G6="","",IF($G6&gt;1,($B$45+$B$46)/$B$13,$B$44/$B$13))</f>
        <v>5.6969696969696972</v>
      </c>
      <c r="BN6" s="163">
        <f t="shared" ref="BN6:BN69" si="53">IF($G6="","",IF($G6=1,$J6*$C$44,$J6*$C$45+$J6*$C$46))</f>
        <v>5.2451999999999996</v>
      </c>
      <c r="BO6" s="163">
        <f t="shared" ref="BO6:BO69" si="54">O6</f>
        <v>42.300000000000004</v>
      </c>
      <c r="BP6" s="163">
        <f t="shared" ref="BP6:BP69" ca="1" si="55">IF($G6="","",$BL6*$AD6*$B$13)</f>
        <v>2579.6771592866703</v>
      </c>
      <c r="BQ6" s="163">
        <f t="shared" ref="BQ6:BQ69" si="56">IF($G6="","",$BM6*$AD6*$B$13)</f>
        <v>337.82559984000005</v>
      </c>
      <c r="BR6" s="163">
        <f t="shared" ref="BR6:BR69" si="57">IF($G6="","",$BN6*$AD6*$B$13)</f>
        <v>311.03602977268804</v>
      </c>
      <c r="BS6" s="163">
        <f t="shared" ref="BS6:BS69" si="58">IF($G6="","",$BO6*$AD6*$B$13)</f>
        <v>2508.3550788120006</v>
      </c>
      <c r="BT6" s="163">
        <f t="shared" ref="BT6:BT69" ca="1" si="59">AN6</f>
        <v>15.795531721623371</v>
      </c>
      <c r="BU6" s="164">
        <f t="shared" ref="BU6:BU69" ca="1" si="60">AO6</f>
        <v>57.518262714869252</v>
      </c>
      <c r="BV6" s="411" t="s">
        <v>417</v>
      </c>
      <c r="BW6" s="203">
        <f ca="1">BP1</f>
        <v>29093.530851226955</v>
      </c>
    </row>
    <row r="7" spans="1:75" x14ac:dyDescent="0.3">
      <c r="A7" s="39" t="s">
        <v>167</v>
      </c>
      <c r="B7" s="310">
        <f>Pricing!B7</f>
        <v>35</v>
      </c>
      <c r="C7" s="247" t="s">
        <v>239</v>
      </c>
      <c r="D7" s="62">
        <f>AssetShare_Table!B7</f>
        <v>3.1899999999999998E-2</v>
      </c>
      <c r="F7" s="36">
        <v>3</v>
      </c>
      <c r="G7" s="363">
        <f t="shared" si="4"/>
        <v>3</v>
      </c>
      <c r="H7" s="153">
        <f t="shared" si="5"/>
        <v>37</v>
      </c>
      <c r="I7" s="323">
        <f t="shared" si="40"/>
        <v>423</v>
      </c>
      <c r="J7" s="163">
        <f t="shared" si="6"/>
        <v>423</v>
      </c>
      <c r="K7" s="327">
        <f ca="1">IF($G7="","",Reserve!N7)</f>
        <v>434.69252384829758</v>
      </c>
      <c r="L7" s="163">
        <f t="shared" si="41"/>
        <v>0</v>
      </c>
      <c r="M7" s="163">
        <f t="shared" si="42"/>
        <v>7.0336496969696976</v>
      </c>
      <c r="N7" s="163">
        <f t="shared" si="43"/>
        <v>3.9085199999999998</v>
      </c>
      <c r="O7" s="163">
        <f t="shared" si="7"/>
        <v>21.150000000000002</v>
      </c>
      <c r="P7" s="327">
        <f t="shared" si="44"/>
        <v>32.092169696969698</v>
      </c>
      <c r="Q7" s="218">
        <f ca="1">IF($G7="","",Reserve!$I7)</f>
        <v>1374</v>
      </c>
      <c r="R7" s="323">
        <f>IF($G7="","",Reserve!$J8+Reserve!$K8)</f>
        <v>0</v>
      </c>
      <c r="S7" s="163">
        <f ca="1">IF($G7="","",Change!$G8)</f>
        <v>707</v>
      </c>
      <c r="T7" s="163">
        <f ca="1">IF($G7="","",MAX($J7-$K7,0)*$B$50)</f>
        <v>0</v>
      </c>
      <c r="U7" s="331">
        <f t="shared" si="9"/>
        <v>2.4724022400000002E-3</v>
      </c>
      <c r="V7" s="323">
        <f ca="1">IF($G7="","",Reserve!$Q8-$R7)</f>
        <v>885</v>
      </c>
      <c r="W7" s="163">
        <f ca="1">IF($G7="","",Reserve!$S8)</f>
        <v>0</v>
      </c>
      <c r="X7" s="327">
        <f t="shared" ca="1" si="10"/>
        <v>885</v>
      </c>
      <c r="Y7" s="334">
        <f t="shared" si="11"/>
        <v>2.5999999999999999E-2</v>
      </c>
      <c r="Z7" s="220">
        <f>IF($G7="","",VLOOKUP(H7,Life!$A$3:$Q$113,$B$6+1,FALSE))</f>
        <v>2.2009999999999998E-3</v>
      </c>
      <c r="AA7" s="220">
        <f t="shared" si="12"/>
        <v>1.9808999999999998E-3</v>
      </c>
      <c r="AB7" s="220">
        <f t="shared" si="13"/>
        <v>3.9920764000000004E-2</v>
      </c>
      <c r="AC7" s="331">
        <f>IF($G7="","",HLOOKUP($G7,AssetShare_Table!$B$84:$G$85,2)*$D$11)</f>
        <v>0.04</v>
      </c>
      <c r="AD7" s="334">
        <f t="shared" si="14"/>
        <v>0.82507915700635182</v>
      </c>
      <c r="AE7" s="220">
        <f t="shared" si="15"/>
        <v>1.6343993021138822E-3</v>
      </c>
      <c r="AF7" s="220">
        <f t="shared" si="16"/>
        <v>3.2937790308169519E-2</v>
      </c>
      <c r="AG7" s="331">
        <f t="shared" si="17"/>
        <v>0.79050696739606841</v>
      </c>
      <c r="AH7" s="323">
        <f t="shared" ca="1" si="18"/>
        <v>29529.854457410289</v>
      </c>
      <c r="AI7" s="163">
        <f t="shared" si="19"/>
        <v>23034.559905303329</v>
      </c>
      <c r="AJ7" s="163">
        <f t="shared" si="45"/>
        <v>1747.5863011253161</v>
      </c>
      <c r="AK7" s="163">
        <f t="shared" ca="1" si="20"/>
        <v>896.91992970482943</v>
      </c>
      <c r="AL7" s="163">
        <f t="shared" si="21"/>
        <v>0</v>
      </c>
      <c r="AM7" s="163">
        <f t="shared" ca="1" si="22"/>
        <v>1400.7466711324842</v>
      </c>
      <c r="AN7" s="163">
        <f t="shared" ca="1" si="46"/>
        <v>0</v>
      </c>
      <c r="AO7" s="163">
        <f t="shared" ca="1" si="47"/>
        <v>104.04322993601382</v>
      </c>
      <c r="AP7" s="163">
        <f t="shared" ca="1" si="23"/>
        <v>1297.5707327833036</v>
      </c>
      <c r="AQ7" s="163">
        <f t="shared" ca="1" si="48"/>
        <v>49233.649646821803</v>
      </c>
      <c r="AR7" s="327">
        <f t="shared" ca="1" si="49"/>
        <v>42081.837757926405</v>
      </c>
      <c r="AS7" s="323">
        <f t="shared" ca="1" si="24"/>
        <v>7151.8118888953977</v>
      </c>
      <c r="AT7" s="163">
        <f t="shared" ca="1" si="25"/>
        <v>-397.39211923194671</v>
      </c>
      <c r="AU7" s="163">
        <f t="shared" ca="1" si="26"/>
        <v>-593.67142344325748</v>
      </c>
      <c r="AV7" s="163">
        <f t="shared" ca="1" si="27"/>
        <v>0</v>
      </c>
      <c r="AW7" s="327">
        <f t="shared" ca="1" si="28"/>
        <v>3</v>
      </c>
      <c r="AX7" s="323">
        <f ca="1">IF($G7="","",Reserve!$P8-$R7)</f>
        <v>885.16536812463073</v>
      </c>
      <c r="AY7" s="220">
        <f t="shared" si="29"/>
        <v>2.2499999999999999E-2</v>
      </c>
      <c r="AZ7" s="331">
        <f>IF($G7="","",VLOOKUP($H7,Life!$A$3:$R$113,18,FALSE))</f>
        <v>2.201013749684377E-3</v>
      </c>
      <c r="BA7" s="162">
        <f t="shared" ca="1" si="30"/>
        <v>151.58176611445285</v>
      </c>
      <c r="BB7" s="163">
        <f t="shared" ca="1" si="31"/>
        <v>36.571025342916613</v>
      </c>
      <c r="BC7" s="163">
        <f t="shared" ca="1" si="32"/>
        <v>-1029.0617336733831</v>
      </c>
      <c r="BD7" s="163">
        <f t="shared" ca="1" si="33"/>
        <v>352.99087172796334</v>
      </c>
      <c r="BE7" s="163">
        <f t="shared" ca="1" si="34"/>
        <v>1.9278959630942327</v>
      </c>
      <c r="BF7" s="163">
        <f t="shared" ca="1" si="50"/>
        <v>0.17232605796244879</v>
      </c>
      <c r="BG7" s="163">
        <f t="shared" ca="1" si="35"/>
        <v>-3.4733061001309675</v>
      </c>
      <c r="BH7" s="163">
        <f t="shared" ca="1" si="36"/>
        <v>-2.1397122763099463E-2</v>
      </c>
      <c r="BI7" s="163">
        <f t="shared" ca="1" si="37"/>
        <v>-0.32763628018093188</v>
      </c>
      <c r="BJ7" s="163">
        <f t="shared" ca="1" si="38"/>
        <v>1.1994462780722444E-2</v>
      </c>
      <c r="BK7" s="164">
        <f t="shared" ca="1" si="39"/>
        <v>-104.04322993601383</v>
      </c>
      <c r="BL7" s="163">
        <f t="shared" ca="1" si="51"/>
        <v>46.73305094890749</v>
      </c>
      <c r="BM7" s="163">
        <f t="shared" si="52"/>
        <v>5.6969696969696972</v>
      </c>
      <c r="BN7" s="163">
        <f t="shared" si="53"/>
        <v>5.2451999999999996</v>
      </c>
      <c r="BO7" s="163">
        <f t="shared" si="54"/>
        <v>21.150000000000002</v>
      </c>
      <c r="BP7" s="163">
        <f t="shared" ca="1" si="55"/>
        <v>2345.2576651517493</v>
      </c>
      <c r="BQ7" s="163">
        <f t="shared" si="56"/>
        <v>310.22976303438827</v>
      </c>
      <c r="BR7" s="163">
        <f t="shared" si="57"/>
        <v>285.62854282576131</v>
      </c>
      <c r="BS7" s="163">
        <f t="shared" si="58"/>
        <v>1151.7279952651666</v>
      </c>
      <c r="BT7" s="163">
        <f t="shared" ca="1" si="59"/>
        <v>14.360165849407432</v>
      </c>
      <c r="BU7" s="164">
        <f t="shared" ca="1" si="60"/>
        <v>104.04322993601382</v>
      </c>
      <c r="BV7" s="411" t="s">
        <v>418</v>
      </c>
      <c r="BW7" s="368">
        <f ca="1">BP2</f>
        <v>0.10408251881716589</v>
      </c>
    </row>
    <row r="8" spans="1:75" x14ac:dyDescent="0.3">
      <c r="A8" s="39" t="s">
        <v>168</v>
      </c>
      <c r="B8" s="310">
        <f>Pricing!B8</f>
        <v>4</v>
      </c>
      <c r="C8" s="247" t="s">
        <v>244</v>
      </c>
      <c r="D8" s="62">
        <f>AssetShare_Table!B8</f>
        <v>2.5999999999999999E-2</v>
      </c>
      <c r="F8" s="36">
        <v>4</v>
      </c>
      <c r="G8" s="363">
        <f t="shared" si="4"/>
        <v>4</v>
      </c>
      <c r="H8" s="153">
        <f t="shared" si="5"/>
        <v>38</v>
      </c>
      <c r="I8" s="323">
        <f t="shared" si="40"/>
        <v>423</v>
      </c>
      <c r="J8" s="163">
        <f t="shared" si="6"/>
        <v>423</v>
      </c>
      <c r="K8" s="327">
        <f ca="1">IF($G8="","",Reserve!N8)</f>
        <v>434.69252384829758</v>
      </c>
      <c r="L8" s="163">
        <f t="shared" si="41"/>
        <v>0</v>
      </c>
      <c r="M8" s="163">
        <f t="shared" si="42"/>
        <v>7.0336496969696976</v>
      </c>
      <c r="N8" s="163">
        <f t="shared" si="43"/>
        <v>3.9085199999999998</v>
      </c>
      <c r="O8" s="163">
        <f t="shared" si="7"/>
        <v>21.150000000000002</v>
      </c>
      <c r="P8" s="327">
        <f t="shared" si="44"/>
        <v>32.092169696969698</v>
      </c>
      <c r="Q8" s="218">
        <f ca="1">IF($G8="","",Reserve!$I8)</f>
        <v>1841</v>
      </c>
      <c r="R8" s="323">
        <f>IF($G8="","",Reserve!$J9+Reserve!$K9)</f>
        <v>0</v>
      </c>
      <c r="S8" s="163">
        <f ca="1">IF($G8="","",Change!$G9)</f>
        <v>1094</v>
      </c>
      <c r="T8" s="163">
        <f t="shared" ref="T8:T71" ca="1" si="61">IF($G8="","",MAX($J8-$K8,0)*$B$50)</f>
        <v>0</v>
      </c>
      <c r="U8" s="331">
        <f t="shared" si="9"/>
        <v>2.3381420832000008E-3</v>
      </c>
      <c r="V8" s="323">
        <f ca="1">IF($G8="","",Reserve!$Q9-$R8)</f>
        <v>1341</v>
      </c>
      <c r="W8" s="163">
        <f ca="1">IF($G8="","",Reserve!$S9)</f>
        <v>0</v>
      </c>
      <c r="X8" s="327">
        <f t="shared" ca="1" si="10"/>
        <v>1341</v>
      </c>
      <c r="Y8" s="334">
        <f t="shared" si="11"/>
        <v>2.5999999999999999E-2</v>
      </c>
      <c r="Z8" s="220">
        <f>IF($G8="","",VLOOKUP(H8,Life!$A$3:$Q$113,$B$6+1,FALSE))</f>
        <v>2.3739999999999998E-3</v>
      </c>
      <c r="AA8" s="220">
        <f t="shared" si="12"/>
        <v>2.1365999999999998E-3</v>
      </c>
      <c r="AB8" s="220">
        <f t="shared" si="13"/>
        <v>2.9935902E-2</v>
      </c>
      <c r="AC8" s="331">
        <f>IF($G8="","",HLOOKUP($G8,AssetShare_Table!$B$84:$G$85,2)*$D$11)</f>
        <v>0.03</v>
      </c>
      <c r="AD8" s="334">
        <f t="shared" si="14"/>
        <v>0.79050696739606841</v>
      </c>
      <c r="AE8" s="220">
        <f t="shared" si="15"/>
        <v>1.6889971865384397E-3</v>
      </c>
      <c r="AF8" s="220">
        <f t="shared" si="16"/>
        <v>2.3664539106285899E-2</v>
      </c>
      <c r="AG8" s="331">
        <f t="shared" si="17"/>
        <v>0.76515343110324407</v>
      </c>
      <c r="AH8" s="323">
        <f t="shared" ca="1" si="18"/>
        <v>49233.649646821803</v>
      </c>
      <c r="AI8" s="163">
        <f t="shared" si="19"/>
        <v>22069.373515763436</v>
      </c>
      <c r="AJ8" s="163">
        <f t="shared" si="45"/>
        <v>1674.3595271245604</v>
      </c>
      <c r="AK8" s="163">
        <f t="shared" ca="1" si="20"/>
        <v>1255.3722886971511</v>
      </c>
      <c r="AL8" s="163">
        <f t="shared" si="21"/>
        <v>0</v>
      </c>
      <c r="AM8" s="163">
        <f t="shared" ca="1" si="22"/>
        <v>1538.2143965145879</v>
      </c>
      <c r="AN8" s="163">
        <f t="shared" ca="1" si="46"/>
        <v>0</v>
      </c>
      <c r="AO8" s="163">
        <f t="shared" ca="1" si="47"/>
        <v>142.54425081211704</v>
      </c>
      <c r="AP8" s="163">
        <f t="shared" ca="1" si="23"/>
        <v>1776.8238225759035</v>
      </c>
      <c r="AQ8" s="163">
        <f t="shared" ca="1" si="48"/>
        <v>67790.122617122295</v>
      </c>
      <c r="AR8" s="327">
        <f t="shared" ca="1" si="49"/>
        <v>60964.751388003671</v>
      </c>
      <c r="AS8" s="323">
        <f t="shared" ca="1" si="24"/>
        <v>6825.3712291186239</v>
      </c>
      <c r="AT8" s="163">
        <f t="shared" ca="1" si="25"/>
        <v>-326.44065977677383</v>
      </c>
      <c r="AU8" s="163">
        <f t="shared" ca="1" si="26"/>
        <v>-512.38776888805478</v>
      </c>
      <c r="AV8" s="163">
        <f t="shared" ca="1" si="27"/>
        <v>0</v>
      </c>
      <c r="AW8" s="327">
        <f t="shared" ca="1" si="28"/>
        <v>4</v>
      </c>
      <c r="AX8" s="323">
        <f ca="1">IF($G8="","",Reserve!$P9-$R8)</f>
        <v>1341.2636942451863</v>
      </c>
      <c r="AY8" s="220">
        <f t="shared" si="29"/>
        <v>2.2499999999999999E-2</v>
      </c>
      <c r="AZ8" s="331">
        <f>IF($G8="","",VLOOKUP($H8,Life!$A$3:$R$113,18,FALSE))</f>
        <v>2.3740147702764527E-3</v>
      </c>
      <c r="BA8" s="162">
        <f t="shared" ca="1" si="30"/>
        <v>217.24586751768635</v>
      </c>
      <c r="BB8" s="163">
        <f t="shared" ca="1" si="31"/>
        <v>39.424844496937098</v>
      </c>
      <c r="BC8" s="163">
        <f t="shared" ca="1" si="32"/>
        <v>-975.04896706586874</v>
      </c>
      <c r="BD8" s="163">
        <f t="shared" ca="1" si="33"/>
        <v>347.66414462826958</v>
      </c>
      <c r="BE8" s="163">
        <f t="shared" ca="1" si="34"/>
        <v>4.2987011500030032</v>
      </c>
      <c r="BF8" s="163">
        <f t="shared" ca="1" si="50"/>
        <v>0.24120048286017143</v>
      </c>
      <c r="BG8" s="163">
        <f t="shared" ca="1" si="35"/>
        <v>-3.2910013213174025</v>
      </c>
      <c r="BH8" s="163">
        <f t="shared" ca="1" si="36"/>
        <v>-2.7521447535198282E-2</v>
      </c>
      <c r="BI8" s="163">
        <f t="shared" ca="1" si="37"/>
        <v>-0.37076625614596059</v>
      </c>
      <c r="BJ8" s="163">
        <f t="shared" ca="1" si="38"/>
        <v>1.9979739222280992E-2</v>
      </c>
      <c r="BK8" s="164">
        <f t="shared" ca="1" si="39"/>
        <v>-142.54425081211704</v>
      </c>
      <c r="BL8" s="163">
        <f t="shared" ca="1" si="51"/>
        <v>46.73305094890749</v>
      </c>
      <c r="BM8" s="163">
        <f t="shared" si="52"/>
        <v>5.6969696969696972</v>
      </c>
      <c r="BN8" s="163">
        <f t="shared" si="53"/>
        <v>5.2451999999999996</v>
      </c>
      <c r="BO8" s="163">
        <f t="shared" si="54"/>
        <v>21.150000000000002</v>
      </c>
      <c r="BP8" s="163">
        <f t="shared" ca="1" si="55"/>
        <v>2222.1612067399251</v>
      </c>
      <c r="BQ8" s="163">
        <f t="shared" si="56"/>
        <v>297.23061974092172</v>
      </c>
      <c r="BR8" s="163">
        <f t="shared" si="57"/>
        <v>273.6602315954666</v>
      </c>
      <c r="BS8" s="163">
        <f t="shared" si="58"/>
        <v>1103.468675788172</v>
      </c>
      <c r="BT8" s="163">
        <f t="shared" ca="1" si="59"/>
        <v>13.606438195284571</v>
      </c>
      <c r="BU8" s="164">
        <f t="shared" ca="1" si="60"/>
        <v>142.54425081211704</v>
      </c>
      <c r="BV8" s="411" t="s">
        <v>419</v>
      </c>
      <c r="BW8" s="368">
        <f>BQ5/BW5</f>
        <v>1.0856000459284877E-2</v>
      </c>
    </row>
    <row r="9" spans="1:75" x14ac:dyDescent="0.3">
      <c r="A9" s="39" t="s">
        <v>169</v>
      </c>
      <c r="B9" s="310">
        <f>Pricing!B9</f>
        <v>20</v>
      </c>
      <c r="C9" s="247" t="s">
        <v>249</v>
      </c>
      <c r="D9" s="62">
        <f>AssetShare_Table!B9</f>
        <v>0</v>
      </c>
      <c r="F9" s="320">
        <v>5</v>
      </c>
      <c r="G9" s="367">
        <f t="shared" si="4"/>
        <v>5</v>
      </c>
      <c r="H9" s="155">
        <f t="shared" si="5"/>
        <v>39</v>
      </c>
      <c r="I9" s="324">
        <f t="shared" si="40"/>
        <v>423</v>
      </c>
      <c r="J9" s="166">
        <f t="shared" si="6"/>
        <v>423</v>
      </c>
      <c r="K9" s="328">
        <f ca="1">IF($G9="","",Reserve!N9)</f>
        <v>434.69252384829758</v>
      </c>
      <c r="L9" s="166">
        <f t="shared" si="41"/>
        <v>0</v>
      </c>
      <c r="M9" s="166">
        <f t="shared" si="42"/>
        <v>7.0336496969696976</v>
      </c>
      <c r="N9" s="166">
        <f t="shared" si="43"/>
        <v>3.9085199999999998</v>
      </c>
      <c r="O9" s="166">
        <f t="shared" si="7"/>
        <v>21.150000000000002</v>
      </c>
      <c r="P9" s="328">
        <f t="shared" si="44"/>
        <v>32.092169696969698</v>
      </c>
      <c r="Q9" s="330">
        <f ca="1">IF($G9="","",Reserve!$I9)</f>
        <v>2313</v>
      </c>
      <c r="R9" s="324">
        <f>IF($G9="","",Reserve!$J10+Reserve!$K10)</f>
        <v>0</v>
      </c>
      <c r="S9" s="166">
        <f ca="1">IF($G9="","",Change!$G10)</f>
        <v>1504</v>
      </c>
      <c r="T9" s="163">
        <f t="shared" ca="1" si="61"/>
        <v>0</v>
      </c>
      <c r="U9" s="332">
        <f t="shared" si="9"/>
        <v>2.213280137376001E-3</v>
      </c>
      <c r="V9" s="324">
        <f ca="1">IF($G9="","",Reserve!$Q10-$R9)</f>
        <v>1807</v>
      </c>
      <c r="W9" s="166">
        <f ca="1">IF($G9="","",Reserve!$S10)</f>
        <v>0</v>
      </c>
      <c r="X9" s="328">
        <f t="shared" ca="1" si="10"/>
        <v>1807</v>
      </c>
      <c r="Y9" s="335">
        <f t="shared" si="11"/>
        <v>2.5999999999999999E-2</v>
      </c>
      <c r="Z9" s="235">
        <f>IF($G9="","",VLOOKUP(H9,Life!$A$3:$Q$113,$B$6+1,FALSE))</f>
        <v>2.5600000000000002E-3</v>
      </c>
      <c r="AA9" s="235">
        <f t="shared" si="12"/>
        <v>2.3040000000000001E-3</v>
      </c>
      <c r="AB9" s="235">
        <f t="shared" si="13"/>
        <v>1.995392E-2</v>
      </c>
      <c r="AC9" s="332">
        <f>IF($G9="","",HLOOKUP($G9,AssetShare_Table!$B$84:$G$85,2)*$D$11)</f>
        <v>0.02</v>
      </c>
      <c r="AD9" s="335">
        <f t="shared" si="14"/>
        <v>0.76515343110324407</v>
      </c>
      <c r="AE9" s="235">
        <f t="shared" si="15"/>
        <v>1.7629135052618743E-3</v>
      </c>
      <c r="AF9" s="235">
        <f t="shared" si="16"/>
        <v>1.5267810351959643E-2</v>
      </c>
      <c r="AG9" s="332">
        <f t="shared" si="17"/>
        <v>0.74812270724602248</v>
      </c>
      <c r="AH9" s="324">
        <f t="shared" ca="1" si="18"/>
        <v>67790.122617122295</v>
      </c>
      <c r="AI9" s="166">
        <f t="shared" si="19"/>
        <v>21361.553489540369</v>
      </c>
      <c r="AJ9" s="166">
        <f t="shared" si="45"/>
        <v>1620.6586278421387</v>
      </c>
      <c r="AK9" s="166">
        <f t="shared" ca="1" si="20"/>
        <v>1664.5031769559992</v>
      </c>
      <c r="AL9" s="166">
        <f t="shared" si="21"/>
        <v>0</v>
      </c>
      <c r="AM9" s="166">
        <f t="shared" ca="1" si="22"/>
        <v>1345.8551995612283</v>
      </c>
      <c r="AN9" s="163">
        <f t="shared" ca="1" si="46"/>
        <v>0</v>
      </c>
      <c r="AO9" s="166">
        <f t="shared" ca="1" si="47"/>
        <v>175.36427318025233</v>
      </c>
      <c r="AP9" s="166">
        <f t="shared" ca="1" si="23"/>
        <v>2231.4831001900825</v>
      </c>
      <c r="AQ9" s="166">
        <f t="shared" ca="1" si="48"/>
        <v>85685.935716457985</v>
      </c>
      <c r="AR9" s="328">
        <f t="shared" ca="1" si="49"/>
        <v>79232.7506215092</v>
      </c>
      <c r="AS9" s="324">
        <f t="shared" ca="1" si="24"/>
        <v>6453.1850949487853</v>
      </c>
      <c r="AT9" s="166">
        <f t="shared" ca="1" si="25"/>
        <v>-372.18613416983862</v>
      </c>
      <c r="AU9" s="166">
        <f t="shared" ca="1" si="26"/>
        <v>-549.64578612692276</v>
      </c>
      <c r="AV9" s="166">
        <f t="shared" ca="1" si="27"/>
        <v>0</v>
      </c>
      <c r="AW9" s="328">
        <f t="shared" ca="1" si="28"/>
        <v>5</v>
      </c>
      <c r="AX9" s="324">
        <f ca="1">IF($G9="","",Reserve!$P10-$R9)</f>
        <v>1806.5526950278227</v>
      </c>
      <c r="AY9" s="235">
        <f t="shared" si="29"/>
        <v>2.2499999999999999E-2</v>
      </c>
      <c r="AZ9" s="332">
        <f>IF($G9="","",VLOOKUP($H9,Life!$A$3:$R$113,18,FALSE))</f>
        <v>2.5599496542186499E-3</v>
      </c>
      <c r="BA9" s="165">
        <f t="shared" ca="1" si="30"/>
        <v>279.38779520150769</v>
      </c>
      <c r="BB9" s="166">
        <f t="shared" ca="1" si="31"/>
        <v>42.565213473530271</v>
      </c>
      <c r="BC9" s="166">
        <f t="shared" ca="1" si="32"/>
        <v>-932.23419445330092</v>
      </c>
      <c r="BD9" s="166">
        <f t="shared" ca="1" si="33"/>
        <v>270.73943998966598</v>
      </c>
      <c r="BE9" s="166">
        <f t="shared" ca="1" si="34"/>
        <v>-32.235628996433107</v>
      </c>
      <c r="BF9" s="166">
        <f t="shared" ca="1" si="50"/>
        <v>0.31980833480821691</v>
      </c>
      <c r="BG9" s="166">
        <f t="shared" ca="1" si="35"/>
        <v>-3.146492196135851</v>
      </c>
      <c r="BH9" s="166">
        <f t="shared" ca="1" si="36"/>
        <v>-4.1958381320517865E-2</v>
      </c>
      <c r="BI9" s="166">
        <f t="shared" ca="1" si="37"/>
        <v>0.40027109215056972</v>
      </c>
      <c r="BJ9" s="166">
        <f t="shared" ca="1" si="38"/>
        <v>-3.5767011160954314E-2</v>
      </c>
      <c r="BK9" s="167">
        <f t="shared" ca="1" si="39"/>
        <v>-175.36427318025233</v>
      </c>
      <c r="BL9" s="166">
        <f t="shared" ca="1" si="51"/>
        <v>46.73305094890749</v>
      </c>
      <c r="BM9" s="163">
        <f t="shared" si="52"/>
        <v>5.6969696969696972</v>
      </c>
      <c r="BN9" s="166">
        <f t="shared" si="53"/>
        <v>5.2451999999999996</v>
      </c>
      <c r="BO9" s="166">
        <f t="shared" si="54"/>
        <v>21.150000000000002</v>
      </c>
      <c r="BP9" s="166">
        <f t="shared" ca="1" si="55"/>
        <v>2124.5852592863935</v>
      </c>
      <c r="BQ9" s="166">
        <f t="shared" si="56"/>
        <v>287.69769009481973</v>
      </c>
      <c r="BR9" s="166">
        <f t="shared" si="57"/>
        <v>264.88326327030057</v>
      </c>
      <c r="BS9" s="166">
        <f t="shared" si="58"/>
        <v>1068.0776744770185</v>
      </c>
      <c r="BT9" s="166">
        <f t="shared" ca="1" si="59"/>
        <v>13.008974296470235</v>
      </c>
      <c r="BU9" s="167">
        <f t="shared" ca="1" si="60"/>
        <v>175.36427318025233</v>
      </c>
      <c r="BV9" s="411" t="s">
        <v>420</v>
      </c>
      <c r="BW9" s="368">
        <f>(BR5+BS5)/BW5</f>
        <v>6.0250578485685373E-2</v>
      </c>
    </row>
    <row r="10" spans="1:75" x14ac:dyDescent="0.3">
      <c r="A10" s="39" t="s">
        <v>170</v>
      </c>
      <c r="B10" s="310">
        <f>Pricing!B10</f>
        <v>75</v>
      </c>
      <c r="C10" s="247" t="s">
        <v>76</v>
      </c>
      <c r="D10" s="62">
        <f>AssetShare_Table!D6</f>
        <v>0.9</v>
      </c>
      <c r="F10" s="36">
        <v>6</v>
      </c>
      <c r="G10" s="363">
        <f t="shared" si="4"/>
        <v>6</v>
      </c>
      <c r="H10" s="153">
        <f t="shared" si="5"/>
        <v>40</v>
      </c>
      <c r="I10" s="323">
        <f t="shared" si="40"/>
        <v>423</v>
      </c>
      <c r="J10" s="163">
        <f t="shared" si="6"/>
        <v>423</v>
      </c>
      <c r="K10" s="327">
        <f ca="1">IF($G10="","",Reserve!N10)</f>
        <v>434.69252384829758</v>
      </c>
      <c r="L10" s="163">
        <f t="shared" si="41"/>
        <v>0</v>
      </c>
      <c r="M10" s="163">
        <f t="shared" si="42"/>
        <v>7.0336496969696976</v>
      </c>
      <c r="N10" s="163">
        <f t="shared" si="43"/>
        <v>3.9085199999999998</v>
      </c>
      <c r="O10" s="163">
        <f t="shared" si="7"/>
        <v>21.150000000000002</v>
      </c>
      <c r="P10" s="327">
        <f t="shared" si="44"/>
        <v>32.092169696969698</v>
      </c>
      <c r="Q10" s="218">
        <f ca="1">IF($G10="","",Reserve!$I10)</f>
        <v>2790</v>
      </c>
      <c r="R10" s="323">
        <f>IF($G10="","",Reserve!$J11+Reserve!$K11)</f>
        <v>0</v>
      </c>
      <c r="S10" s="163">
        <f ca="1">IF($G10="","",Change!$G11)</f>
        <v>1937</v>
      </c>
      <c r="T10" s="163">
        <f t="shared" ca="1" si="61"/>
        <v>0</v>
      </c>
      <c r="U10" s="331">
        <f t="shared" si="9"/>
        <v>2.097158527759681E-3</v>
      </c>
      <c r="V10" s="323">
        <f ca="1">IF($G10="","",Reserve!$Q11-$R10)</f>
        <v>2281</v>
      </c>
      <c r="W10" s="163">
        <f ca="1">IF($G10="","",Reserve!$S11)</f>
        <v>0</v>
      </c>
      <c r="X10" s="327">
        <f t="shared" ca="1" si="10"/>
        <v>2281</v>
      </c>
      <c r="Y10" s="334">
        <f t="shared" si="11"/>
        <v>2.5999999999999999E-2</v>
      </c>
      <c r="Z10" s="220">
        <f>IF($G10="","",VLOOKUP(H10,Life!$A$3:$Q$113,$B$6+1,FALSE))</f>
        <v>2.761E-3</v>
      </c>
      <c r="AA10" s="220">
        <f t="shared" si="12"/>
        <v>2.4849E-3</v>
      </c>
      <c r="AB10" s="220">
        <f t="shared" si="13"/>
        <v>1.4962726500000002E-2</v>
      </c>
      <c r="AC10" s="331">
        <f>IF($G10="","",HLOOKUP($G10,AssetShare_Table!$B$84:$G$85,2)*$D$11)</f>
        <v>1.4999999999999999E-2</v>
      </c>
      <c r="AD10" s="334">
        <f t="shared" si="14"/>
        <v>0.74812270724602248</v>
      </c>
      <c r="AE10" s="220">
        <f t="shared" si="15"/>
        <v>1.8590101152356413E-3</v>
      </c>
      <c r="AF10" s="220">
        <f t="shared" si="16"/>
        <v>1.1193955456961804E-2</v>
      </c>
      <c r="AG10" s="331">
        <f t="shared" si="17"/>
        <v>0.73506974167382511</v>
      </c>
      <c r="AH10" s="323">
        <f t="shared" ca="1" si="18"/>
        <v>85685.935716457985</v>
      </c>
      <c r="AI10" s="163">
        <f t="shared" si="19"/>
        <v>20886.089740894455</v>
      </c>
      <c r="AJ10" s="163">
        <f t="shared" si="45"/>
        <v>1584.5861377563185</v>
      </c>
      <c r="AK10" s="163">
        <f t="shared" ca="1" si="20"/>
        <v>2139.3825294227754</v>
      </c>
      <c r="AL10" s="163">
        <f t="shared" si="21"/>
        <v>0</v>
      </c>
      <c r="AM10" s="163">
        <f t="shared" ca="1" si="22"/>
        <v>1251.7147439660484</v>
      </c>
      <c r="AN10" s="163">
        <f t="shared" ca="1" si="46"/>
        <v>0</v>
      </c>
      <c r="AO10" s="163">
        <f t="shared" ca="1" si="47"/>
        <v>202.99122506993689</v>
      </c>
      <c r="AP10" s="163">
        <f t="shared" ca="1" si="23"/>
        <v>2673.2236299024398</v>
      </c>
      <c r="AQ10" s="163">
        <f t="shared" ca="1" si="48"/>
        <v>102945.70881544659</v>
      </c>
      <c r="AR10" s="327">
        <f t="shared" ca="1" si="49"/>
        <v>96793.457615617212</v>
      </c>
      <c r="AS10" s="323">
        <f t="shared" ca="1" si="24"/>
        <v>6152.2511998293776</v>
      </c>
      <c r="AT10" s="163">
        <f t="shared" ca="1" si="25"/>
        <v>-300.93389511940768</v>
      </c>
      <c r="AU10" s="163">
        <f t="shared" ca="1" si="26"/>
        <v>-468.71670758807613</v>
      </c>
      <c r="AV10" s="163">
        <f t="shared" ca="1" si="27"/>
        <v>0</v>
      </c>
      <c r="AW10" s="327">
        <f t="shared" ca="1" si="28"/>
        <v>6</v>
      </c>
      <c r="AX10" s="323">
        <f ca="1">IF($G10="","",Reserve!$P11-$R10)</f>
        <v>2281.179875687586</v>
      </c>
      <c r="AY10" s="220">
        <f t="shared" si="29"/>
        <v>2.2499999999999999E-2</v>
      </c>
      <c r="AZ10" s="331">
        <f>IF($G10="","",VLOOKUP($H10,Life!$A$3:$R$113,18,FALSE))</f>
        <v>2.7610343380658196E-3</v>
      </c>
      <c r="BA10" s="162">
        <f t="shared" ca="1" si="30"/>
        <v>339.84651609223494</v>
      </c>
      <c r="BB10" s="163">
        <f t="shared" ca="1" si="31"/>
        <v>46.010112611870078</v>
      </c>
      <c r="BC10" s="163">
        <f t="shared" ca="1" si="32"/>
        <v>-899.12811948361161</v>
      </c>
      <c r="BD10" s="163">
        <f t="shared" ca="1" si="33"/>
        <v>222.41353896466342</v>
      </c>
      <c r="BE10" s="163">
        <f t="shared" ca="1" si="34"/>
        <v>27.788458741885933</v>
      </c>
      <c r="BF10" s="163">
        <f t="shared" ca="1" si="50"/>
        <v>0.41102893739975788</v>
      </c>
      <c r="BG10" s="163">
        <f t="shared" ca="1" si="35"/>
        <v>-3.0347520270274817</v>
      </c>
      <c r="BH10" s="163">
        <f t="shared" ca="1" si="36"/>
        <v>6.8646492303822707E-2</v>
      </c>
      <c r="BI10" s="163">
        <f t="shared" ca="1" si="37"/>
        <v>-0.1162380228355268</v>
      </c>
      <c r="BJ10" s="163">
        <f t="shared" ca="1" si="38"/>
        <v>1.532517495643956E-2</v>
      </c>
      <c r="BK10" s="164">
        <f t="shared" ca="1" si="39"/>
        <v>-202.99122506993686</v>
      </c>
      <c r="BL10" s="163">
        <f t="shared" ca="1" si="51"/>
        <v>46.73305094890749</v>
      </c>
      <c r="BM10" s="163">
        <f t="shared" si="52"/>
        <v>5.6969696969696972</v>
      </c>
      <c r="BN10" s="163">
        <f t="shared" si="53"/>
        <v>5.2451999999999996</v>
      </c>
      <c r="BO10" s="163">
        <f t="shared" si="54"/>
        <v>21.150000000000002</v>
      </c>
      <c r="BP10" s="163">
        <f t="shared" ca="1" si="55"/>
        <v>2049.1356788140956</v>
      </c>
      <c r="BQ10" s="163">
        <f t="shared" si="56"/>
        <v>281.29413792450447</v>
      </c>
      <c r="BR10" s="163">
        <f t="shared" si="57"/>
        <v>258.98751278709125</v>
      </c>
      <c r="BS10" s="163">
        <f t="shared" si="58"/>
        <v>1044.3044870447229</v>
      </c>
      <c r="BT10" s="163">
        <f t="shared" ca="1" si="59"/>
        <v>12.546991587725818</v>
      </c>
      <c r="BU10" s="164">
        <f t="shared" ca="1" si="60"/>
        <v>202.99122506993689</v>
      </c>
      <c r="BV10" s="411" t="s">
        <v>421</v>
      </c>
      <c r="BW10" s="368">
        <f>BQ2-BW8</f>
        <v>1.8071533122137072E-2</v>
      </c>
    </row>
    <row r="11" spans="1:75" x14ac:dyDescent="0.3">
      <c r="A11" s="39" t="s">
        <v>371</v>
      </c>
      <c r="B11" s="311">
        <f>Pricing!B12</f>
        <v>423</v>
      </c>
      <c r="C11" s="247" t="s">
        <v>240</v>
      </c>
      <c r="D11" s="62">
        <f>AssetShare_Table!D7</f>
        <v>1</v>
      </c>
      <c r="F11" s="36">
        <v>7</v>
      </c>
      <c r="G11" s="363">
        <f t="shared" si="4"/>
        <v>7</v>
      </c>
      <c r="H11" s="153">
        <f t="shared" si="5"/>
        <v>41</v>
      </c>
      <c r="I11" s="323">
        <f t="shared" si="40"/>
        <v>423</v>
      </c>
      <c r="J11" s="163">
        <f t="shared" si="6"/>
        <v>423</v>
      </c>
      <c r="K11" s="327">
        <f ca="1">IF($G11="","",Reserve!N11)</f>
        <v>434.69252384829758</v>
      </c>
      <c r="L11" s="163">
        <f t="shared" si="41"/>
        <v>0</v>
      </c>
      <c r="M11" s="163">
        <f t="shared" si="42"/>
        <v>7.0336496969696976</v>
      </c>
      <c r="N11" s="163">
        <f t="shared" si="43"/>
        <v>3.9085199999999998</v>
      </c>
      <c r="O11" s="163">
        <f t="shared" si="7"/>
        <v>0</v>
      </c>
      <c r="P11" s="327">
        <f t="shared" si="44"/>
        <v>10.942169696969698</v>
      </c>
      <c r="Q11" s="218">
        <f ca="1">IF($G11="","",Reserve!$I11)</f>
        <v>3271</v>
      </c>
      <c r="R11" s="323">
        <f>IF($G11="","",Reserve!$J12+Reserve!$K12)</f>
        <v>0</v>
      </c>
      <c r="S11" s="163">
        <f ca="1">IF($G11="","",Change!$G12)</f>
        <v>2395</v>
      </c>
      <c r="T11" s="163">
        <f t="shared" ca="1" si="61"/>
        <v>0</v>
      </c>
      <c r="U11" s="331">
        <f t="shared" si="9"/>
        <v>1.9891654308165033E-3</v>
      </c>
      <c r="V11" s="323">
        <f ca="1">IF($G11="","",Reserve!$Q12-$R11)</f>
        <v>2765</v>
      </c>
      <c r="W11" s="163">
        <f ca="1">IF($G11="","",Reserve!$S12)</f>
        <v>0</v>
      </c>
      <c r="X11" s="327">
        <f t="shared" ca="1" si="10"/>
        <v>2765</v>
      </c>
      <c r="Y11" s="334">
        <f t="shared" si="11"/>
        <v>2.5999999999999999E-2</v>
      </c>
      <c r="Z11" s="220">
        <f>IF($G11="","",VLOOKUP(H11,Life!$A$3:$Q$113,$B$6+1,FALSE))</f>
        <v>2.98E-3</v>
      </c>
      <c r="AA11" s="220">
        <f t="shared" si="12"/>
        <v>2.6819999999999999E-3</v>
      </c>
      <c r="AB11" s="220">
        <f t="shared" si="13"/>
        <v>1.4959769999999999E-2</v>
      </c>
      <c r="AC11" s="331">
        <f>IF($G11="","",HLOOKUP($G11,AssetShare_Table!$B$84:$G$85,2)*$D$11)</f>
        <v>1.4999999999999999E-2</v>
      </c>
      <c r="AD11" s="334">
        <f t="shared" si="14"/>
        <v>0.73506974167382511</v>
      </c>
      <c r="AE11" s="220">
        <f t="shared" si="15"/>
        <v>1.9714570471691989E-3</v>
      </c>
      <c r="AF11" s="220">
        <f t="shared" si="16"/>
        <v>1.0996474269399838E-2</v>
      </c>
      <c r="AG11" s="331">
        <f t="shared" si="17"/>
        <v>0.72210181035725607</v>
      </c>
      <c r="AH11" s="323">
        <f t="shared" ca="1" si="18"/>
        <v>102945.70881544659</v>
      </c>
      <c r="AI11" s="163">
        <f t="shared" si="19"/>
        <v>20521.677048049849</v>
      </c>
      <c r="AJ11" s="163">
        <f t="shared" si="45"/>
        <v>530.85501826517645</v>
      </c>
      <c r="AK11" s="163">
        <f t="shared" ca="1" si="20"/>
        <v>2683.1046390122719</v>
      </c>
      <c r="AL11" s="163">
        <f t="shared" si="21"/>
        <v>0</v>
      </c>
      <c r="AM11" s="163">
        <f t="shared" ca="1" si="22"/>
        <v>1494.9969155675922</v>
      </c>
      <c r="AN11" s="163">
        <f t="shared" ca="1" si="46"/>
        <v>0</v>
      </c>
      <c r="AO11" s="163">
        <f t="shared" ca="1" si="47"/>
        <v>225.44768965916541</v>
      </c>
      <c r="AP11" s="163">
        <f t="shared" ca="1" si="23"/>
        <v>3124.480375312769</v>
      </c>
      <c r="AQ11" s="163">
        <f t="shared" ca="1" si="48"/>
        <v>120214.05438236739</v>
      </c>
      <c r="AR11" s="327">
        <f t="shared" ca="1" si="49"/>
        <v>113337.82809940785</v>
      </c>
      <c r="AS11" s="323">
        <f t="shared" ca="1" si="24"/>
        <v>6876.226282959542</v>
      </c>
      <c r="AT11" s="163">
        <f t="shared" ca="1" si="25"/>
        <v>723.97508313016442</v>
      </c>
      <c r="AU11" s="163">
        <f t="shared" ca="1" si="26"/>
        <v>564.0165519346001</v>
      </c>
      <c r="AV11" s="163">
        <f t="shared" ca="1" si="27"/>
        <v>0</v>
      </c>
      <c r="AW11" s="327">
        <f t="shared" ca="1" si="28"/>
        <v>0</v>
      </c>
      <c r="AX11" s="323">
        <f ca="1">IF($G11="","",Reserve!$P12-$R11)</f>
        <v>2765.3328680385484</v>
      </c>
      <c r="AY11" s="220">
        <f t="shared" si="29"/>
        <v>2.2499999999999999E-2</v>
      </c>
      <c r="AZ11" s="331">
        <f>IF($G11="","",VLOOKUP($H11,Life!$A$3:$R$113,18,FALSE))</f>
        <v>2.9799599040014331E-3</v>
      </c>
      <c r="BA11" s="162">
        <f t="shared" ca="1" si="30"/>
        <v>398.20991045525614</v>
      </c>
      <c r="BB11" s="163">
        <f t="shared" ca="1" si="31"/>
        <v>49.421242381278184</v>
      </c>
      <c r="BC11" s="163">
        <f t="shared" ca="1" si="32"/>
        <v>103.93971308107491</v>
      </c>
      <c r="BD11" s="163">
        <f t="shared" ca="1" si="33"/>
        <v>231.1676390191775</v>
      </c>
      <c r="BE11" s="163">
        <f t="shared" ca="1" si="34"/>
        <v>6.0170574560985663</v>
      </c>
      <c r="BF11" s="163">
        <f t="shared" ca="1" si="50"/>
        <v>0.51549078314207353</v>
      </c>
      <c r="BG11" s="163">
        <f t="shared" ca="1" si="35"/>
        <v>0.39734796771720027</v>
      </c>
      <c r="BH11" s="163">
        <f t="shared" ca="1" si="36"/>
        <v>-2.6715372248365239E-2</v>
      </c>
      <c r="BI11" s="163">
        <f t="shared" ca="1" si="37"/>
        <v>-0.20778149934069012</v>
      </c>
      <c r="BJ11" s="163">
        <f t="shared" ca="1" si="38"/>
        <v>3.0337321675022389E-2</v>
      </c>
      <c r="BK11" s="164">
        <f t="shared" ca="1" si="39"/>
        <v>-225.44768965916543</v>
      </c>
      <c r="BL11" s="163">
        <f t="shared" ca="1" si="51"/>
        <v>46.73305094890749</v>
      </c>
      <c r="BM11" s="163">
        <f t="shared" si="52"/>
        <v>5.6969696969696972</v>
      </c>
      <c r="BN11" s="163">
        <f t="shared" si="53"/>
        <v>5.2451999999999996</v>
      </c>
      <c r="BO11" s="163">
        <f t="shared" si="54"/>
        <v>0</v>
      </c>
      <c r="BP11" s="163">
        <f t="shared" ca="1" si="55"/>
        <v>1983.1010899919145</v>
      </c>
      <c r="BQ11" s="163">
        <f t="shared" si="56"/>
        <v>276.38622286935822</v>
      </c>
      <c r="BR11" s="163">
        <f t="shared" si="57"/>
        <v>254.46879539581812</v>
      </c>
      <c r="BS11" s="163">
        <f t="shared" si="58"/>
        <v>0</v>
      </c>
      <c r="BT11" s="163">
        <f t="shared" ca="1" si="59"/>
        <v>12.142657487735747</v>
      </c>
      <c r="BU11" s="164">
        <f t="shared" ca="1" si="60"/>
        <v>225.44768965916541</v>
      </c>
      <c r="BV11" s="411" t="s">
        <v>422</v>
      </c>
      <c r="BW11" s="368">
        <f>BR2+BS2-BW9</f>
        <v>3.1468442153457406E-2</v>
      </c>
    </row>
    <row r="12" spans="1:75" x14ac:dyDescent="0.3">
      <c r="A12" s="39" t="s">
        <v>372</v>
      </c>
      <c r="B12" s="311">
        <f>ROUND(B11*(1-D13),0)</f>
        <v>423</v>
      </c>
      <c r="C12" s="247" t="s">
        <v>245</v>
      </c>
      <c r="D12" s="62">
        <f>AssetShare_Table!D8</f>
        <v>1</v>
      </c>
      <c r="F12" s="36">
        <v>8</v>
      </c>
      <c r="G12" s="363">
        <f t="shared" si="4"/>
        <v>8</v>
      </c>
      <c r="H12" s="153">
        <f t="shared" si="5"/>
        <v>42</v>
      </c>
      <c r="I12" s="323">
        <f t="shared" si="40"/>
        <v>423</v>
      </c>
      <c r="J12" s="163">
        <f t="shared" si="6"/>
        <v>423</v>
      </c>
      <c r="K12" s="327">
        <f ca="1">IF($G12="","",Reserve!N12)</f>
        <v>434.69252384829758</v>
      </c>
      <c r="L12" s="163">
        <f t="shared" si="41"/>
        <v>0</v>
      </c>
      <c r="M12" s="163">
        <f t="shared" si="42"/>
        <v>7.0336496969696976</v>
      </c>
      <c r="N12" s="163">
        <f t="shared" si="43"/>
        <v>3.9085199999999998</v>
      </c>
      <c r="O12" s="163">
        <f t="shared" si="7"/>
        <v>0</v>
      </c>
      <c r="P12" s="327">
        <f t="shared" si="44"/>
        <v>10.942169696969698</v>
      </c>
      <c r="Q12" s="218">
        <f ca="1">IF($G12="","",Reserve!$I12)</f>
        <v>3757</v>
      </c>
      <c r="R12" s="323">
        <f>IF($G12="","",Reserve!$J13+Reserve!$K13)</f>
        <v>0</v>
      </c>
      <c r="S12" s="163">
        <f ca="1">IF($G12="","",Change!$G13)</f>
        <v>2877</v>
      </c>
      <c r="T12" s="163">
        <f t="shared" ca="1" si="61"/>
        <v>0</v>
      </c>
      <c r="U12" s="331">
        <f t="shared" si="9"/>
        <v>1.8887318506593479E-3</v>
      </c>
      <c r="V12" s="323">
        <f ca="1">IF($G12="","",Reserve!$Q13-$R12)</f>
        <v>3259</v>
      </c>
      <c r="W12" s="163">
        <f ca="1">IF($G12="","",Reserve!$S13)</f>
        <v>0</v>
      </c>
      <c r="X12" s="327">
        <f t="shared" ca="1" si="10"/>
        <v>3259</v>
      </c>
      <c r="Y12" s="334">
        <f t="shared" si="11"/>
        <v>2.5999999999999999E-2</v>
      </c>
      <c r="Z12" s="220">
        <f>IF($G12="","",VLOOKUP(H12,Life!$A$3:$Q$113,$B$6+1,FALSE))</f>
        <v>3.2200000000000002E-3</v>
      </c>
      <c r="AA12" s="220">
        <f t="shared" si="12"/>
        <v>2.8980000000000004E-3</v>
      </c>
      <c r="AB12" s="220">
        <f t="shared" si="13"/>
        <v>1.4956529999999999E-2</v>
      </c>
      <c r="AC12" s="331">
        <f>IF($G12="","",HLOOKUP($G12,AssetShare_Table!$B$84:$G$85,2)*$D$11)</f>
        <v>1.4999999999999999E-2</v>
      </c>
      <c r="AD12" s="334">
        <f t="shared" si="14"/>
        <v>0.72210181035725607</v>
      </c>
      <c r="AE12" s="220">
        <f t="shared" si="15"/>
        <v>2.0926510464153282E-3</v>
      </c>
      <c r="AF12" s="220">
        <f t="shared" si="16"/>
        <v>1.0800137389662611E-2</v>
      </c>
      <c r="AG12" s="331">
        <f t="shared" si="17"/>
        <v>0.70920902192117818</v>
      </c>
      <c r="AH12" s="323">
        <f t="shared" ca="1" si="18"/>
        <v>120214.05438236739</v>
      </c>
      <c r="AI12" s="163">
        <f t="shared" si="19"/>
        <v>20159.638341553873</v>
      </c>
      <c r="AJ12" s="163">
        <f t="shared" si="45"/>
        <v>521.48979612959636</v>
      </c>
      <c r="AK12" s="163">
        <f t="shared" ca="1" si="20"/>
        <v>3291.0587016751438</v>
      </c>
      <c r="AL12" s="163">
        <f t="shared" si="21"/>
        <v>0</v>
      </c>
      <c r="AM12" s="163">
        <f t="shared" ca="1" si="22"/>
        <v>1731.1279739273882</v>
      </c>
      <c r="AN12" s="163">
        <f t="shared" ca="1" si="46"/>
        <v>0</v>
      </c>
      <c r="AO12" s="163">
        <f t="shared" ca="1" si="47"/>
        <v>243.21421174321628</v>
      </c>
      <c r="AP12" s="163">
        <f t="shared" ca="1" si="23"/>
        <v>3549.1786025781103</v>
      </c>
      <c r="AQ12" s="163">
        <f t="shared" ca="1" si="48"/>
        <v>136413.88796483926</v>
      </c>
      <c r="AR12" s="327">
        <f t="shared" ca="1" si="49"/>
        <v>128771.17080347391</v>
      </c>
      <c r="AS12" s="323">
        <f t="shared" ca="1" si="24"/>
        <v>7642.7171613653481</v>
      </c>
      <c r="AT12" s="163">
        <f t="shared" ca="1" si="25"/>
        <v>766.49087840580614</v>
      </c>
      <c r="AU12" s="163">
        <f t="shared" ca="1" si="26"/>
        <v>587.70899504885801</v>
      </c>
      <c r="AV12" s="163">
        <f t="shared" ca="1" si="27"/>
        <v>0</v>
      </c>
      <c r="AW12" s="327">
        <f t="shared" ca="1" si="28"/>
        <v>0</v>
      </c>
      <c r="AX12" s="323">
        <f ca="1">IF($G12="","",Reserve!$P13-$R12)</f>
        <v>3259.207864976458</v>
      </c>
      <c r="AY12" s="220">
        <f t="shared" si="29"/>
        <v>2.2499999999999999E-2</v>
      </c>
      <c r="AZ12" s="331">
        <f>IF($G12="","",VLOOKUP($H12,Life!$A$3:$R$113,18,FALSE))</f>
        <v>3.2200152069778764E-3</v>
      </c>
      <c r="BA12" s="162">
        <f t="shared" ca="1" si="30"/>
        <v>452.77050704757278</v>
      </c>
      <c r="BB12" s="163">
        <f t="shared" ca="1" si="31"/>
        <v>52.54140569794005</v>
      </c>
      <c r="BC12" s="163">
        <f t="shared" ca="1" si="32"/>
        <v>100.40157957468601</v>
      </c>
      <c r="BD12" s="163">
        <f t="shared" ca="1" si="33"/>
        <v>229.97939760716318</v>
      </c>
      <c r="BE12" s="163">
        <f t="shared" ca="1" si="34"/>
        <v>-5.6332116133862007</v>
      </c>
      <c r="BF12" s="163">
        <f t="shared" ca="1" si="50"/>
        <v>0.63230482817506961</v>
      </c>
      <c r="BG12" s="163">
        <f t="shared" ca="1" si="35"/>
        <v>0.38382214475115883</v>
      </c>
      <c r="BH12" s="163">
        <f t="shared" ca="1" si="36"/>
        <v>-4.7755114598468602E-2</v>
      </c>
      <c r="BI12" s="163">
        <f t="shared" ca="1" si="37"/>
        <v>-0.12507503494830444</v>
      </c>
      <c r="BJ12" s="163">
        <f t="shared" ca="1" si="38"/>
        <v>2.0231654625309535E-2</v>
      </c>
      <c r="BK12" s="164">
        <f t="shared" ca="1" si="39"/>
        <v>-243.21421174321634</v>
      </c>
      <c r="BL12" s="163">
        <f t="shared" ca="1" si="51"/>
        <v>46.73305094890749</v>
      </c>
      <c r="BM12" s="163">
        <f t="shared" si="52"/>
        <v>5.6969696969696972</v>
      </c>
      <c r="BN12" s="163">
        <f t="shared" si="53"/>
        <v>5.2451999999999996</v>
      </c>
      <c r="BO12" s="163">
        <f t="shared" si="54"/>
        <v>0</v>
      </c>
      <c r="BP12" s="163">
        <f t="shared" ca="1" si="55"/>
        <v>1915.5958390626206</v>
      </c>
      <c r="BQ12" s="163">
        <f t="shared" si="56"/>
        <v>271.51028069432829</v>
      </c>
      <c r="BR12" s="163">
        <f t="shared" si="57"/>
        <v>249.97951543526804</v>
      </c>
      <c r="BS12" s="163">
        <f t="shared" si="58"/>
        <v>0</v>
      </c>
      <c r="BT12" s="163">
        <f t="shared" ca="1" si="59"/>
        <v>11.729318427616825</v>
      </c>
      <c r="BU12" s="164">
        <f t="shared" ca="1" si="60"/>
        <v>243.21421174321628</v>
      </c>
      <c r="BV12" s="411" t="s">
        <v>423</v>
      </c>
      <c r="BW12" s="368">
        <f ca="1">BT2+BU2</f>
        <v>1.6069890787957637E-2</v>
      </c>
    </row>
    <row r="13" spans="1:75" x14ac:dyDescent="0.3">
      <c r="A13" s="39" t="s">
        <v>64</v>
      </c>
      <c r="B13" s="311">
        <f>ROUND(VLOOKUP($B$7,AssetShare_Table!$L$72:$T$79,2*$B$8+$B$6-1,TRUE)/IF(AssetShare_Table!$N$69=1,$B$12,1),0)</f>
        <v>66</v>
      </c>
      <c r="C13" s="247" t="s">
        <v>250</v>
      </c>
      <c r="D13" s="62">
        <f>AssetShare_Table!D9</f>
        <v>0</v>
      </c>
      <c r="F13" s="36">
        <v>9</v>
      </c>
      <c r="G13" s="363">
        <f t="shared" si="4"/>
        <v>9</v>
      </c>
      <c r="H13" s="153">
        <f t="shared" si="5"/>
        <v>43</v>
      </c>
      <c r="I13" s="323">
        <f t="shared" si="40"/>
        <v>423</v>
      </c>
      <c r="J13" s="163">
        <f t="shared" si="6"/>
        <v>423</v>
      </c>
      <c r="K13" s="327">
        <f ca="1">IF($G13="","",Reserve!N13)</f>
        <v>434.69252384829758</v>
      </c>
      <c r="L13" s="163">
        <f t="shared" si="41"/>
        <v>0</v>
      </c>
      <c r="M13" s="163">
        <f t="shared" si="42"/>
        <v>7.0336496969696976</v>
      </c>
      <c r="N13" s="163">
        <f t="shared" si="43"/>
        <v>3.9085199999999998</v>
      </c>
      <c r="O13" s="163">
        <f t="shared" si="7"/>
        <v>0</v>
      </c>
      <c r="P13" s="327">
        <f t="shared" si="44"/>
        <v>10.942169696969698</v>
      </c>
      <c r="Q13" s="218">
        <f ca="1">IF($G13="","",Reserve!$I13)</f>
        <v>4249</v>
      </c>
      <c r="R13" s="323">
        <f>IF($G13="","",Reserve!$J14+Reserve!$K14)</f>
        <v>0</v>
      </c>
      <c r="S13" s="163">
        <f ca="1">IF($G13="","",Change!$G14)</f>
        <v>3385</v>
      </c>
      <c r="T13" s="163">
        <f t="shared" ca="1" si="61"/>
        <v>0</v>
      </c>
      <c r="U13" s="331">
        <f t="shared" si="9"/>
        <v>1.795328621113194E-3</v>
      </c>
      <c r="V13" s="323">
        <f ca="1">IF($G13="","",Reserve!$Q14-$R13)</f>
        <v>3763</v>
      </c>
      <c r="W13" s="163">
        <f ca="1">IF($G13="","",Reserve!$S14)</f>
        <v>0</v>
      </c>
      <c r="X13" s="327">
        <f t="shared" ca="1" si="10"/>
        <v>3763</v>
      </c>
      <c r="Y13" s="334">
        <f t="shared" si="11"/>
        <v>2.5999999999999999E-2</v>
      </c>
      <c r="Z13" s="220">
        <f>IF($G13="","",VLOOKUP(H13,Life!$A$3:$Q$113,$B$6+1,FALSE))</f>
        <v>3.4840000000000001E-3</v>
      </c>
      <c r="AA13" s="220">
        <f t="shared" si="12"/>
        <v>3.1356000000000001E-3</v>
      </c>
      <c r="AB13" s="220">
        <f t="shared" si="13"/>
        <v>1.4952966000000002E-2</v>
      </c>
      <c r="AC13" s="331">
        <f>IF($G13="","",HLOOKUP($G13,AssetShare_Table!$B$84:$G$85,2)*$D$11)</f>
        <v>1.4999999999999999E-2</v>
      </c>
      <c r="AD13" s="334">
        <f t="shared" si="14"/>
        <v>0.70920902192117818</v>
      </c>
      <c r="AE13" s="220">
        <f t="shared" si="15"/>
        <v>2.2237958091360466E-3</v>
      </c>
      <c r="AF13" s="220">
        <f t="shared" si="16"/>
        <v>1.0604778391680633E-2</v>
      </c>
      <c r="AG13" s="331">
        <f t="shared" si="17"/>
        <v>0.69638044772036156</v>
      </c>
      <c r="AH13" s="323">
        <f t="shared" ca="1" si="18"/>
        <v>136413.88796483926</v>
      </c>
      <c r="AI13" s="163">
        <f t="shared" si="19"/>
        <v>19799.697473995453</v>
      </c>
      <c r="AJ13" s="163">
        <f t="shared" si="45"/>
        <v>512.17884091990663</v>
      </c>
      <c r="AK13" s="163">
        <f t="shared" ca="1" si="20"/>
        <v>3966.0642166024954</v>
      </c>
      <c r="AL13" s="163">
        <f t="shared" si="21"/>
        <v>0</v>
      </c>
      <c r="AM13" s="163">
        <f t="shared" ca="1" si="22"/>
        <v>1958.8521943603894</v>
      </c>
      <c r="AN13" s="163">
        <f t="shared" ca="1" si="46"/>
        <v>0</v>
      </c>
      <c r="AO13" s="163">
        <f t="shared" ca="1" si="47"/>
        <v>256.72380361967731</v>
      </c>
      <c r="AP13" s="163">
        <f t="shared" ca="1" si="23"/>
        <v>3944.851826082454</v>
      </c>
      <c r="AQ13" s="163">
        <f t="shared" ca="1" si="48"/>
        <v>151447.28265973786</v>
      </c>
      <c r="AR13" s="327">
        <f t="shared" ca="1" si="49"/>
        <v>142995.43860694187</v>
      </c>
      <c r="AS13" s="323">
        <f t="shared" ca="1" si="24"/>
        <v>8451.8440527959901</v>
      </c>
      <c r="AT13" s="163">
        <f t="shared" ca="1" si="25"/>
        <v>809.12689143064199</v>
      </c>
      <c r="AU13" s="163">
        <f t="shared" ca="1" si="26"/>
        <v>610.41624523514292</v>
      </c>
      <c r="AV13" s="163">
        <f t="shared" ca="1" si="27"/>
        <v>0</v>
      </c>
      <c r="AW13" s="327">
        <f t="shared" ca="1" si="28"/>
        <v>0</v>
      </c>
      <c r="AX13" s="323">
        <f ca="1">IF($G13="","",Reserve!$P14-$R13)</f>
        <v>3763.0091832987478</v>
      </c>
      <c r="AY13" s="220">
        <f t="shared" si="29"/>
        <v>2.2499999999999999E-2</v>
      </c>
      <c r="AZ13" s="331">
        <f>IF($G13="","",VLOOKUP($H13,Life!$A$3:$R$113,18,FALSE))</f>
        <v>3.4840493776892752E-3</v>
      </c>
      <c r="BA13" s="162">
        <f t="shared" ca="1" si="30"/>
        <v>503.22313312686674</v>
      </c>
      <c r="BB13" s="163">
        <f t="shared" ca="1" si="31"/>
        <v>55.332047874831595</v>
      </c>
      <c r="BC13" s="163">
        <f t="shared" ca="1" si="32"/>
        <v>96.782108404109394</v>
      </c>
      <c r="BD13" s="163">
        <f t="shared" ca="1" si="33"/>
        <v>218.74863166709918</v>
      </c>
      <c r="BE13" s="163">
        <f t="shared" ca="1" si="34"/>
        <v>-8.0447282832977276</v>
      </c>
      <c r="BF13" s="163">
        <f t="shared" ca="1" si="50"/>
        <v>0.76197894478949657</v>
      </c>
      <c r="BG13" s="163">
        <f t="shared" ca="1" si="35"/>
        <v>0.36998537850265278</v>
      </c>
      <c r="BH13" s="163">
        <f t="shared" ca="1" si="36"/>
        <v>-2.8746412198951962E-2</v>
      </c>
      <c r="BI13" s="163">
        <f t="shared" ca="1" si="37"/>
        <v>-5.3142466480093136E-3</v>
      </c>
      <c r="BJ13" s="163">
        <f t="shared" ca="1" si="38"/>
        <v>9.5240075690612702E-4</v>
      </c>
      <c r="BK13" s="164">
        <f t="shared" ca="1" si="39"/>
        <v>-256.72380361967737</v>
      </c>
      <c r="BL13" s="163">
        <f t="shared" ca="1" si="51"/>
        <v>46.73305094890749</v>
      </c>
      <c r="BM13" s="163">
        <f t="shared" si="52"/>
        <v>5.6969696969696972</v>
      </c>
      <c r="BN13" s="163">
        <f t="shared" si="53"/>
        <v>5.2451999999999996</v>
      </c>
      <c r="BO13" s="163">
        <f t="shared" si="54"/>
        <v>0</v>
      </c>
      <c r="BP13" s="163">
        <f t="shared" ca="1" si="55"/>
        <v>1846.5387192111739</v>
      </c>
      <c r="BQ13" s="163">
        <f t="shared" si="56"/>
        <v>266.66259224236296</v>
      </c>
      <c r="BR13" s="163">
        <f t="shared" si="57"/>
        <v>245.51624867754359</v>
      </c>
      <c r="BS13" s="163">
        <f t="shared" si="58"/>
        <v>0</v>
      </c>
      <c r="BT13" s="163">
        <f t="shared" ca="1" si="59"/>
        <v>11.306477172737045</v>
      </c>
      <c r="BU13" s="164">
        <f t="shared" ca="1" si="60"/>
        <v>256.72380361967731</v>
      </c>
      <c r="BV13" s="411" t="s">
        <v>424</v>
      </c>
      <c r="BW13" s="368">
        <f ca="1">SUM(BW8:BW12)</f>
        <v>0.12777473441931825</v>
      </c>
    </row>
    <row r="14" spans="1:75" ht="15" thickBot="1" x14ac:dyDescent="0.35">
      <c r="A14" s="41" t="s">
        <v>373</v>
      </c>
      <c r="B14" s="312">
        <f>VLOOKUP($B$7,AssetShare_Table!$A$72:$I$79,2*$B$8+$B$6-1,TRUE)</f>
        <v>2.449514323733545E-3</v>
      </c>
      <c r="C14" s="248" t="s">
        <v>254</v>
      </c>
      <c r="D14" s="42">
        <f>AssetShare_Table!B10</f>
        <v>1</v>
      </c>
      <c r="F14" s="320">
        <v>10</v>
      </c>
      <c r="G14" s="367">
        <f t="shared" si="4"/>
        <v>10</v>
      </c>
      <c r="H14" s="155">
        <f t="shared" si="5"/>
        <v>44</v>
      </c>
      <c r="I14" s="324">
        <f t="shared" si="40"/>
        <v>423</v>
      </c>
      <c r="J14" s="166">
        <f t="shared" si="6"/>
        <v>423</v>
      </c>
      <c r="K14" s="328">
        <f ca="1">IF($G14="","",Reserve!N14)</f>
        <v>434.69252384829758</v>
      </c>
      <c r="L14" s="166">
        <f t="shared" si="41"/>
        <v>0</v>
      </c>
      <c r="M14" s="166">
        <f t="shared" si="42"/>
        <v>7.0336496969696976</v>
      </c>
      <c r="N14" s="166">
        <f t="shared" si="43"/>
        <v>3.9085199999999998</v>
      </c>
      <c r="O14" s="166">
        <f t="shared" si="7"/>
        <v>0</v>
      </c>
      <c r="P14" s="328">
        <f t="shared" si="44"/>
        <v>10.942169696969698</v>
      </c>
      <c r="Q14" s="330">
        <f ca="1">IF($G14="","",Reserve!$I14)</f>
        <v>4745</v>
      </c>
      <c r="R14" s="324">
        <f>IF($G14="","",Reserve!$J15+Reserve!$K15)</f>
        <v>0</v>
      </c>
      <c r="S14" s="166">
        <f ca="1">IF($G14="","",Change!$G15)</f>
        <v>3919</v>
      </c>
      <c r="T14" s="163">
        <f t="shared" ca="1" si="61"/>
        <v>0</v>
      </c>
      <c r="U14" s="332">
        <f t="shared" si="9"/>
        <v>1.7084636176352703E-3</v>
      </c>
      <c r="V14" s="324">
        <f ca="1">IF($G14="","",Reserve!$Q15-$R14)</f>
        <v>4277</v>
      </c>
      <c r="W14" s="166">
        <f ca="1">IF($G14="","",Reserve!$S15)</f>
        <v>0</v>
      </c>
      <c r="X14" s="328">
        <f t="shared" ca="1" si="10"/>
        <v>4277</v>
      </c>
      <c r="Y14" s="335">
        <f t="shared" si="11"/>
        <v>2.5999999999999999E-2</v>
      </c>
      <c r="Z14" s="235">
        <f>IF($G14="","",VLOOKUP(H14,Life!$A$3:$Q$113,$B$6+1,FALSE))</f>
        <v>3.771E-3</v>
      </c>
      <c r="AA14" s="235">
        <f t="shared" si="12"/>
        <v>3.3939E-3</v>
      </c>
      <c r="AB14" s="235">
        <f t="shared" si="13"/>
        <v>1.4949091499999999E-2</v>
      </c>
      <c r="AC14" s="332">
        <f>IF($G14="","",HLOOKUP($G14,AssetShare_Table!$B$84:$G$85,2)*$D$11)</f>
        <v>1.4999999999999999E-2</v>
      </c>
      <c r="AD14" s="335">
        <f t="shared" si="14"/>
        <v>0.69638044772036156</v>
      </c>
      <c r="AE14" s="235">
        <f t="shared" si="15"/>
        <v>2.3634456015181353E-3</v>
      </c>
      <c r="AF14" s="235">
        <f t="shared" si="16"/>
        <v>1.0410255031782651E-2</v>
      </c>
      <c r="AG14" s="332">
        <f t="shared" si="17"/>
        <v>0.68360674708706082</v>
      </c>
      <c r="AH14" s="324">
        <f t="shared" ca="1" si="18"/>
        <v>151447.28265973786</v>
      </c>
      <c r="AI14" s="166">
        <f t="shared" si="19"/>
        <v>19441.549339457051</v>
      </c>
      <c r="AJ14" s="166">
        <f t="shared" si="45"/>
        <v>502.91426015212346</v>
      </c>
      <c r="AK14" s="166">
        <f t="shared" ca="1" si="20"/>
        <v>4708.7348362706744</v>
      </c>
      <c r="AL14" s="166">
        <f t="shared" si="21"/>
        <v>0</v>
      </c>
      <c r="AM14" s="166">
        <f t="shared" ca="1" si="22"/>
        <v>2175.516756654592</v>
      </c>
      <c r="AN14" s="163">
        <f t="shared" ca="1" si="46"/>
        <v>0</v>
      </c>
      <c r="AO14" s="166">
        <f t="shared" ca="1" si="47"/>
        <v>266.36497987902669</v>
      </c>
      <c r="AP14" s="166">
        <f t="shared" ca="1" si="23"/>
        <v>4308.9324110336238</v>
      </c>
      <c r="AQ14" s="166">
        <f t="shared" ca="1" si="48"/>
        <v>165214.87150093442</v>
      </c>
      <c r="AR14" s="328">
        <f t="shared" ca="1" si="49"/>
        <v>155909.07358490286</v>
      </c>
      <c r="AS14" s="324">
        <f t="shared" ca="1" si="24"/>
        <v>9305.797916031559</v>
      </c>
      <c r="AT14" s="166">
        <f t="shared" ca="1" si="25"/>
        <v>853.95386323556886</v>
      </c>
      <c r="AU14" s="166">
        <f t="shared" ca="1" si="26"/>
        <v>634.20591786287332</v>
      </c>
      <c r="AV14" s="166">
        <f t="shared" ca="1" si="27"/>
        <v>0</v>
      </c>
      <c r="AW14" s="328">
        <f t="shared" ca="1" si="28"/>
        <v>0</v>
      </c>
      <c r="AX14" s="324">
        <f ca="1">IF($G14="","",Reserve!$P15-$R14)</f>
        <v>4277.0311318913955</v>
      </c>
      <c r="AY14" s="235">
        <f t="shared" si="29"/>
        <v>2.2499999999999999E-2</v>
      </c>
      <c r="AZ14" s="332">
        <f>IF($G14="","",VLOOKUP($H14,Life!$A$3:$R$113,18,FALSE))</f>
        <v>3.7709661568555929E-3</v>
      </c>
      <c r="BA14" s="165">
        <f t="shared" ca="1" si="30"/>
        <v>549.25311228742078</v>
      </c>
      <c r="BB14" s="166">
        <f t="shared" ca="1" si="31"/>
        <v>57.451733251993296</v>
      </c>
      <c r="BC14" s="166">
        <f t="shared" ca="1" si="32"/>
        <v>93.078368221344562</v>
      </c>
      <c r="BD14" s="166">
        <f t="shared" ca="1" si="33"/>
        <v>198.75037683943378</v>
      </c>
      <c r="BE14" s="166">
        <f t="shared" ca="1" si="34"/>
        <v>0.79187652932203278</v>
      </c>
      <c r="BF14" s="166">
        <f t="shared" ca="1" si="50"/>
        <v>0.90467486103054229</v>
      </c>
      <c r="BG14" s="166">
        <f t="shared" ca="1" si="35"/>
        <v>0.35582646281057079</v>
      </c>
      <c r="BH14" s="166">
        <f t="shared" ca="1" si="36"/>
        <v>-1.2213910212674737E-3</v>
      </c>
      <c r="BI14" s="166">
        <f t="shared" ca="1" si="37"/>
        <v>-1.7281947281765169E-2</v>
      </c>
      <c r="BJ14" s="166">
        <f t="shared" ca="1" si="38"/>
        <v>3.4326268205997512E-3</v>
      </c>
      <c r="BK14" s="167">
        <f t="shared" ca="1" si="39"/>
        <v>-266.36497987902663</v>
      </c>
      <c r="BL14" s="166">
        <f t="shared" ca="1" si="51"/>
        <v>46.73305094890749</v>
      </c>
      <c r="BM14" s="163">
        <f t="shared" si="52"/>
        <v>5.6969696969696972</v>
      </c>
      <c r="BN14" s="166">
        <f t="shared" si="53"/>
        <v>5.2451999999999996</v>
      </c>
      <c r="BO14" s="166">
        <f t="shared" si="54"/>
        <v>0</v>
      </c>
      <c r="BP14" s="166">
        <f t="shared" ca="1" si="55"/>
        <v>1775.8738022534114</v>
      </c>
      <c r="BQ14" s="166">
        <f t="shared" si="56"/>
        <v>261.83904834285596</v>
      </c>
      <c r="BR14" s="166">
        <f t="shared" si="57"/>
        <v>241.07521180926744</v>
      </c>
      <c r="BS14" s="166">
        <f t="shared" si="58"/>
        <v>0</v>
      </c>
      <c r="BT14" s="166">
        <f t="shared" ca="1" si="59"/>
        <v>10.873791271172193</v>
      </c>
      <c r="BU14" s="167">
        <f t="shared" ca="1" si="60"/>
        <v>266.36497987902669</v>
      </c>
      <c r="BV14" s="411" t="s">
        <v>425</v>
      </c>
      <c r="BW14" s="368">
        <f ca="1">BW7-BW13</f>
        <v>-2.3692215602152358E-2</v>
      </c>
    </row>
    <row r="15" spans="1:75" ht="15" thickBot="1" x14ac:dyDescent="0.35">
      <c r="F15" s="36">
        <v>11</v>
      </c>
      <c r="G15" s="363">
        <f t="shared" si="4"/>
        <v>11</v>
      </c>
      <c r="H15" s="153">
        <f t="shared" si="5"/>
        <v>45</v>
      </c>
      <c r="I15" s="323">
        <f t="shared" si="40"/>
        <v>423</v>
      </c>
      <c r="J15" s="163">
        <f t="shared" si="6"/>
        <v>423</v>
      </c>
      <c r="K15" s="327">
        <f ca="1">IF($G15="","",Reserve!N15)</f>
        <v>434.69252384829758</v>
      </c>
      <c r="L15" s="163">
        <f t="shared" si="41"/>
        <v>0</v>
      </c>
      <c r="M15" s="163">
        <f t="shared" si="42"/>
        <v>7.0336496969696976</v>
      </c>
      <c r="N15" s="163">
        <f t="shared" si="43"/>
        <v>3.9085199999999998</v>
      </c>
      <c r="O15" s="163">
        <f t="shared" si="7"/>
        <v>0</v>
      </c>
      <c r="P15" s="327">
        <f t="shared" si="44"/>
        <v>10.942169696969698</v>
      </c>
      <c r="Q15" s="218">
        <f ca="1">IF($G15="","",Reserve!$I15)</f>
        <v>5245</v>
      </c>
      <c r="R15" s="323">
        <f>IF($G15="","",Reserve!$J16+Reserve!$K16)</f>
        <v>0</v>
      </c>
      <c r="S15" s="163">
        <f ca="1">IF($G15="","",Change!$G16)</f>
        <v>4480</v>
      </c>
      <c r="T15" s="163">
        <f t="shared" ca="1" si="61"/>
        <v>0</v>
      </c>
      <c r="U15" s="331">
        <f t="shared" si="9"/>
        <v>1.6276791644008017E-3</v>
      </c>
      <c r="V15" s="323">
        <f ca="1">IF($G15="","",Reserve!$Q16-$R15)</f>
        <v>4802</v>
      </c>
      <c r="W15" s="163">
        <f ca="1">IF($G15="","",Reserve!$S16)</f>
        <v>0</v>
      </c>
      <c r="X15" s="327">
        <f t="shared" ca="1" si="10"/>
        <v>4802</v>
      </c>
      <c r="Y15" s="334">
        <f t="shared" si="11"/>
        <v>2.5999999999999999E-2</v>
      </c>
      <c r="Z15" s="220">
        <f>IF($G15="","",VLOOKUP(H15,Life!$A$3:$Q$113,$B$6+1,FALSE))</f>
        <v>4.084E-3</v>
      </c>
      <c r="AA15" s="220">
        <f t="shared" si="12"/>
        <v>3.6756000000000002E-3</v>
      </c>
      <c r="AB15" s="220">
        <f t="shared" si="13"/>
        <v>1.4944865999999999E-2</v>
      </c>
      <c r="AC15" s="331">
        <f>IF($G15="","",HLOOKUP($G15,AssetShare_Table!$B$84:$G$85,2)*$D$11)</f>
        <v>1.4999999999999999E-2</v>
      </c>
      <c r="AD15" s="334">
        <f t="shared" si="14"/>
        <v>0.68360674708706082</v>
      </c>
      <c r="AE15" s="220">
        <f t="shared" si="15"/>
        <v>2.5126649595932009E-3</v>
      </c>
      <c r="AF15" s="220">
        <f t="shared" si="16"/>
        <v>1.0216411231912014E-2</v>
      </c>
      <c r="AG15" s="331">
        <f t="shared" si="17"/>
        <v>0.67087767089555561</v>
      </c>
      <c r="AH15" s="323">
        <f t="shared" ca="1" si="18"/>
        <v>165214.87150093442</v>
      </c>
      <c r="AI15" s="163">
        <f t="shared" si="19"/>
        <v>19084.933165176564</v>
      </c>
      <c r="AJ15" s="163">
        <f t="shared" si="45"/>
        <v>493.6893081529243</v>
      </c>
      <c r="AK15" s="163">
        <f t="shared" ca="1" si="20"/>
        <v>5520.0239778367632</v>
      </c>
      <c r="AL15" s="163">
        <f t="shared" si="21"/>
        <v>0</v>
      </c>
      <c r="AM15" s="163">
        <f t="shared" ca="1" si="22"/>
        <v>2378.9115359297011</v>
      </c>
      <c r="AN15" s="163">
        <f t="shared" ca="1" si="46"/>
        <v>0</v>
      </c>
      <c r="AO15" s="163">
        <f t="shared" ca="1" si="47"/>
        <v>272.54373901367723</v>
      </c>
      <c r="AP15" s="163">
        <f t="shared" ca="1" si="23"/>
        <v>4638.8133973848771</v>
      </c>
      <c r="AQ15" s="163">
        <f t="shared" ca="1" si="48"/>
        <v>177615.10447253683</v>
      </c>
      <c r="AR15" s="327">
        <f t="shared" ca="1" si="49"/>
        <v>167443.15770240189</v>
      </c>
      <c r="AS15" s="323">
        <f t="shared" ca="1" si="24"/>
        <v>10171.946770134935</v>
      </c>
      <c r="AT15" s="163">
        <f t="shared" ca="1" si="25"/>
        <v>866.14885410337592</v>
      </c>
      <c r="AU15" s="163">
        <f t="shared" ca="1" si="26"/>
        <v>624.198108286555</v>
      </c>
      <c r="AV15" s="163">
        <f t="shared" ca="1" si="27"/>
        <v>0</v>
      </c>
      <c r="AW15" s="327">
        <f t="shared" ca="1" si="28"/>
        <v>0</v>
      </c>
      <c r="AX15" s="323">
        <f ca="1">IF($G15="","",Reserve!$P16-$R15)</f>
        <v>4801.6323220894483</v>
      </c>
      <c r="AY15" s="220">
        <f t="shared" si="29"/>
        <v>2.2499999999999999E-2</v>
      </c>
      <c r="AZ15" s="331">
        <f>IF($G15="","",VLOOKUP($H15,Life!$A$3:$R$113,18,FALSE))</f>
        <v>4.0839793554880962E-3</v>
      </c>
      <c r="BA15" s="162">
        <f t="shared" ca="1" si="30"/>
        <v>590.54049121081584</v>
      </c>
      <c r="BB15" s="163">
        <f t="shared" ca="1" si="31"/>
        <v>58.707559607663107</v>
      </c>
      <c r="BC15" s="163">
        <f t="shared" ca="1" si="32"/>
        <v>89.287967245031112</v>
      </c>
      <c r="BD15" s="163">
        <f t="shared" ca="1" si="33"/>
        <v>170.78902708626021</v>
      </c>
      <c r="BE15" s="163">
        <f t="shared" ca="1" si="34"/>
        <v>-14.13335749194184</v>
      </c>
      <c r="BF15" s="163">
        <f t="shared" ca="1" si="50"/>
        <v>1.0605508328476487</v>
      </c>
      <c r="BG15" s="163">
        <f t="shared" ca="1" si="35"/>
        <v>0.34133625420669816</v>
      </c>
      <c r="BH15" s="163">
        <f t="shared" ca="1" si="36"/>
        <v>-3.9719675502590283E-3</v>
      </c>
      <c r="BI15" s="163">
        <f t="shared" ca="1" si="37"/>
        <v>0.19523955868705695</v>
      </c>
      <c r="BJ15" s="163">
        <f t="shared" ca="1" si="38"/>
        <v>-4.2995035806676074E-2</v>
      </c>
      <c r="BK15" s="164">
        <f t="shared" ca="1" si="39"/>
        <v>-272.54373901367717</v>
      </c>
      <c r="BL15" s="163">
        <f t="shared" ca="1" si="51"/>
        <v>46.73305094890749</v>
      </c>
      <c r="BM15" s="163">
        <f t="shared" si="52"/>
        <v>5.6969696969696972</v>
      </c>
      <c r="BN15" s="163">
        <f t="shared" si="53"/>
        <v>5.2451999999999996</v>
      </c>
      <c r="BO15" s="163">
        <f t="shared" si="54"/>
        <v>0</v>
      </c>
      <c r="BP15" s="163">
        <f t="shared" ca="1" si="55"/>
        <v>1703.5554545803675</v>
      </c>
      <c r="BQ15" s="163">
        <f t="shared" si="56"/>
        <v>257.03613690473486</v>
      </c>
      <c r="BR15" s="163">
        <f t="shared" si="57"/>
        <v>236.65317124818938</v>
      </c>
      <c r="BS15" s="163">
        <f t="shared" si="58"/>
        <v>0</v>
      </c>
      <c r="BT15" s="163">
        <f t="shared" ca="1" si="59"/>
        <v>10.430981305354289</v>
      </c>
      <c r="BU15" s="164">
        <f t="shared" ca="1" si="60"/>
        <v>272.54373901367723</v>
      </c>
    </row>
    <row r="16" spans="1:75" ht="15" thickBot="1" x14ac:dyDescent="0.35">
      <c r="A16" s="480" t="s">
        <v>374</v>
      </c>
      <c r="B16" s="481"/>
      <c r="C16" s="482" t="s">
        <v>375</v>
      </c>
      <c r="D16" s="483"/>
      <c r="F16" s="36">
        <v>12</v>
      </c>
      <c r="G16" s="363">
        <f t="shared" si="4"/>
        <v>12</v>
      </c>
      <c r="H16" s="153">
        <f t="shared" si="5"/>
        <v>46</v>
      </c>
      <c r="I16" s="323">
        <f t="shared" si="40"/>
        <v>423</v>
      </c>
      <c r="J16" s="163">
        <f t="shared" si="6"/>
        <v>423</v>
      </c>
      <c r="K16" s="327">
        <f ca="1">IF($G16="","",Reserve!N16)</f>
        <v>434.69252384829758</v>
      </c>
      <c r="L16" s="163">
        <f t="shared" si="41"/>
        <v>0</v>
      </c>
      <c r="M16" s="163">
        <f t="shared" si="42"/>
        <v>7.0336496969696976</v>
      </c>
      <c r="N16" s="163">
        <f t="shared" si="43"/>
        <v>3.9085199999999998</v>
      </c>
      <c r="O16" s="163">
        <f t="shared" si="7"/>
        <v>0</v>
      </c>
      <c r="P16" s="327">
        <f t="shared" si="44"/>
        <v>10.942169696969698</v>
      </c>
      <c r="Q16" s="218">
        <f ca="1">IF($G16="","",Reserve!$I16)</f>
        <v>5751</v>
      </c>
      <c r="R16" s="323">
        <f>IF($G16="","",Reserve!$J17+Reserve!$K17)</f>
        <v>0</v>
      </c>
      <c r="S16" s="163">
        <f ca="1">IF($G16="","",Change!$G17)</f>
        <v>5069</v>
      </c>
      <c r="T16" s="163">
        <f t="shared" ca="1" si="61"/>
        <v>0</v>
      </c>
      <c r="U16" s="331">
        <f t="shared" si="9"/>
        <v>1.5525496228927453E-3</v>
      </c>
      <c r="V16" s="323">
        <f ca="1">IF($G16="","",Reserve!$Q17-$R16)</f>
        <v>5337</v>
      </c>
      <c r="W16" s="163">
        <f ca="1">IF($G16="","",Reserve!$S17)</f>
        <v>0</v>
      </c>
      <c r="X16" s="327">
        <f t="shared" ca="1" si="10"/>
        <v>5337</v>
      </c>
      <c r="Y16" s="334">
        <f t="shared" si="11"/>
        <v>2.5999999999999999E-2</v>
      </c>
      <c r="Z16" s="220">
        <f>IF($G16="","",VLOOKUP(H16,Life!$A$3:$Q$113,$B$6+1,FALSE))</f>
        <v>4.4209999999999996E-3</v>
      </c>
      <c r="AA16" s="220">
        <f t="shared" si="12"/>
        <v>3.9788999999999996E-3</v>
      </c>
      <c r="AB16" s="220">
        <f t="shared" si="13"/>
        <v>1.4940316499999998E-2</v>
      </c>
      <c r="AC16" s="331">
        <f>IF($G16="","",HLOOKUP($G16,AssetShare_Table!$B$84:$G$85,2)*$D$11)</f>
        <v>1.4999999999999999E-2</v>
      </c>
      <c r="AD16" s="334">
        <f t="shared" si="14"/>
        <v>0.67087767089555561</v>
      </c>
      <c r="AE16" s="220">
        <f t="shared" si="15"/>
        <v>2.6693551647263259E-3</v>
      </c>
      <c r="AF16" s="220">
        <f t="shared" si="16"/>
        <v>1.0023124735962438E-2</v>
      </c>
      <c r="AG16" s="331">
        <f t="shared" si="17"/>
        <v>0.65818519099486683</v>
      </c>
      <c r="AH16" s="323">
        <f t="shared" ca="1" si="18"/>
        <v>177615.10447253683</v>
      </c>
      <c r="AI16" s="163">
        <f t="shared" si="19"/>
        <v>18729.562816062124</v>
      </c>
      <c r="AJ16" s="163">
        <f t="shared" si="45"/>
        <v>484.49658317589927</v>
      </c>
      <c r="AK16" s="163">
        <f t="shared" ca="1" si="20"/>
        <v>6400.9338131888253</v>
      </c>
      <c r="AL16" s="163">
        <f t="shared" si="21"/>
        <v>0</v>
      </c>
      <c r="AM16" s="163">
        <f t="shared" ca="1" si="22"/>
        <v>2566.6716705950084</v>
      </c>
      <c r="AN16" s="163">
        <f t="shared" ca="1" si="46"/>
        <v>0</v>
      </c>
      <c r="AO16" s="163">
        <f t="shared" ca="1" si="47"/>
        <v>275.50893643959131</v>
      </c>
      <c r="AP16" s="163">
        <f t="shared" ca="1" si="23"/>
        <v>4931.8348921804854</v>
      </c>
      <c r="AQ16" s="163">
        <f t="shared" ca="1" si="48"/>
        <v>188544.6299784923</v>
      </c>
      <c r="AR16" s="327">
        <f t="shared" ca="1" si="49"/>
        <v>177455.8006888417</v>
      </c>
      <c r="AS16" s="323">
        <f t="shared" ca="1" si="24"/>
        <v>11088.829289650603</v>
      </c>
      <c r="AT16" s="163">
        <f t="shared" ca="1" si="25"/>
        <v>916.88251951566781</v>
      </c>
      <c r="AU16" s="163">
        <f t="shared" ca="1" si="26"/>
        <v>652.41190349215867</v>
      </c>
      <c r="AV16" s="163">
        <f t="shared" ca="1" si="27"/>
        <v>0</v>
      </c>
      <c r="AW16" s="327">
        <f t="shared" ca="1" si="28"/>
        <v>0</v>
      </c>
      <c r="AX16" s="323">
        <f ca="1">IF($G16="","",Reserve!$P17-$R16)</f>
        <v>5337.1838957091732</v>
      </c>
      <c r="AY16" s="220">
        <f t="shared" si="29"/>
        <v>2.2499999999999999E-2</v>
      </c>
      <c r="AZ16" s="331">
        <f>IF($G16="","",VLOOKUP($H16,Life!$A$3:$R$113,18,FALSE))</f>
        <v>4.4209601751096176E-3</v>
      </c>
      <c r="BA16" s="162">
        <f t="shared" ca="1" si="30"/>
        <v>626.75935499700745</v>
      </c>
      <c r="BB16" s="163">
        <f t="shared" ca="1" si="31"/>
        <v>59.133021484345669</v>
      </c>
      <c r="BC16" s="163">
        <f t="shared" ca="1" si="32"/>
        <v>85.409473532694548</v>
      </c>
      <c r="BD16" s="163">
        <f t="shared" ca="1" si="33"/>
        <v>135.79404372194537</v>
      </c>
      <c r="BE16" s="163">
        <f t="shared" ca="1" si="34"/>
        <v>19.294121540339845</v>
      </c>
      <c r="BF16" s="163">
        <f t="shared" ca="1" si="50"/>
        <v>1.2298155852932844</v>
      </c>
      <c r="BG16" s="163">
        <f t="shared" ca="1" si="35"/>
        <v>0.32650927856170309</v>
      </c>
      <c r="BH16" s="163">
        <f t="shared" ca="1" si="36"/>
        <v>4.4872558571575252E-2</v>
      </c>
      <c r="BI16" s="163">
        <f t="shared" ca="1" si="37"/>
        <v>-9.3114994491758002E-2</v>
      </c>
      <c r="BJ16" s="163">
        <f t="shared" ca="1" si="38"/>
        <v>2.2742227520888489E-2</v>
      </c>
      <c r="BK16" s="164">
        <f t="shared" ca="1" si="39"/>
        <v>-275.50893643959125</v>
      </c>
      <c r="BL16" s="163">
        <f t="shared" ca="1" si="51"/>
        <v>46.73305094890749</v>
      </c>
      <c r="BM16" s="163">
        <f t="shared" si="52"/>
        <v>5.6969696969696972</v>
      </c>
      <c r="BN16" s="163">
        <f t="shared" si="53"/>
        <v>5.2451999999999996</v>
      </c>
      <c r="BO16" s="163">
        <f t="shared" si="54"/>
        <v>0</v>
      </c>
      <c r="BP16" s="163">
        <f t="shared" ca="1" si="55"/>
        <v>1629.5563556751979</v>
      </c>
      <c r="BQ16" s="163">
        <f t="shared" si="56"/>
        <v>252.25000425672894</v>
      </c>
      <c r="BR16" s="163">
        <f t="shared" si="57"/>
        <v>232.2465789191703</v>
      </c>
      <c r="BS16" s="163">
        <f t="shared" si="58"/>
        <v>0</v>
      </c>
      <c r="BT16" s="163">
        <f t="shared" ca="1" si="59"/>
        <v>9.9778799899744364</v>
      </c>
      <c r="BU16" s="164">
        <f t="shared" ca="1" si="60"/>
        <v>275.50893643959131</v>
      </c>
    </row>
    <row r="17" spans="1:73" x14ac:dyDescent="0.3">
      <c r="A17" s="43" t="s">
        <v>233</v>
      </c>
      <c r="B17" s="313">
        <f ca="1">SUM(B18:B22)</f>
        <v>0.64670568144263241</v>
      </c>
      <c r="C17" s="100" t="s">
        <v>234</v>
      </c>
      <c r="D17" s="267">
        <f ca="1">$AU$2</f>
        <v>4.5204670299863484E-2</v>
      </c>
      <c r="F17" s="36">
        <v>13</v>
      </c>
      <c r="G17" s="363">
        <f t="shared" si="4"/>
        <v>13</v>
      </c>
      <c r="H17" s="153">
        <f t="shared" si="5"/>
        <v>47</v>
      </c>
      <c r="I17" s="323">
        <f t="shared" si="40"/>
        <v>423</v>
      </c>
      <c r="J17" s="163">
        <f t="shared" si="6"/>
        <v>423</v>
      </c>
      <c r="K17" s="327">
        <f ca="1">IF($G17="","",Reserve!N17)</f>
        <v>434.69252384829758</v>
      </c>
      <c r="L17" s="163">
        <f t="shared" si="41"/>
        <v>0</v>
      </c>
      <c r="M17" s="163">
        <f t="shared" si="42"/>
        <v>7.0336496969696976</v>
      </c>
      <c r="N17" s="163">
        <f t="shared" si="43"/>
        <v>3.9085199999999998</v>
      </c>
      <c r="O17" s="163">
        <f t="shared" si="7"/>
        <v>0</v>
      </c>
      <c r="P17" s="327">
        <f t="shared" si="44"/>
        <v>10.942169696969698</v>
      </c>
      <c r="Q17" s="218">
        <f ca="1">IF($G17="","",Reserve!$I17)</f>
        <v>6262</v>
      </c>
      <c r="R17" s="323">
        <f>IF($G17="","",Reserve!$J18+Reserve!$K18)</f>
        <v>0</v>
      </c>
      <c r="S17" s="163">
        <f ca="1">IF($G17="","",Change!$G18)</f>
        <v>5688</v>
      </c>
      <c r="T17" s="163">
        <f t="shared" ca="1" si="61"/>
        <v>0</v>
      </c>
      <c r="U17" s="331">
        <f t="shared" si="9"/>
        <v>1.4826791492902533E-3</v>
      </c>
      <c r="V17" s="323">
        <f ca="1">IF($G17="","",Reserve!$Q18-$R17)</f>
        <v>5884</v>
      </c>
      <c r="W17" s="163">
        <f ca="1">IF($G17="","",Reserve!$S18)</f>
        <v>0</v>
      </c>
      <c r="X17" s="327">
        <f t="shared" ca="1" si="10"/>
        <v>5884</v>
      </c>
      <c r="Y17" s="334">
        <f t="shared" si="11"/>
        <v>2.5999999999999999E-2</v>
      </c>
      <c r="Z17" s="220">
        <f>IF($G17="","",VLOOKUP(H17,Life!$A$3:$Q$113,$B$6+1,FALSE))</f>
        <v>4.7840000000000001E-3</v>
      </c>
      <c r="AA17" s="220">
        <f t="shared" si="12"/>
        <v>4.3056000000000006E-3</v>
      </c>
      <c r="AB17" s="220">
        <f t="shared" si="13"/>
        <v>1.4935416000000002E-2</v>
      </c>
      <c r="AC17" s="331">
        <f>IF($G17="","",HLOOKUP($G17,AssetShare_Table!$B$84:$G$85,2)*$D$11)</f>
        <v>1.4999999999999999E-2</v>
      </c>
      <c r="AD17" s="334">
        <f t="shared" si="14"/>
        <v>0.65818519099486683</v>
      </c>
      <c r="AE17" s="220">
        <f t="shared" si="15"/>
        <v>2.833882158347499E-3</v>
      </c>
      <c r="AF17" s="220">
        <f t="shared" si="16"/>
        <v>9.830269632547791E-3</v>
      </c>
      <c r="AG17" s="331">
        <f t="shared" si="17"/>
        <v>0.64552103920397164</v>
      </c>
      <c r="AH17" s="323">
        <f t="shared" ca="1" si="18"/>
        <v>188544.6299784923</v>
      </c>
      <c r="AI17" s="163">
        <f t="shared" si="19"/>
        <v>18375.21416219469</v>
      </c>
      <c r="AJ17" s="163">
        <f t="shared" si="45"/>
        <v>475.33028742528415</v>
      </c>
      <c r="AK17" s="163">
        <f t="shared" ca="1" si="20"/>
        <v>7347.2236430356743</v>
      </c>
      <c r="AL17" s="163">
        <f t="shared" si="21"/>
        <v>0</v>
      </c>
      <c r="AM17" s="163">
        <f t="shared" ca="1" si="22"/>
        <v>2736.7925881301539</v>
      </c>
      <c r="AN17" s="163">
        <f t="shared" ca="1" si="46"/>
        <v>0</v>
      </c>
      <c r="AO17" s="163">
        <f t="shared" ca="1" si="47"/>
        <v>275.64309202344737</v>
      </c>
      <c r="AP17" s="163">
        <f t="shared" ca="1" si="23"/>
        <v>5185.3650793263078</v>
      </c>
      <c r="AQ17" s="163">
        <f t="shared" ca="1" si="48"/>
        <v>197903.34850119858</v>
      </c>
      <c r="AR17" s="327">
        <f t="shared" ca="1" si="49"/>
        <v>185908.79365599461</v>
      </c>
      <c r="AS17" s="323">
        <f t="shared" ca="1" si="24"/>
        <v>11994.554845203966</v>
      </c>
      <c r="AT17" s="163">
        <f t="shared" ca="1" si="25"/>
        <v>905.72555555336294</v>
      </c>
      <c r="AU17" s="163">
        <f t="shared" ca="1" si="26"/>
        <v>617.41599402244719</v>
      </c>
      <c r="AV17" s="163">
        <f t="shared" ca="1" si="27"/>
        <v>0</v>
      </c>
      <c r="AW17" s="327">
        <f t="shared" ca="1" si="28"/>
        <v>0</v>
      </c>
      <c r="AX17" s="323">
        <f ca="1">IF($G17="","",Reserve!$P18-$R17)</f>
        <v>5884.183440916664</v>
      </c>
      <c r="AY17" s="220">
        <f t="shared" si="29"/>
        <v>2.2499999999999999E-2</v>
      </c>
      <c r="AZ17" s="331">
        <f>IF($G17="","",VLOOKUP($H17,Life!$A$3:$R$113,18,FALSE))</f>
        <v>4.7840071044299055E-3</v>
      </c>
      <c r="BA17" s="162">
        <f t="shared" ca="1" si="30"/>
        <v>657.58804197193615</v>
      </c>
      <c r="BB17" s="163">
        <f t="shared" ca="1" si="31"/>
        <v>58.388597711786552</v>
      </c>
      <c r="BC17" s="163">
        <f t="shared" ca="1" si="32"/>
        <v>81.443005567466841</v>
      </c>
      <c r="BD17" s="163">
        <f t="shared" ca="1" si="33"/>
        <v>94.394055382312956</v>
      </c>
      <c r="BE17" s="163">
        <f t="shared" ca="1" si="34"/>
        <v>-0.39184607532548804</v>
      </c>
      <c r="BF17" s="163">
        <f t="shared" ca="1" si="50"/>
        <v>1.4116344051131877</v>
      </c>
      <c r="BG17" s="163">
        <f t="shared" ca="1" si="35"/>
        <v>0.31134598882114695</v>
      </c>
      <c r="BH17" s="163">
        <f t="shared" ca="1" si="36"/>
        <v>-2.140092956735571E-2</v>
      </c>
      <c r="BI17" s="163">
        <f t="shared" ca="1" si="37"/>
        <v>-8.8262964325939774E-2</v>
      </c>
      <c r="BJ17" s="163">
        <f t="shared" ca="1" si="38"/>
        <v>2.3914987734459648E-2</v>
      </c>
      <c r="BK17" s="164">
        <f t="shared" ca="1" si="39"/>
        <v>-275.64309202344731</v>
      </c>
      <c r="BL17" s="163">
        <f t="shared" ca="1" si="51"/>
        <v>46.73305094890749</v>
      </c>
      <c r="BM17" s="163">
        <f t="shared" si="52"/>
        <v>5.6969696969696972</v>
      </c>
      <c r="BN17" s="163">
        <f t="shared" si="53"/>
        <v>5.2451999999999996</v>
      </c>
      <c r="BO17" s="163">
        <f t="shared" si="54"/>
        <v>0</v>
      </c>
      <c r="BP17" s="163">
        <f t="shared" ca="1" si="55"/>
        <v>1553.8787661178212</v>
      </c>
      <c r="BQ17" s="163">
        <f t="shared" si="56"/>
        <v>247.47763181406995</v>
      </c>
      <c r="BR17" s="163">
        <f t="shared" si="57"/>
        <v>227.85265561121417</v>
      </c>
      <c r="BS17" s="163">
        <f t="shared" si="58"/>
        <v>0</v>
      </c>
      <c r="BT17" s="163">
        <f t="shared" ca="1" si="59"/>
        <v>9.5145011667111099</v>
      </c>
      <c r="BU17" s="164">
        <f t="shared" ca="1" si="60"/>
        <v>275.64309202344737</v>
      </c>
    </row>
    <row r="18" spans="1:73" x14ac:dyDescent="0.3">
      <c r="A18" s="39" t="s">
        <v>237</v>
      </c>
      <c r="B18" s="314">
        <f ca="1">($V$5+$R$5)/$B$12</f>
        <v>0</v>
      </c>
      <c r="C18" s="247" t="s">
        <v>238</v>
      </c>
      <c r="D18" s="62">
        <f ca="1">$BA$2+$BH$2</f>
        <v>3.4403896911679561E-2</v>
      </c>
      <c r="F18" s="36">
        <v>14</v>
      </c>
      <c r="G18" s="363">
        <f t="shared" si="4"/>
        <v>14</v>
      </c>
      <c r="H18" s="153">
        <f t="shared" si="5"/>
        <v>48</v>
      </c>
      <c r="I18" s="323">
        <f t="shared" si="40"/>
        <v>423</v>
      </c>
      <c r="J18" s="163">
        <f t="shared" si="6"/>
        <v>423</v>
      </c>
      <c r="K18" s="327">
        <f ca="1">IF($G18="","",Reserve!N18)</f>
        <v>434.69252384829758</v>
      </c>
      <c r="L18" s="163">
        <f t="shared" si="41"/>
        <v>0</v>
      </c>
      <c r="M18" s="163">
        <f t="shared" si="42"/>
        <v>7.0336496969696976</v>
      </c>
      <c r="N18" s="163">
        <f t="shared" si="43"/>
        <v>3.9085199999999998</v>
      </c>
      <c r="O18" s="163">
        <f t="shared" si="7"/>
        <v>0</v>
      </c>
      <c r="P18" s="327">
        <f t="shared" si="44"/>
        <v>10.942169696969698</v>
      </c>
      <c r="Q18" s="218">
        <f ca="1">IF($G18="","",Reserve!$I18)</f>
        <v>6779</v>
      </c>
      <c r="R18" s="323">
        <f>IF($G18="","",Reserve!$J19+Reserve!$K19)</f>
        <v>0</v>
      </c>
      <c r="S18" s="163">
        <f ca="1">IF($G18="","",Change!$G19)</f>
        <v>6336</v>
      </c>
      <c r="T18" s="163">
        <f t="shared" ca="1" si="61"/>
        <v>0</v>
      </c>
      <c r="U18" s="331">
        <f t="shared" si="9"/>
        <v>1.4176996088399354E-3</v>
      </c>
      <c r="V18" s="323">
        <f ca="1">IF($G18="","",Reserve!$Q19-$R18)</f>
        <v>6443</v>
      </c>
      <c r="W18" s="163">
        <f ca="1">IF($G18="","",Reserve!$S19)</f>
        <v>0</v>
      </c>
      <c r="X18" s="327">
        <f t="shared" ca="1" si="10"/>
        <v>6443</v>
      </c>
      <c r="Y18" s="334">
        <f t="shared" si="11"/>
        <v>2.5999999999999999E-2</v>
      </c>
      <c r="Z18" s="220">
        <f>IF($G18="","",VLOOKUP(H18,Life!$A$3:$Q$113,$B$6+1,FALSE))</f>
        <v>5.1749999999999999E-3</v>
      </c>
      <c r="AA18" s="220">
        <f t="shared" si="12"/>
        <v>4.6575000000000002E-3</v>
      </c>
      <c r="AB18" s="220">
        <f t="shared" si="13"/>
        <v>1.4930137499999999E-2</v>
      </c>
      <c r="AC18" s="331">
        <f>IF($G18="","",HLOOKUP($G18,AssetShare_Table!$B$84:$G$85,2)*$D$11)</f>
        <v>1.4999999999999999E-2</v>
      </c>
      <c r="AD18" s="334">
        <f t="shared" si="14"/>
        <v>0.64552103920397164</v>
      </c>
      <c r="AE18" s="220">
        <f t="shared" si="15"/>
        <v>3.006514240092498E-3</v>
      </c>
      <c r="AF18" s="220">
        <f t="shared" si="16"/>
        <v>9.6377178744581869E-3</v>
      </c>
      <c r="AG18" s="331">
        <f t="shared" si="17"/>
        <v>0.63287680708942096</v>
      </c>
      <c r="AH18" s="323">
        <f t="shared" ca="1" si="18"/>
        <v>197903.34850119858</v>
      </c>
      <c r="AI18" s="163">
        <f t="shared" si="19"/>
        <v>18021.65637249648</v>
      </c>
      <c r="AJ18" s="163">
        <f t="shared" si="45"/>
        <v>466.18444975964968</v>
      </c>
      <c r="AK18" s="163">
        <f t="shared" ca="1" si="20"/>
        <v>8353.9958676777296</v>
      </c>
      <c r="AL18" s="163">
        <f t="shared" si="21"/>
        <v>0</v>
      </c>
      <c r="AM18" s="163">
        <f t="shared" ca="1" si="22"/>
        <v>2885.7293242531259</v>
      </c>
      <c r="AN18" s="163">
        <f t="shared" ca="1" si="46"/>
        <v>0</v>
      </c>
      <c r="AO18" s="163">
        <f t="shared" ca="1" si="47"/>
        <v>273.18556420938955</v>
      </c>
      <c r="AP18" s="163">
        <f t="shared" ca="1" si="23"/>
        <v>5396.8739629296279</v>
      </c>
      <c r="AQ18" s="163">
        <f t="shared" ca="1" si="48"/>
        <v>205597.19239488363</v>
      </c>
      <c r="AR18" s="327">
        <f t="shared" ca="1" si="49"/>
        <v>192696.36706250469</v>
      </c>
      <c r="AS18" s="323">
        <f t="shared" ca="1" si="24"/>
        <v>12900.825332378939</v>
      </c>
      <c r="AT18" s="163">
        <f t="shared" ca="1" si="25"/>
        <v>906.27048717497382</v>
      </c>
      <c r="AU18" s="163">
        <f t="shared" ca="1" si="26"/>
        <v>594.41206119966955</v>
      </c>
      <c r="AV18" s="163">
        <f t="shared" ca="1" si="27"/>
        <v>0</v>
      </c>
      <c r="AW18" s="327">
        <f t="shared" ca="1" si="28"/>
        <v>0</v>
      </c>
      <c r="AX18" s="323">
        <f ca="1">IF($G18="","",Reserve!$P19-$R18)</f>
        <v>6443.2119900573634</v>
      </c>
      <c r="AY18" s="220">
        <f t="shared" si="29"/>
        <v>2.2499999999999999E-2</v>
      </c>
      <c r="AZ18" s="331">
        <f>IF($G18="","",VLOOKUP($H18,Life!$A$3:$R$113,18,FALSE))</f>
        <v>5.175016568690495E-3</v>
      </c>
      <c r="BA18" s="162">
        <f t="shared" ca="1" si="30"/>
        <v>682.72101148722572</v>
      </c>
      <c r="BB18" s="163">
        <f t="shared" ca="1" si="31"/>
        <v>56.361949243901549</v>
      </c>
      <c r="BC18" s="163">
        <f t="shared" ca="1" si="32"/>
        <v>77.390573292285438</v>
      </c>
      <c r="BD18" s="163">
        <f t="shared" ca="1" si="33"/>
        <v>48.829669131955214</v>
      </c>
      <c r="BE18" s="163">
        <f t="shared" ca="1" si="34"/>
        <v>0.48135074316047205</v>
      </c>
      <c r="BF18" s="163">
        <f t="shared" ca="1" si="50"/>
        <v>1.6050273612350536</v>
      </c>
      <c r="BG18" s="163">
        <f t="shared" ca="1" si="35"/>
        <v>0.29585406873475123</v>
      </c>
      <c r="BH18" s="163">
        <f t="shared" ca="1" si="36"/>
        <v>-2.0285771300911824E-2</v>
      </c>
      <c r="BI18" s="163">
        <f t="shared" ca="1" si="37"/>
        <v>-9.6550808867388219E-2</v>
      </c>
      <c r="BJ18" s="163">
        <f t="shared" ca="1" si="38"/>
        <v>2.902666080378816E-2</v>
      </c>
      <c r="BK18" s="164">
        <f t="shared" ca="1" si="39"/>
        <v>-273.18556420938955</v>
      </c>
      <c r="BL18" s="163">
        <f t="shared" ca="1" si="51"/>
        <v>46.73305094890749</v>
      </c>
      <c r="BM18" s="163">
        <f t="shared" si="52"/>
        <v>5.6969696969696972</v>
      </c>
      <c r="BN18" s="163">
        <f t="shared" si="53"/>
        <v>5.2451999999999996</v>
      </c>
      <c r="BO18" s="163">
        <f t="shared" si="54"/>
        <v>0</v>
      </c>
      <c r="BP18" s="163">
        <f t="shared" ca="1" si="55"/>
        <v>1476.5610342922375</v>
      </c>
      <c r="BQ18" s="163">
        <f t="shared" si="56"/>
        <v>242.71591074069335</v>
      </c>
      <c r="BR18" s="163">
        <f t="shared" si="57"/>
        <v>223.46853901895633</v>
      </c>
      <c r="BS18" s="163">
        <f t="shared" si="58"/>
        <v>0</v>
      </c>
      <c r="BT18" s="163">
        <f t="shared" ca="1" si="59"/>
        <v>9.0410796452240252</v>
      </c>
      <c r="BU18" s="164">
        <f t="shared" ca="1" si="60"/>
        <v>273.18556420938955</v>
      </c>
    </row>
    <row r="19" spans="1:73" x14ac:dyDescent="0.3">
      <c r="A19" s="39" t="s">
        <v>241</v>
      </c>
      <c r="B19" s="314">
        <f ca="1">$W$5/$B$12</f>
        <v>0</v>
      </c>
      <c r="C19" s="247" t="s">
        <v>242</v>
      </c>
      <c r="D19" s="62">
        <f ca="1">$BB$2+$BF$2+$BJ$2</f>
        <v>2.5336228334800451E-3</v>
      </c>
      <c r="F19" s="320">
        <v>15</v>
      </c>
      <c r="G19" s="367">
        <f t="shared" si="4"/>
        <v>15</v>
      </c>
      <c r="H19" s="155">
        <f t="shared" si="5"/>
        <v>49</v>
      </c>
      <c r="I19" s="324">
        <f t="shared" si="40"/>
        <v>423</v>
      </c>
      <c r="J19" s="166">
        <f t="shared" si="6"/>
        <v>423</v>
      </c>
      <c r="K19" s="328">
        <f ca="1">IF($G19="","",Reserve!N19)</f>
        <v>434.69252384829758</v>
      </c>
      <c r="L19" s="166">
        <f t="shared" si="41"/>
        <v>0</v>
      </c>
      <c r="M19" s="166">
        <f t="shared" si="42"/>
        <v>7.0336496969696976</v>
      </c>
      <c r="N19" s="166">
        <f t="shared" si="43"/>
        <v>3.9085199999999998</v>
      </c>
      <c r="O19" s="166">
        <f t="shared" si="7"/>
        <v>0</v>
      </c>
      <c r="P19" s="328">
        <f t="shared" si="44"/>
        <v>10.942169696969698</v>
      </c>
      <c r="Q19" s="330">
        <f ca="1">IF($G19="","",Reserve!$I19)</f>
        <v>7300</v>
      </c>
      <c r="R19" s="324">
        <f>IF($G19="","",Reserve!$J20+Reserve!$K20)</f>
        <v>0</v>
      </c>
      <c r="S19" s="166">
        <f ca="1">IF($G19="","",Change!$G20)</f>
        <v>7016</v>
      </c>
      <c r="T19" s="163">
        <f t="shared" ca="1" si="61"/>
        <v>0</v>
      </c>
      <c r="U19" s="332">
        <f t="shared" si="9"/>
        <v>1.3572686362211402E-3</v>
      </c>
      <c r="V19" s="324">
        <f ca="1">IF($G19="","",Reserve!$Q20-$R19)</f>
        <v>7016</v>
      </c>
      <c r="W19" s="166">
        <f ca="1">IF($G19="","",Reserve!$S20)</f>
        <v>0</v>
      </c>
      <c r="X19" s="328">
        <f t="shared" ca="1" si="10"/>
        <v>7016</v>
      </c>
      <c r="Y19" s="335">
        <f t="shared" si="11"/>
        <v>2.5999999999999999E-2</v>
      </c>
      <c r="Z19" s="235">
        <f>IF($G19="","",VLOOKUP(H19,Life!$A$3:$Q$113,$B$6+1,FALSE))</f>
        <v>5.5970000000000004E-3</v>
      </c>
      <c r="AA19" s="235">
        <f t="shared" si="12"/>
        <v>5.0373000000000006E-3</v>
      </c>
      <c r="AB19" s="235">
        <f t="shared" si="13"/>
        <v>1.49244405E-2</v>
      </c>
      <c r="AC19" s="332">
        <f>IF($G19="","",HLOOKUP($G19,AssetShare_Table!$B$84:$G$85,2)*$D$11)</f>
        <v>1.4999999999999999E-2</v>
      </c>
      <c r="AD19" s="335">
        <f t="shared" si="14"/>
        <v>0.63287680708942096</v>
      </c>
      <c r="AE19" s="235">
        <f t="shared" si="15"/>
        <v>3.1879903403515407E-3</v>
      </c>
      <c r="AF19" s="235">
        <f t="shared" si="16"/>
        <v>9.4453322512360414E-3</v>
      </c>
      <c r="AG19" s="332">
        <f t="shared" si="17"/>
        <v>0.6202434844978334</v>
      </c>
      <c r="AH19" s="324">
        <f t="shared" ca="1" si="18"/>
        <v>205597.19239488363</v>
      </c>
      <c r="AI19" s="166">
        <f t="shared" si="19"/>
        <v>17668.654700322455</v>
      </c>
      <c r="AJ19" s="166">
        <f t="shared" si="45"/>
        <v>457.05299774962077</v>
      </c>
      <c r="AK19" s="166">
        <f t="shared" ca="1" si="20"/>
        <v>9411.3085120510659</v>
      </c>
      <c r="AL19" s="166">
        <f t="shared" si="21"/>
        <v>0</v>
      </c>
      <c r="AM19" s="166">
        <f t="shared" ca="1" si="22"/>
        <v>3011.8260470829505</v>
      </c>
      <c r="AN19" s="163">
        <f t="shared" ca="1" si="46"/>
        <v>0</v>
      </c>
      <c r="AO19" s="166">
        <f t="shared" ca="1" si="47"/>
        <v>268.435945065846</v>
      </c>
      <c r="AP19" s="166">
        <f t="shared" ca="1" si="23"/>
        <v>5564.0642915471617</v>
      </c>
      <c r="AQ19" s="166">
        <f t="shared" ca="1" si="48"/>
        <v>211541.86720321892</v>
      </c>
      <c r="AR19" s="328">
        <f t="shared" ca="1" si="49"/>
        <v>197776.57709178043</v>
      </c>
      <c r="AS19" s="324">
        <f t="shared" ca="1" si="24"/>
        <v>13765.290111438488</v>
      </c>
      <c r="AT19" s="166">
        <f t="shared" ca="1" si="25"/>
        <v>864.46477905954816</v>
      </c>
      <c r="AU19" s="166">
        <f t="shared" ca="1" si="26"/>
        <v>529.04332041769521</v>
      </c>
      <c r="AV19" s="166">
        <f t="shared" ca="1" si="27"/>
        <v>0</v>
      </c>
      <c r="AW19" s="328">
        <f t="shared" ca="1" si="28"/>
        <v>0</v>
      </c>
      <c r="AX19" s="324">
        <f ca="1">IF($G19="","",Reserve!$P20-$R19)</f>
        <v>7015.1002553972767</v>
      </c>
      <c r="AY19" s="235">
        <f t="shared" si="29"/>
        <v>2.2499999999999999E-2</v>
      </c>
      <c r="AZ19" s="332">
        <f>IF($G19="","",VLOOKUP($H19,Life!$A$3:$R$113,18,FALSE))</f>
        <v>5.5969970623435967E-3</v>
      </c>
      <c r="BA19" s="165">
        <f t="shared" ca="1" si="30"/>
        <v>701.88019575854491</v>
      </c>
      <c r="BB19" s="166">
        <f t="shared" ca="1" si="31"/>
        <v>52.508842913322717</v>
      </c>
      <c r="BC19" s="166">
        <f t="shared" ca="1" si="32"/>
        <v>73.256504261819529</v>
      </c>
      <c r="BD19" s="166">
        <f t="shared" ca="1" si="33"/>
        <v>-0.38624205105536336</v>
      </c>
      <c r="BE19" s="166">
        <f t="shared" ca="1" si="34"/>
        <v>-32.10341019473789</v>
      </c>
      <c r="BF19" s="166">
        <f t="shared" ca="1" si="50"/>
        <v>1.8081567548753705</v>
      </c>
      <c r="BG19" s="166">
        <f t="shared" ca="1" si="35"/>
        <v>0.28005006197963406</v>
      </c>
      <c r="BH19" s="166">
        <f t="shared" ca="1" si="36"/>
        <v>-2.2190594238021392E-2</v>
      </c>
      <c r="BI19" s="166">
        <f t="shared" ca="1" si="37"/>
        <v>0.38624205105536336</v>
      </c>
      <c r="BJ19" s="166">
        <f t="shared" ca="1" si="38"/>
        <v>-0.12888347801305891</v>
      </c>
      <c r="BK19" s="167">
        <f t="shared" ca="1" si="39"/>
        <v>-268.435945065846</v>
      </c>
      <c r="BL19" s="166">
        <f t="shared" ca="1" si="51"/>
        <v>46.73305094890749</v>
      </c>
      <c r="BM19" s="163">
        <f t="shared" si="52"/>
        <v>5.6969696969696972</v>
      </c>
      <c r="BN19" s="166">
        <f t="shared" si="53"/>
        <v>5.2451999999999996</v>
      </c>
      <c r="BO19" s="166">
        <f t="shared" si="54"/>
        <v>0</v>
      </c>
      <c r="BP19" s="166">
        <f t="shared" ca="1" si="55"/>
        <v>1397.6857270838757</v>
      </c>
      <c r="BQ19" s="166">
        <f t="shared" si="56"/>
        <v>237.9616794656223</v>
      </c>
      <c r="BR19" s="166">
        <f t="shared" si="57"/>
        <v>219.09131828399842</v>
      </c>
      <c r="BS19" s="166">
        <f t="shared" si="58"/>
        <v>0</v>
      </c>
      <c r="BT19" s="166">
        <f t="shared" ca="1" si="59"/>
        <v>8.5581209879449975</v>
      </c>
      <c r="BU19" s="167">
        <f t="shared" ca="1" si="60"/>
        <v>268.435945065846</v>
      </c>
    </row>
    <row r="20" spans="1:73" x14ac:dyDescent="0.3">
      <c r="A20" s="39" t="s">
        <v>246</v>
      </c>
      <c r="B20" s="314">
        <f>$B$44/($B$12*$B$13)</f>
        <v>0.1243283902858371</v>
      </c>
      <c r="C20" s="247" t="s">
        <v>247</v>
      </c>
      <c r="D20" s="62">
        <f ca="1">$BC$2+$BE$2+$BG$2+$BK$2</f>
        <v>-6.7901658034855844E-4</v>
      </c>
      <c r="F20" s="36">
        <v>16</v>
      </c>
      <c r="G20" s="363">
        <f t="shared" si="4"/>
        <v>16</v>
      </c>
      <c r="H20" s="153">
        <f t="shared" si="5"/>
        <v>50</v>
      </c>
      <c r="I20" s="323">
        <f t="shared" si="40"/>
        <v>423</v>
      </c>
      <c r="J20" s="163">
        <f t="shared" si="6"/>
        <v>423</v>
      </c>
      <c r="K20" s="327">
        <f ca="1">IF($G20="","",Reserve!N20)</f>
        <v>434.69252384829758</v>
      </c>
      <c r="L20" s="163">
        <f t="shared" si="41"/>
        <v>0</v>
      </c>
      <c r="M20" s="163">
        <f t="shared" si="42"/>
        <v>7.0336496969696976</v>
      </c>
      <c r="N20" s="163">
        <f t="shared" si="43"/>
        <v>3.9085199999999998</v>
      </c>
      <c r="O20" s="163">
        <f t="shared" si="7"/>
        <v>0</v>
      </c>
      <c r="P20" s="327">
        <f t="shared" si="44"/>
        <v>10.942169696969698</v>
      </c>
      <c r="Q20" s="218">
        <f ca="1">IF($G20="","",Reserve!$I20)</f>
        <v>7826</v>
      </c>
      <c r="R20" s="323">
        <f>IF($G20="","",Reserve!$J21+Reserve!$K21)</f>
        <v>0</v>
      </c>
      <c r="S20" s="163">
        <f ca="1">IF($G20="","",Change!$G21)</f>
        <v>7602</v>
      </c>
      <c r="T20" s="163">
        <f t="shared" ca="1" si="61"/>
        <v>0</v>
      </c>
      <c r="U20" s="331">
        <f t="shared" si="9"/>
        <v>1.3010678316856604E-3</v>
      </c>
      <c r="V20" s="323">
        <f ca="1">IF($G20="","",Reserve!$Q21-$R20)</f>
        <v>7602</v>
      </c>
      <c r="W20" s="163">
        <f ca="1">IF($G20="","",Reserve!$S21)</f>
        <v>0</v>
      </c>
      <c r="X20" s="327">
        <f t="shared" ca="1" si="10"/>
        <v>7602</v>
      </c>
      <c r="Y20" s="334">
        <f t="shared" si="11"/>
        <v>2.5999999999999999E-2</v>
      </c>
      <c r="Z20" s="220">
        <f>IF($G20="","",VLOOKUP(H20,Life!$A$3:$Q$113,$B$6+1,FALSE))</f>
        <v>6.0559999999999998E-3</v>
      </c>
      <c r="AA20" s="220">
        <f t="shared" si="12"/>
        <v>5.4504000000000002E-3</v>
      </c>
      <c r="AB20" s="220">
        <f t="shared" si="13"/>
        <v>1.4918243999999999E-2</v>
      </c>
      <c r="AC20" s="331">
        <f>IF($G20="","",HLOOKUP($G20,AssetShare_Table!$B$84:$G$85,2)*$D$11)</f>
        <v>1.4999999999999999E-2</v>
      </c>
      <c r="AD20" s="334">
        <f t="shared" si="14"/>
        <v>0.6202434844978334</v>
      </c>
      <c r="AE20" s="220">
        <f t="shared" si="15"/>
        <v>3.3805750879069914E-3</v>
      </c>
      <c r="AF20" s="220">
        <f t="shared" si="16"/>
        <v>9.2529436411488957E-3</v>
      </c>
      <c r="AG20" s="331">
        <f t="shared" si="17"/>
        <v>0.60760996576877746</v>
      </c>
      <c r="AH20" s="323">
        <f t="shared" ca="1" si="18"/>
        <v>211541.86720321892</v>
      </c>
      <c r="AI20" s="163">
        <f t="shared" si="19"/>
        <v>17315.95760021051</v>
      </c>
      <c r="AJ20" s="163">
        <f t="shared" si="45"/>
        <v>447.92942441379574</v>
      </c>
      <c r="AK20" s="163">
        <f t="shared" ca="1" si="20"/>
        <v>10509.593850448553</v>
      </c>
      <c r="AL20" s="163">
        <f t="shared" si="21"/>
        <v>0</v>
      </c>
      <c r="AM20" s="163">
        <f t="shared" ca="1" si="22"/>
        <v>3061.3014263576206</v>
      </c>
      <c r="AN20" s="163">
        <f t="shared" ca="1" si="46"/>
        <v>0</v>
      </c>
      <c r="AO20" s="163">
        <f t="shared" ca="1" si="47"/>
        <v>261.54775978622797</v>
      </c>
      <c r="AP20" s="163">
        <f t="shared" ca="1" si="23"/>
        <v>5684.8977106753482</v>
      </c>
      <c r="AQ20" s="163">
        <f t="shared" ca="1" si="48"/>
        <v>215715.37793897136</v>
      </c>
      <c r="AR20" s="327">
        <f t="shared" ca="1" si="49"/>
        <v>201025.46033081709</v>
      </c>
      <c r="AS20" s="323">
        <f t="shared" ca="1" si="24"/>
        <v>14689.917608154268</v>
      </c>
      <c r="AT20" s="163">
        <f t="shared" ca="1" si="25"/>
        <v>924.62749671578058</v>
      </c>
      <c r="AU20" s="163">
        <f t="shared" ca="1" si="26"/>
        <v>566.72995381837973</v>
      </c>
      <c r="AV20" s="163">
        <f t="shared" ca="1" si="27"/>
        <v>0</v>
      </c>
      <c r="AW20" s="327">
        <f t="shared" ca="1" si="28"/>
        <v>0</v>
      </c>
      <c r="AX20" s="323">
        <f ca="1">IF($G20="","",Reserve!$P21-$R20)</f>
        <v>7600.8617637502866</v>
      </c>
      <c r="AY20" s="220">
        <f t="shared" si="29"/>
        <v>2.2499999999999999E-2</v>
      </c>
      <c r="AZ20" s="331">
        <f>IF($G20="","",VLOOKUP($H20,Life!$A$3:$R$113,18,FALSE))</f>
        <v>6.0559821383047189E-3</v>
      </c>
      <c r="BA20" s="162">
        <f t="shared" ca="1" si="30"/>
        <v>714.82525881223523</v>
      </c>
      <c r="BB20" s="163">
        <f t="shared" ca="1" si="31"/>
        <v>46.657045594634113</v>
      </c>
      <c r="BC20" s="163">
        <f t="shared" ca="1" si="32"/>
        <v>69.047199885210205</v>
      </c>
      <c r="BD20" s="163">
        <f t="shared" ca="1" si="33"/>
        <v>-0.45836414822145444</v>
      </c>
      <c r="BE20" s="163">
        <f t="shared" ca="1" si="34"/>
        <v>-4.4538714619935238</v>
      </c>
      <c r="BF20" s="163">
        <f t="shared" ca="1" si="50"/>
        <v>2.0191888058562979</v>
      </c>
      <c r="BG20" s="163">
        <f t="shared" ca="1" si="35"/>
        <v>0.26395844030809645</v>
      </c>
      <c r="BH20" s="163">
        <f t="shared" ca="1" si="36"/>
        <v>8.8771298067557666E-2</v>
      </c>
      <c r="BI20" s="163">
        <f t="shared" ca="1" si="37"/>
        <v>0.45836414822145444</v>
      </c>
      <c r="BJ20" s="163">
        <f t="shared" ca="1" si="38"/>
        <v>-0.16983776970028483</v>
      </c>
      <c r="BK20" s="164">
        <f t="shared" ca="1" si="39"/>
        <v>-261.54775978622797</v>
      </c>
      <c r="BL20" s="163">
        <f t="shared" ca="1" si="51"/>
        <v>46.73305094890749</v>
      </c>
      <c r="BM20" s="163">
        <f t="shared" si="52"/>
        <v>5.6969696969696972</v>
      </c>
      <c r="BN20" s="163">
        <f t="shared" si="53"/>
        <v>5.2451999999999996</v>
      </c>
      <c r="BO20" s="163">
        <f t="shared" si="54"/>
        <v>0</v>
      </c>
      <c r="BP20" s="163">
        <f t="shared" ca="1" si="55"/>
        <v>1317.3749791520386</v>
      </c>
      <c r="BQ20" s="163">
        <f t="shared" si="56"/>
        <v>233.21155017118537</v>
      </c>
      <c r="BR20" s="163">
        <f t="shared" si="57"/>
        <v>214.71787424261035</v>
      </c>
      <c r="BS20" s="163">
        <f t="shared" si="58"/>
        <v>0</v>
      </c>
      <c r="BT20" s="163">
        <f t="shared" ca="1" si="59"/>
        <v>8.066373033369393</v>
      </c>
      <c r="BU20" s="164">
        <f t="shared" ca="1" si="60"/>
        <v>261.54775978622797</v>
      </c>
    </row>
    <row r="21" spans="1:73" x14ac:dyDescent="0.3">
      <c r="A21" s="39" t="s">
        <v>251</v>
      </c>
      <c r="B21" s="314">
        <f>$C$44*$B$11/$B$12</f>
        <v>1.8020000000000001E-2</v>
      </c>
      <c r="C21" s="247" t="s">
        <v>252</v>
      </c>
      <c r="D21" s="62">
        <f ca="1">$BD$2+$BI$2</f>
        <v>8.9461671350536953E-3</v>
      </c>
      <c r="F21" s="36">
        <v>17</v>
      </c>
      <c r="G21" s="363">
        <f t="shared" si="4"/>
        <v>17</v>
      </c>
      <c r="H21" s="153">
        <f t="shared" si="5"/>
        <v>51</v>
      </c>
      <c r="I21" s="323">
        <f t="shared" si="40"/>
        <v>423</v>
      </c>
      <c r="J21" s="163">
        <f t="shared" si="6"/>
        <v>423</v>
      </c>
      <c r="K21" s="327">
        <f ca="1">IF($G21="","",Reserve!N21)</f>
        <v>434.69252384829758</v>
      </c>
      <c r="L21" s="163">
        <f t="shared" si="41"/>
        <v>0</v>
      </c>
      <c r="M21" s="163">
        <f t="shared" si="42"/>
        <v>7.0336496969696976</v>
      </c>
      <c r="N21" s="163">
        <f t="shared" si="43"/>
        <v>3.9085199999999998</v>
      </c>
      <c r="O21" s="163">
        <f t="shared" si="7"/>
        <v>0</v>
      </c>
      <c r="P21" s="327">
        <f t="shared" si="44"/>
        <v>10.942169696969698</v>
      </c>
      <c r="Q21" s="218">
        <f ca="1">IF($G21="","",Reserve!$I21)</f>
        <v>8358</v>
      </c>
      <c r="R21" s="323">
        <f>IF($G21="","",Reserve!$J22+Reserve!$K22)</f>
        <v>0</v>
      </c>
      <c r="S21" s="163">
        <f ca="1">IF($G21="","",Change!$G22)</f>
        <v>8203</v>
      </c>
      <c r="T21" s="163">
        <f t="shared" ca="1" si="61"/>
        <v>0</v>
      </c>
      <c r="U21" s="331">
        <f t="shared" si="9"/>
        <v>1.2488010834676643E-3</v>
      </c>
      <c r="V21" s="323">
        <f ca="1">IF($G21="","",Reserve!$Q22-$R21)</f>
        <v>8203</v>
      </c>
      <c r="W21" s="163">
        <f ca="1">IF($G21="","",Reserve!$S22)</f>
        <v>0</v>
      </c>
      <c r="X21" s="327">
        <f t="shared" ca="1" si="10"/>
        <v>8203</v>
      </c>
      <c r="Y21" s="334">
        <f t="shared" si="11"/>
        <v>2.5999999999999999E-2</v>
      </c>
      <c r="Z21" s="220">
        <f>IF($G21="","",VLOOKUP(H21,Life!$A$3:$Q$113,$B$6+1,FALSE))</f>
        <v>6.5579999999999996E-3</v>
      </c>
      <c r="AA21" s="220">
        <f t="shared" si="12"/>
        <v>5.9021999999999998E-3</v>
      </c>
      <c r="AB21" s="220">
        <f t="shared" si="13"/>
        <v>1.4911466999999999E-2</v>
      </c>
      <c r="AC21" s="331">
        <f>IF($G21="","",HLOOKUP($G21,AssetShare_Table!$B$84:$G$85,2)*$D$11)</f>
        <v>1.4999999999999999E-2</v>
      </c>
      <c r="AD21" s="334">
        <f t="shared" si="14"/>
        <v>0.60760996576877746</v>
      </c>
      <c r="AE21" s="220">
        <f t="shared" si="15"/>
        <v>3.5862355399604784E-3</v>
      </c>
      <c r="AF21" s="220">
        <f t="shared" si="16"/>
        <v>9.0603559534322541E-3</v>
      </c>
      <c r="AG21" s="331">
        <f t="shared" si="17"/>
        <v>0.5949633742753847</v>
      </c>
      <c r="AH21" s="323">
        <f t="shared" ca="1" si="18"/>
        <v>215715.37793897136</v>
      </c>
      <c r="AI21" s="163">
        <f t="shared" si="19"/>
        <v>16963.255024332728</v>
      </c>
      <c r="AJ21" s="163">
        <f t="shared" si="45"/>
        <v>438.80570943078618</v>
      </c>
      <c r="AK21" s="163">
        <f t="shared" ca="1" si="20"/>
        <v>11634.353958771762</v>
      </c>
      <c r="AL21" s="163">
        <f t="shared" si="21"/>
        <v>0</v>
      </c>
      <c r="AM21" s="163">
        <f t="shared" ca="1" si="22"/>
        <v>3082.4934931944267</v>
      </c>
      <c r="AN21" s="163">
        <f t="shared" ca="1" si="46"/>
        <v>0</v>
      </c>
      <c r="AO21" s="163">
        <f t="shared" ca="1" si="47"/>
        <v>252.77865972479853</v>
      </c>
      <c r="AP21" s="163">
        <f t="shared" ca="1" si="23"/>
        <v>5759.0306818958479</v>
      </c>
      <c r="AQ21" s="163">
        <f t="shared" ca="1" si="48"/>
        <v>218062.8668092927</v>
      </c>
      <c r="AR21" s="327">
        <f t="shared" ca="1" si="49"/>
        <v>202417.07271976737</v>
      </c>
      <c r="AS21" s="323">
        <f t="shared" ca="1" si="24"/>
        <v>15645.794089525327</v>
      </c>
      <c r="AT21" s="163">
        <f t="shared" ca="1" si="25"/>
        <v>955.87648137105862</v>
      </c>
      <c r="AU21" s="163">
        <f t="shared" ca="1" si="26"/>
        <v>573.93862355904821</v>
      </c>
      <c r="AV21" s="163">
        <f t="shared" ca="1" si="27"/>
        <v>0</v>
      </c>
      <c r="AW21" s="327">
        <f t="shared" ca="1" si="28"/>
        <v>0</v>
      </c>
      <c r="AX21" s="323">
        <f ca="1">IF($G21="","",Reserve!$P22-$R21)</f>
        <v>8201.7461682964913</v>
      </c>
      <c r="AY21" s="220">
        <f t="shared" si="29"/>
        <v>2.2499999999999999E-2</v>
      </c>
      <c r="AZ21" s="331">
        <f>IF($G21="","",VLOOKUP($H21,Life!$A$3:$R$113,18,FALSE))</f>
        <v>6.5579732918958598E-3</v>
      </c>
      <c r="BA21" s="162">
        <f t="shared" ca="1" si="30"/>
        <v>721.36300667500734</v>
      </c>
      <c r="BB21" s="163">
        <f t="shared" ca="1" si="31"/>
        <v>38.628757295771905</v>
      </c>
      <c r="BC21" s="163">
        <f t="shared" ca="1" si="32"/>
        <v>64.771506027228867</v>
      </c>
      <c r="BD21" s="163">
        <f t="shared" ca="1" si="33"/>
        <v>-0.47116031544879133</v>
      </c>
      <c r="BE21" s="163">
        <f t="shared" ca="1" si="34"/>
        <v>-0.44028560302329767</v>
      </c>
      <c r="BF21" s="163">
        <f t="shared" ca="1" si="50"/>
        <v>2.2352618397210464</v>
      </c>
      <c r="BG21" s="163">
        <f t="shared" ca="1" si="35"/>
        <v>0.24761302030751786</v>
      </c>
      <c r="BH21" s="163">
        <f t="shared" ca="1" si="36"/>
        <v>0.10534736006623094</v>
      </c>
      <c r="BI21" s="163">
        <f t="shared" ca="1" si="37"/>
        <v>0.47116031544879133</v>
      </c>
      <c r="BJ21" s="163">
        <f t="shared" ca="1" si="38"/>
        <v>-0.19392333135675205</v>
      </c>
      <c r="BK21" s="164">
        <f t="shared" ca="1" si="39"/>
        <v>-252.77865972479847</v>
      </c>
      <c r="BL21" s="163">
        <f t="shared" ca="1" si="51"/>
        <v>46.73305094890749</v>
      </c>
      <c r="BM21" s="163">
        <f t="shared" si="52"/>
        <v>5.6969696969696972</v>
      </c>
      <c r="BN21" s="163">
        <f t="shared" si="53"/>
        <v>5.2451999999999996</v>
      </c>
      <c r="BO21" s="163">
        <f t="shared" si="54"/>
        <v>0</v>
      </c>
      <c r="BP21" s="163">
        <f t="shared" ca="1" si="55"/>
        <v>1235.7975637552825</v>
      </c>
      <c r="BQ21" s="163">
        <f t="shared" si="56"/>
        <v>228.46134712906033</v>
      </c>
      <c r="BR21" s="163">
        <f t="shared" si="57"/>
        <v>210.34436230172582</v>
      </c>
      <c r="BS21" s="163">
        <f t="shared" si="58"/>
        <v>0</v>
      </c>
      <c r="BT21" s="163">
        <f t="shared" ca="1" si="59"/>
        <v>7.5668691911817039</v>
      </c>
      <c r="BU21" s="164">
        <f t="shared" ca="1" si="60"/>
        <v>252.77865972479853</v>
      </c>
    </row>
    <row r="22" spans="1:73" ht="15" thickBot="1" x14ac:dyDescent="0.35">
      <c r="A22" s="41" t="s">
        <v>255</v>
      </c>
      <c r="B22" s="312">
        <f>$B$54*(1+$B$51)</f>
        <v>0.67200000000000004</v>
      </c>
      <c r="C22" s="248"/>
      <c r="D22" s="64"/>
      <c r="F22" s="36">
        <v>18</v>
      </c>
      <c r="G22" s="363">
        <f t="shared" si="4"/>
        <v>18</v>
      </c>
      <c r="H22" s="153">
        <f t="shared" si="5"/>
        <v>52</v>
      </c>
      <c r="I22" s="323">
        <f t="shared" si="40"/>
        <v>423</v>
      </c>
      <c r="J22" s="163">
        <f t="shared" si="6"/>
        <v>423</v>
      </c>
      <c r="K22" s="327">
        <f ca="1">IF($G22="","",Reserve!N22)</f>
        <v>434.69252384829758</v>
      </c>
      <c r="L22" s="163">
        <f t="shared" si="41"/>
        <v>0</v>
      </c>
      <c r="M22" s="163">
        <f t="shared" si="42"/>
        <v>7.0336496969696976</v>
      </c>
      <c r="N22" s="163">
        <f t="shared" si="43"/>
        <v>3.9085199999999998</v>
      </c>
      <c r="O22" s="163">
        <f t="shared" si="7"/>
        <v>0</v>
      </c>
      <c r="P22" s="327">
        <f t="shared" si="44"/>
        <v>10.942169696969698</v>
      </c>
      <c r="Q22" s="218">
        <f ca="1">IF($G22="","",Reserve!$I22)</f>
        <v>8895</v>
      </c>
      <c r="R22" s="323">
        <f>IF($G22="","",Reserve!$J23+Reserve!$K23)</f>
        <v>0</v>
      </c>
      <c r="S22" s="163">
        <f ca="1">IF($G22="","",Change!$G23)</f>
        <v>8821</v>
      </c>
      <c r="T22" s="163">
        <f t="shared" ca="1" si="61"/>
        <v>0</v>
      </c>
      <c r="U22" s="331">
        <f t="shared" si="9"/>
        <v>1.2001930076249278E-3</v>
      </c>
      <c r="V22" s="323">
        <f ca="1">IF($G22="","",Reserve!$Q23-$R22)</f>
        <v>8821</v>
      </c>
      <c r="W22" s="163">
        <f ca="1">IF($G22="","",Reserve!$S23)</f>
        <v>0</v>
      </c>
      <c r="X22" s="327">
        <f t="shared" ca="1" si="10"/>
        <v>8821</v>
      </c>
      <c r="Y22" s="334">
        <f t="shared" si="11"/>
        <v>2.5999999999999999E-2</v>
      </c>
      <c r="Z22" s="220">
        <f>IF($G22="","",VLOOKUP(H22,Life!$A$3:$Q$113,$B$6+1,FALSE))</f>
        <v>7.1079999999999997E-3</v>
      </c>
      <c r="AA22" s="220">
        <f t="shared" si="12"/>
        <v>6.3971999999999996E-3</v>
      </c>
      <c r="AB22" s="220">
        <f t="shared" si="13"/>
        <v>1.4904042000000001E-2</v>
      </c>
      <c r="AC22" s="331">
        <f>IF($G22="","",HLOOKUP($G22,AssetShare_Table!$B$84:$G$85,2)*$D$11)</f>
        <v>1.4999999999999999E-2</v>
      </c>
      <c r="AD22" s="334">
        <f t="shared" si="14"/>
        <v>0.5949633742753847</v>
      </c>
      <c r="AE22" s="220">
        <f t="shared" si="15"/>
        <v>3.8060996979144908E-3</v>
      </c>
      <c r="AF22" s="220">
        <f t="shared" si="16"/>
        <v>8.8673591186620541E-3</v>
      </c>
      <c r="AG22" s="331">
        <f t="shared" si="17"/>
        <v>0.58228991545880815</v>
      </c>
      <c r="AH22" s="323">
        <f t="shared" ca="1" si="18"/>
        <v>218062.8668092927</v>
      </c>
      <c r="AI22" s="163">
        <f t="shared" si="19"/>
        <v>16610.187483020189</v>
      </c>
      <c r="AJ22" s="163">
        <f t="shared" si="45"/>
        <v>429.67255351699504</v>
      </c>
      <c r="AK22" s="163">
        <f t="shared" ca="1" si="20"/>
        <v>12764.080003141818</v>
      </c>
      <c r="AL22" s="163">
        <f t="shared" si="21"/>
        <v>0</v>
      </c>
      <c r="AM22" s="163">
        <f t="shared" ca="1" si="22"/>
        <v>3075.1340546982096</v>
      </c>
      <c r="AN22" s="163">
        <f t="shared" ca="1" si="46"/>
        <v>0</v>
      </c>
      <c r="AO22" s="163">
        <f t="shared" ca="1" si="47"/>
        <v>242.35953827391418</v>
      </c>
      <c r="AP22" s="163">
        <f t="shared" ca="1" si="23"/>
        <v>5785.3707864006055</v>
      </c>
      <c r="AQ22" s="163">
        <f t="shared" ca="1" si="48"/>
        <v>218552.08460252799</v>
      </c>
      <c r="AR22" s="327">
        <f t="shared" ca="1" si="49"/>
        <v>201933.80292518245</v>
      </c>
      <c r="AS22" s="323">
        <f t="shared" ca="1" si="24"/>
        <v>16618.281677345542</v>
      </c>
      <c r="AT22" s="163">
        <f t="shared" ca="1" si="25"/>
        <v>972.48758782021469</v>
      </c>
      <c r="AU22" s="163">
        <f t="shared" ca="1" si="26"/>
        <v>565.6969414925552</v>
      </c>
      <c r="AV22" s="163">
        <f t="shared" ca="1" si="27"/>
        <v>0</v>
      </c>
      <c r="AW22" s="327">
        <f t="shared" ca="1" si="28"/>
        <v>0</v>
      </c>
      <c r="AX22" s="323">
        <f ca="1">IF($G22="","",Reserve!$P23-$R22)</f>
        <v>8819.4469112864044</v>
      </c>
      <c r="AY22" s="220">
        <f t="shared" si="29"/>
        <v>2.2499999999999999E-2</v>
      </c>
      <c r="AZ22" s="331">
        <f>IF($G22="","",VLOOKUP($H22,Life!$A$3:$R$113,18,FALSE))</f>
        <v>7.1079883009118926E-3</v>
      </c>
      <c r="BA22" s="162">
        <f t="shared" ca="1" si="30"/>
        <v>721.3706287979652</v>
      </c>
      <c r="BB22" s="163">
        <f t="shared" ca="1" si="31"/>
        <v>27.912361051897303</v>
      </c>
      <c r="BC22" s="163">
        <f t="shared" ca="1" si="32"/>
        <v>60.44149856071288</v>
      </c>
      <c r="BD22" s="163">
        <f t="shared" ca="1" si="33"/>
        <v>-0.54143022255358519</v>
      </c>
      <c r="BE22" s="163">
        <f t="shared" ca="1" si="34"/>
        <v>-4.2120572595025756</v>
      </c>
      <c r="BF22" s="163">
        <f t="shared" ca="1" si="50"/>
        <v>2.4523244667748214</v>
      </c>
      <c r="BG22" s="163">
        <f t="shared" ca="1" si="35"/>
        <v>0.23105996646486968</v>
      </c>
      <c r="BH22" s="163">
        <f t="shared" ca="1" si="36"/>
        <v>0.10828834583398055</v>
      </c>
      <c r="BI22" s="163">
        <f t="shared" ca="1" si="37"/>
        <v>0.54143022255358519</v>
      </c>
      <c r="BJ22" s="163">
        <f t="shared" ca="1" si="38"/>
        <v>-0.24762416352354399</v>
      </c>
      <c r="BK22" s="164">
        <f t="shared" ca="1" si="39"/>
        <v>-242.35953827391415</v>
      </c>
      <c r="BL22" s="163">
        <f t="shared" ca="1" si="51"/>
        <v>46.73305094890749</v>
      </c>
      <c r="BM22" s="163">
        <f t="shared" si="52"/>
        <v>5.6969696969696972</v>
      </c>
      <c r="BN22" s="163">
        <f t="shared" si="53"/>
        <v>5.2451999999999996</v>
      </c>
      <c r="BO22" s="163">
        <f t="shared" si="54"/>
        <v>0</v>
      </c>
      <c r="BP22" s="163">
        <f t="shared" ca="1" si="55"/>
        <v>1153.1838805731563</v>
      </c>
      <c r="BQ22" s="163">
        <f t="shared" si="56"/>
        <v>223.70622872754467</v>
      </c>
      <c r="BR22" s="163">
        <f t="shared" si="57"/>
        <v>205.96632478945034</v>
      </c>
      <c r="BS22" s="163">
        <f t="shared" si="58"/>
        <v>0</v>
      </c>
      <c r="BT22" s="163">
        <f t="shared" ca="1" si="59"/>
        <v>7.0610202136669171</v>
      </c>
      <c r="BU22" s="164">
        <f t="shared" ca="1" si="60"/>
        <v>242.35953827391418</v>
      </c>
    </row>
    <row r="23" spans="1:73" ht="15" thickBot="1" x14ac:dyDescent="0.35">
      <c r="D23" s="317"/>
      <c r="F23" s="36">
        <v>19</v>
      </c>
      <c r="G23" s="363">
        <f t="shared" si="4"/>
        <v>19</v>
      </c>
      <c r="H23" s="153">
        <f t="shared" si="5"/>
        <v>53</v>
      </c>
      <c r="I23" s="323">
        <f t="shared" si="40"/>
        <v>423</v>
      </c>
      <c r="J23" s="163">
        <f t="shared" si="6"/>
        <v>423</v>
      </c>
      <c r="K23" s="327">
        <f ca="1">IF($G23="","",Reserve!N23)</f>
        <v>434.69252384829758</v>
      </c>
      <c r="L23" s="163">
        <f t="shared" si="41"/>
        <v>0</v>
      </c>
      <c r="M23" s="163">
        <f t="shared" si="42"/>
        <v>7.0336496969696976</v>
      </c>
      <c r="N23" s="163">
        <f t="shared" si="43"/>
        <v>3.9085199999999998</v>
      </c>
      <c r="O23" s="163">
        <f t="shared" si="7"/>
        <v>0</v>
      </c>
      <c r="P23" s="327">
        <f t="shared" si="44"/>
        <v>10.942169696969698</v>
      </c>
      <c r="Q23" s="218">
        <f ca="1">IF($G23="","",Reserve!$I23)</f>
        <v>9438</v>
      </c>
      <c r="R23" s="323">
        <f>IF($G23="","",Reserve!$J24+Reserve!$K24)</f>
        <v>0</v>
      </c>
      <c r="S23" s="163">
        <f ca="1">IF($G23="","",Change!$G24)</f>
        <v>9457</v>
      </c>
      <c r="T23" s="163">
        <f t="shared" ca="1" si="61"/>
        <v>0</v>
      </c>
      <c r="U23" s="331">
        <f t="shared" si="9"/>
        <v>1.154987497091183E-3</v>
      </c>
      <c r="V23" s="323">
        <f ca="1">IF($G23="","",Reserve!$Q24-$R23)</f>
        <v>9457</v>
      </c>
      <c r="W23" s="163">
        <f ca="1">IF($G23="","",Reserve!$S24)</f>
        <v>0</v>
      </c>
      <c r="X23" s="327">
        <f t="shared" ca="1" si="10"/>
        <v>9457</v>
      </c>
      <c r="Y23" s="334">
        <f t="shared" si="11"/>
        <v>2.5999999999999999E-2</v>
      </c>
      <c r="Z23" s="220">
        <f>IF($G23="","",VLOOKUP(H23,Life!$A$3:$Q$113,$B$6+1,FALSE))</f>
        <v>7.7130000000000002E-3</v>
      </c>
      <c r="AA23" s="220">
        <f t="shared" si="12"/>
        <v>6.9417000000000003E-3</v>
      </c>
      <c r="AB23" s="220">
        <f t="shared" si="13"/>
        <v>1.4895874500000001E-2</v>
      </c>
      <c r="AC23" s="331">
        <f>IF($G23="","",HLOOKUP($G23,AssetShare_Table!$B$84:$G$85,2)*$D$11)</f>
        <v>1.4999999999999999E-2</v>
      </c>
      <c r="AD23" s="334">
        <f t="shared" si="14"/>
        <v>0.58228991545880815</v>
      </c>
      <c r="AE23" s="220">
        <f t="shared" si="15"/>
        <v>4.0420819061404087E-3</v>
      </c>
      <c r="AF23" s="220">
        <f t="shared" si="16"/>
        <v>8.6737175032900165E-3</v>
      </c>
      <c r="AG23" s="331">
        <f t="shared" si="17"/>
        <v>0.56957411604937769</v>
      </c>
      <c r="AH23" s="323">
        <f t="shared" ca="1" si="18"/>
        <v>218552.08460252799</v>
      </c>
      <c r="AI23" s="163">
        <f t="shared" si="19"/>
        <v>16256.369859779006</v>
      </c>
      <c r="AJ23" s="163">
        <f t="shared" si="45"/>
        <v>420.51999447377159</v>
      </c>
      <c r="AK23" s="163">
        <f t="shared" ca="1" si="20"/>
        <v>13875.357494619471</v>
      </c>
      <c r="AL23" s="163">
        <f t="shared" si="21"/>
        <v>0</v>
      </c>
      <c r="AM23" s="163">
        <f t="shared" ca="1" si="22"/>
        <v>3038.8511200788948</v>
      </c>
      <c r="AN23" s="163">
        <f t="shared" ca="1" si="46"/>
        <v>0</v>
      </c>
      <c r="AO23" s="163">
        <f t="shared" ca="1" si="47"/>
        <v>230.47916823163138</v>
      </c>
      <c r="AP23" s="163">
        <f t="shared" ca="1" si="23"/>
        <v>5763.4543611953004</v>
      </c>
      <c r="AQ23" s="163">
        <f t="shared" ca="1" si="48"/>
        <v>217176.69822829499</v>
      </c>
      <c r="AR23" s="327">
        <f t="shared" ca="1" si="49"/>
        <v>199551.22355184742</v>
      </c>
      <c r="AS23" s="323">
        <f t="shared" ca="1" si="24"/>
        <v>17625.474676447571</v>
      </c>
      <c r="AT23" s="163">
        <f t="shared" ca="1" si="25"/>
        <v>1007.1929991020297</v>
      </c>
      <c r="AU23" s="163">
        <f t="shared" ca="1" si="26"/>
        <v>575.11767549104479</v>
      </c>
      <c r="AV23" s="163">
        <f t="shared" ca="1" si="27"/>
        <v>0</v>
      </c>
      <c r="AW23" s="327">
        <f t="shared" ca="1" si="28"/>
        <v>0</v>
      </c>
      <c r="AX23" s="323">
        <f ca="1">IF($G23="","",Reserve!$P24-$R23)</f>
        <v>9456.1159977254119</v>
      </c>
      <c r="AY23" s="220">
        <f t="shared" si="29"/>
        <v>2.2499999999999999E-2</v>
      </c>
      <c r="AZ23" s="331">
        <f>IF($G23="","",VLOOKUP($H23,Life!$A$3:$R$113,18,FALSE))</f>
        <v>7.7129727755899007E-3</v>
      </c>
      <c r="BA23" s="162">
        <f t="shared" ca="1" si="30"/>
        <v>714.81432083324989</v>
      </c>
      <c r="BB23" s="163">
        <f t="shared" ca="1" si="31"/>
        <v>14.288511897393509</v>
      </c>
      <c r="BC23" s="163">
        <f t="shared" ca="1" si="32"/>
        <v>56.072768247438496</v>
      </c>
      <c r="BD23" s="163">
        <f t="shared" ca="1" si="33"/>
        <v>-0.2840595645854081</v>
      </c>
      <c r="BE23" s="163">
        <f t="shared" ca="1" si="34"/>
        <v>17.560980019357505</v>
      </c>
      <c r="BF23" s="163">
        <f t="shared" ca="1" si="50"/>
        <v>2.6658683558462251</v>
      </c>
      <c r="BG23" s="163">
        <f t="shared" ca="1" si="35"/>
        <v>0.21435888022913935</v>
      </c>
      <c r="BH23" s="163">
        <f t="shared" ca="1" si="36"/>
        <v>0.12443871281689897</v>
      </c>
      <c r="BI23" s="163">
        <f t="shared" ca="1" si="37"/>
        <v>0.2840595645854081</v>
      </c>
      <c r="BJ23" s="163">
        <f t="shared" ca="1" si="38"/>
        <v>-0.14440322354303198</v>
      </c>
      <c r="BK23" s="164">
        <f t="shared" ca="1" si="39"/>
        <v>-230.47916823163138</v>
      </c>
      <c r="BL23" s="163">
        <f t="shared" ca="1" si="51"/>
        <v>46.73305094890749</v>
      </c>
      <c r="BM23" s="163">
        <f t="shared" si="52"/>
        <v>5.6969696969696972</v>
      </c>
      <c r="BN23" s="163">
        <f t="shared" si="53"/>
        <v>5.2451999999999996</v>
      </c>
      <c r="BO23" s="163">
        <f t="shared" si="54"/>
        <v>0</v>
      </c>
      <c r="BP23" s="163">
        <f t="shared" ca="1" si="55"/>
        <v>1069.8313910451416</v>
      </c>
      <c r="BQ23" s="163">
        <f t="shared" si="56"/>
        <v>218.94100821251186</v>
      </c>
      <c r="BR23" s="163">
        <f t="shared" si="57"/>
        <v>201.57898626125967</v>
      </c>
      <c r="BS23" s="163">
        <f t="shared" si="58"/>
        <v>0</v>
      </c>
      <c r="BT23" s="163">
        <f t="shared" ca="1" si="59"/>
        <v>6.5506474766457847</v>
      </c>
      <c r="BU23" s="164">
        <f t="shared" ca="1" si="60"/>
        <v>230.47916823163138</v>
      </c>
    </row>
    <row r="24" spans="1:73" ht="15" thickBot="1" x14ac:dyDescent="0.35">
      <c r="A24" s="486" t="s">
        <v>376</v>
      </c>
      <c r="B24" s="487"/>
      <c r="D24" s="317"/>
      <c r="F24" s="320">
        <v>20</v>
      </c>
      <c r="G24" s="367">
        <f t="shared" si="4"/>
        <v>20</v>
      </c>
      <c r="H24" s="155">
        <f t="shared" si="5"/>
        <v>54</v>
      </c>
      <c r="I24" s="324">
        <f t="shared" si="40"/>
        <v>423</v>
      </c>
      <c r="J24" s="166">
        <f t="shared" si="6"/>
        <v>423</v>
      </c>
      <c r="K24" s="328">
        <f ca="1">IF($G24="","",Reserve!N24)</f>
        <v>434.69252384829758</v>
      </c>
      <c r="L24" s="166">
        <f t="shared" si="41"/>
        <v>0</v>
      </c>
      <c r="M24" s="166">
        <f t="shared" si="42"/>
        <v>7.0336496969696976</v>
      </c>
      <c r="N24" s="166">
        <f t="shared" si="43"/>
        <v>3.9085199999999998</v>
      </c>
      <c r="O24" s="166">
        <f t="shared" si="7"/>
        <v>0</v>
      </c>
      <c r="P24" s="328">
        <f t="shared" si="44"/>
        <v>10.942169696969698</v>
      </c>
      <c r="Q24" s="330">
        <f ca="1">IF($G24="","",Reserve!$I24)</f>
        <v>10001.760561669704</v>
      </c>
      <c r="R24" s="324">
        <f>IF($G24="","",Reserve!$J25+Reserve!$K25)</f>
        <v>0</v>
      </c>
      <c r="S24" s="166">
        <f ca="1">IF($G24="","",Change!$G25)</f>
        <v>10113</v>
      </c>
      <c r="T24" s="163">
        <f t="shared" ca="1" si="61"/>
        <v>0</v>
      </c>
      <c r="U24" s="332">
        <f t="shared" si="9"/>
        <v>1.1129463722948001E-3</v>
      </c>
      <c r="V24" s="324">
        <f ca="1">IF($G24="","",Reserve!$Q25-$R24)</f>
        <v>10113</v>
      </c>
      <c r="W24" s="166">
        <f>IF($G24="","",Reserve!$S25)</f>
        <v>0</v>
      </c>
      <c r="X24" s="328">
        <f t="shared" ca="1" si="10"/>
        <v>10113</v>
      </c>
      <c r="Y24" s="335">
        <f t="shared" si="11"/>
        <v>2.5999999999999999E-2</v>
      </c>
      <c r="Z24" s="235">
        <f>IF($G24="","",VLOOKUP(H24,Life!$A$3:$Q$113,$B$6+1,FALSE))</f>
        <v>8.3800000000000003E-3</v>
      </c>
      <c r="AA24" s="235">
        <f t="shared" si="12"/>
        <v>7.5420000000000001E-3</v>
      </c>
      <c r="AB24" s="235">
        <f t="shared" si="13"/>
        <v>1.4886869999999998E-2</v>
      </c>
      <c r="AC24" s="332">
        <f>IF($G24="","",HLOOKUP($G24,AssetShare_Table!$B$84:$G$85,2)*$D$11)</f>
        <v>1.4999999999999999E-2</v>
      </c>
      <c r="AD24" s="335">
        <f t="shared" si="14"/>
        <v>0.56957411604937769</v>
      </c>
      <c r="AE24" s="235">
        <f t="shared" si="15"/>
        <v>4.295727983244407E-3</v>
      </c>
      <c r="AF24" s="235">
        <f t="shared" si="16"/>
        <v>8.4791758209919986E-3</v>
      </c>
      <c r="AG24" s="332">
        <f t="shared" si="17"/>
        <v>0.55679921224514128</v>
      </c>
      <c r="AH24" s="324">
        <f t="shared" ca="1" si="18"/>
        <v>217176.69822829499</v>
      </c>
      <c r="AI24" s="166">
        <f t="shared" si="19"/>
        <v>15901.370171866525</v>
      </c>
      <c r="AJ24" s="166">
        <f t="shared" si="45"/>
        <v>411.33685776571099</v>
      </c>
      <c r="AK24" s="166">
        <f t="shared" ca="1" si="20"/>
        <v>14963.215122920177</v>
      </c>
      <c r="AL24" s="166">
        <f t="shared" si="21"/>
        <v>0</v>
      </c>
      <c r="AM24" s="166">
        <f t="shared" ca="1" si="22"/>
        <v>2973.9566852038779</v>
      </c>
      <c r="AN24" s="163">
        <f t="shared" ca="1" si="46"/>
        <v>0</v>
      </c>
      <c r="AO24" s="166">
        <f t="shared" ca="1" si="47"/>
        <v>217.34709930647543</v>
      </c>
      <c r="AP24" s="166">
        <f t="shared" ca="1" si="23"/>
        <v>5693.2708444904738</v>
      </c>
      <c r="AQ24" s="166">
        <f t="shared" ca="1" si="48"/>
        <v>213938.26869991067</v>
      </c>
      <c r="AR24" s="328">
        <f t="shared" ca="1" si="49"/>
        <v>195289.82232838796</v>
      </c>
      <c r="AS24" s="324">
        <f t="shared" ca="1" si="24"/>
        <v>18648.446371522703</v>
      </c>
      <c r="AT24" s="166">
        <f t="shared" ca="1" si="25"/>
        <v>1022.9716950751317</v>
      </c>
      <c r="AU24" s="166">
        <f t="shared" ca="1" si="26"/>
        <v>564.70935348749481</v>
      </c>
      <c r="AV24" s="166">
        <f t="shared" ca="1" si="27"/>
        <v>0</v>
      </c>
      <c r="AW24" s="328">
        <f t="shared" ca="1" si="28"/>
        <v>0</v>
      </c>
      <c r="AX24" s="324">
        <f ca="1">IF($G24="","",Reserve!$P25-$R24)</f>
        <v>10113.325823497749</v>
      </c>
      <c r="AY24" s="235">
        <f t="shared" si="29"/>
        <v>2.2499999999999999E-2</v>
      </c>
      <c r="AZ24" s="332">
        <f>IF($G24="","",VLOOKUP($H24,Life!$A$3:$R$113,18,FALSE))</f>
        <v>8.3800302675311449E-3</v>
      </c>
      <c r="BA24" s="165">
        <f t="shared" ca="1" si="30"/>
        <v>701.71872548475267</v>
      </c>
      <c r="BB24" s="166">
        <f t="shared" ca="1" si="31"/>
        <v>5.463023061282863E-2</v>
      </c>
      <c r="BC24" s="166">
        <f t="shared" ca="1" si="32"/>
        <v>51.684676351858492</v>
      </c>
      <c r="BD24" s="166">
        <f t="shared" ca="1" si="33"/>
        <v>9.5815778634236543E-2</v>
      </c>
      <c r="BE24" s="166">
        <f t="shared" ca="1" si="34"/>
        <v>25.406499678048181</v>
      </c>
      <c r="BF24" s="166">
        <f t="shared" ca="1" si="50"/>
        <v>2.8748892695567632</v>
      </c>
      <c r="BG24" s="166">
        <f t="shared" ca="1" si="35"/>
        <v>0.19758377718931286</v>
      </c>
      <c r="BH24" s="166">
        <f t="shared" ca="1" si="36"/>
        <v>6.528635659387963E-2</v>
      </c>
      <c r="BI24" s="166">
        <f t="shared" ca="1" si="37"/>
        <v>-9.5815778634236543E-2</v>
      </c>
      <c r="BJ24" s="166">
        <f t="shared" ca="1" si="38"/>
        <v>5.4161645350996233E-2</v>
      </c>
      <c r="BK24" s="167">
        <f t="shared" ca="1" si="39"/>
        <v>-217.34709930647549</v>
      </c>
      <c r="BL24" s="166">
        <f t="shared" ca="1" si="51"/>
        <v>46.73305094890749</v>
      </c>
      <c r="BM24" s="163">
        <f t="shared" si="52"/>
        <v>5.6969696969696972</v>
      </c>
      <c r="BN24" s="166">
        <f t="shared" si="53"/>
        <v>5.2451999999999996</v>
      </c>
      <c r="BO24" s="166">
        <f t="shared" si="54"/>
        <v>0</v>
      </c>
      <c r="BP24" s="166">
        <f t="shared" ca="1" si="55"/>
        <v>986.10949531197139</v>
      </c>
      <c r="BQ24" s="166">
        <f t="shared" si="56"/>
        <v>214.15986763456601</v>
      </c>
      <c r="BR24" s="166">
        <f t="shared" si="57"/>
        <v>197.17699013114492</v>
      </c>
      <c r="BS24" s="166">
        <f t="shared" si="58"/>
        <v>0</v>
      </c>
      <c r="BT24" s="166">
        <f t="shared" ca="1" si="59"/>
        <v>6.0380128413050542</v>
      </c>
      <c r="BU24" s="167">
        <f t="shared" ca="1" si="60"/>
        <v>217.34709930647543</v>
      </c>
    </row>
    <row r="25" spans="1:73" ht="15" thickTop="1" x14ac:dyDescent="0.3">
      <c r="A25" s="488" t="s">
        <v>377</v>
      </c>
      <c r="B25" s="490">
        <f ca="1">$AV$1/($B$12*$B$13)</f>
        <v>0.43214146288656341</v>
      </c>
      <c r="D25" s="362"/>
      <c r="F25" s="36">
        <v>21</v>
      </c>
      <c r="G25" s="363">
        <f t="shared" si="4"/>
        <v>21</v>
      </c>
      <c r="H25" s="153">
        <f t="shared" si="5"/>
        <v>55</v>
      </c>
      <c r="I25" s="323">
        <f t="shared" si="40"/>
        <v>0</v>
      </c>
      <c r="J25" s="163">
        <f t="shared" si="6"/>
        <v>0</v>
      </c>
      <c r="K25" s="327">
        <f>IF($G25="","",Reserve!N25)</f>
        <v>0</v>
      </c>
      <c r="L25" s="163">
        <f t="shared" si="41"/>
        <v>0</v>
      </c>
      <c r="M25" s="163">
        <f t="shared" si="42"/>
        <v>5.6969696969696972</v>
      </c>
      <c r="N25" s="163">
        <f t="shared" si="43"/>
        <v>0</v>
      </c>
      <c r="O25" s="163">
        <f t="shared" si="7"/>
        <v>0</v>
      </c>
      <c r="P25" s="327">
        <f t="shared" si="44"/>
        <v>5.6969696969696972</v>
      </c>
      <c r="Q25" s="218">
        <f ca="1">IF($G25="","",Reserve!$I25)</f>
        <v>10227</v>
      </c>
      <c r="R25" s="323">
        <f>IF($G25="","",Reserve!$J26+Reserve!$K26)</f>
        <v>0</v>
      </c>
      <c r="S25" s="163">
        <f ca="1">IF($G25="","",Change!$G26)</f>
        <v>10341</v>
      </c>
      <c r="T25" s="163">
        <f t="shared" si="61"/>
        <v>0</v>
      </c>
      <c r="U25" s="331">
        <f t="shared" si="9"/>
        <v>1.0738481262341643E-3</v>
      </c>
      <c r="V25" s="323">
        <f ca="1">IF($G25="","",Reserve!$Q26-$R25)</f>
        <v>10341</v>
      </c>
      <c r="W25" s="163">
        <f>IF($G25="","",Reserve!$S26)</f>
        <v>0</v>
      </c>
      <c r="X25" s="327">
        <f t="shared" ca="1" si="10"/>
        <v>10341</v>
      </c>
      <c r="Y25" s="334">
        <f t="shared" si="11"/>
        <v>2.5999999999999999E-2</v>
      </c>
      <c r="Z25" s="220">
        <f>IF($G25="","",VLOOKUP(H25,Life!$A$3:$Q$113,$B$6+1,FALSE))</f>
        <v>9.1179999999999994E-3</v>
      </c>
      <c r="AA25" s="220">
        <f t="shared" si="12"/>
        <v>8.2062000000000003E-3</v>
      </c>
      <c r="AB25" s="220">
        <f t="shared" si="13"/>
        <v>1.4876907E-2</v>
      </c>
      <c r="AC25" s="331">
        <f>IF($G25="","",HLOOKUP($G25,AssetShare_Table!$B$84:$G$85,2)*$D$11)</f>
        <v>1.4999999999999999E-2</v>
      </c>
      <c r="AD25" s="334">
        <f t="shared" si="14"/>
        <v>0.55679921224514128</v>
      </c>
      <c r="AE25" s="220">
        <f t="shared" si="15"/>
        <v>4.5692056955260784E-3</v>
      </c>
      <c r="AF25" s="220">
        <f t="shared" si="16"/>
        <v>8.2834500982442282E-3</v>
      </c>
      <c r="AG25" s="331">
        <f t="shared" si="17"/>
        <v>0.54394655645137091</v>
      </c>
      <c r="AH25" s="323">
        <f t="shared" ca="1" si="18"/>
        <v>213938.26869991067</v>
      </c>
      <c r="AI25" s="163">
        <f t="shared" si="19"/>
        <v>0</v>
      </c>
      <c r="AJ25" s="163">
        <f t="shared" si="45"/>
        <v>209.35650380417314</v>
      </c>
      <c r="AK25" s="163">
        <f t="shared" ca="1" si="20"/>
        <v>15453.96681342285</v>
      </c>
      <c r="AL25" s="163">
        <f t="shared" si="21"/>
        <v>0</v>
      </c>
      <c r="AM25" s="163">
        <f t="shared" ca="1" si="22"/>
        <v>2760.996695765913</v>
      </c>
      <c r="AN25" s="163">
        <f t="shared" si="46"/>
        <v>0</v>
      </c>
      <c r="AO25" s="163">
        <f t="shared" ca="1" si="47"/>
        <v>194.69451742417604</v>
      </c>
      <c r="AP25" s="163">
        <f t="shared" ca="1" si="23"/>
        <v>5359.7377001122968</v>
      </c>
      <c r="AQ25" s="163">
        <f t="shared" ca="1" si="48"/>
        <v>200771.2378940917</v>
      </c>
      <c r="AR25" s="327">
        <f t="shared" ca="1" si="49"/>
        <v>181305.44968862829</v>
      </c>
      <c r="AS25" s="323">
        <f t="shared" ca="1" si="24"/>
        <v>19465.78820546341</v>
      </c>
      <c r="AT25" s="163">
        <f t="shared" ca="1" si="25"/>
        <v>817.34183394070715</v>
      </c>
      <c r="AU25" s="163">
        <f t="shared" ca="1" si="26"/>
        <v>332.48222828111466</v>
      </c>
      <c r="AV25" s="163">
        <f t="shared" ca="1" si="27"/>
        <v>0</v>
      </c>
      <c r="AW25" s="327">
        <f t="shared" ca="1" si="28"/>
        <v>0</v>
      </c>
      <c r="AX25" s="323">
        <f ca="1">IF($G25="","",Reserve!$P26-$R25)</f>
        <v>10340.824413913188</v>
      </c>
      <c r="AY25" s="220">
        <f t="shared" si="29"/>
        <v>2.2499999999999999E-2</v>
      </c>
      <c r="AZ25" s="331">
        <f>IF($G25="","",VLOOKUP($H25,Life!$A$3:$R$113,18,FALSE))</f>
        <v>9.1179791095838368E-3</v>
      </c>
      <c r="BA25" s="162">
        <f t="shared" ca="1" si="30"/>
        <v>653.84487875697027</v>
      </c>
      <c r="BB25" s="163">
        <f t="shared" ca="1" si="31"/>
        <v>9.8949079743315752E-2</v>
      </c>
      <c r="BC25" s="163">
        <f t="shared" si="32"/>
        <v>-214.06702513976703</v>
      </c>
      <c r="BD25" s="163">
        <f t="shared" ca="1" si="33"/>
        <v>-4.6880631032946922E-2</v>
      </c>
      <c r="BE25" s="163">
        <f t="shared" ca="1" si="34"/>
        <v>-9.5293653721251488</v>
      </c>
      <c r="BF25" s="163">
        <f t="shared" ca="1" si="50"/>
        <v>2.9691373211391698</v>
      </c>
      <c r="BG25" s="163">
        <f t="shared" si="35"/>
        <v>-0.73274776331460578</v>
      </c>
      <c r="BH25" s="163">
        <f t="shared" ca="1" si="36"/>
        <v>-2.202165978943536E-2</v>
      </c>
      <c r="BI25" s="163">
        <f t="shared" ca="1" si="37"/>
        <v>4.6880631032946922E-2</v>
      </c>
      <c r="BJ25" s="163">
        <f t="shared" ca="1" si="38"/>
        <v>-2.9480639984929651E-2</v>
      </c>
      <c r="BK25" s="164">
        <f t="shared" ca="1" si="39"/>
        <v>-194.69451742417604</v>
      </c>
      <c r="BL25" s="163">
        <f t="shared" ca="1" si="51"/>
        <v>0</v>
      </c>
      <c r="BM25" s="163">
        <f t="shared" si="52"/>
        <v>5.6969696969696972</v>
      </c>
      <c r="BN25" s="163">
        <f t="shared" si="53"/>
        <v>0</v>
      </c>
      <c r="BO25" s="163">
        <f t="shared" si="54"/>
        <v>0</v>
      </c>
      <c r="BP25" s="163">
        <f t="shared" ca="1" si="55"/>
        <v>0</v>
      </c>
      <c r="BQ25" s="163">
        <f t="shared" si="56"/>
        <v>209.35650380417314</v>
      </c>
      <c r="BR25" s="163">
        <f t="shared" si="57"/>
        <v>0</v>
      </c>
      <c r="BS25" s="163">
        <f t="shared" si="58"/>
        <v>0</v>
      </c>
      <c r="BT25" s="163">
        <f t="shared" si="59"/>
        <v>0</v>
      </c>
      <c r="BU25" s="164">
        <f t="shared" ca="1" si="60"/>
        <v>194.69451742417604</v>
      </c>
    </row>
    <row r="26" spans="1:73" x14ac:dyDescent="0.3">
      <c r="A26" s="489"/>
      <c r="B26" s="491"/>
      <c r="F26" s="36">
        <v>22</v>
      </c>
      <c r="G26" s="363">
        <f t="shared" si="4"/>
        <v>22</v>
      </c>
      <c r="H26" s="153">
        <f t="shared" si="5"/>
        <v>56</v>
      </c>
      <c r="I26" s="323">
        <f t="shared" si="40"/>
        <v>0</v>
      </c>
      <c r="J26" s="163">
        <f t="shared" si="6"/>
        <v>0</v>
      </c>
      <c r="K26" s="327">
        <f>IF($G26="","",Reserve!N26)</f>
        <v>0</v>
      </c>
      <c r="L26" s="163">
        <f t="shared" si="41"/>
        <v>0</v>
      </c>
      <c r="M26" s="163">
        <f t="shared" si="42"/>
        <v>5.6969696969696972</v>
      </c>
      <c r="N26" s="163">
        <f t="shared" si="43"/>
        <v>0</v>
      </c>
      <c r="O26" s="163">
        <f t="shared" si="7"/>
        <v>0</v>
      </c>
      <c r="P26" s="327">
        <f t="shared" si="44"/>
        <v>5.6969696969696972</v>
      </c>
      <c r="Q26" s="218">
        <f ca="1">IF($G26="","",Reserve!$I26)</f>
        <v>10457</v>
      </c>
      <c r="R26" s="323">
        <f>IF($G26="","",Reserve!$J27+Reserve!$K27)</f>
        <v>0</v>
      </c>
      <c r="S26" s="163">
        <f ca="1">IF($G26="","",Change!$G27)</f>
        <v>10573</v>
      </c>
      <c r="T26" s="163">
        <f t="shared" si="61"/>
        <v>0</v>
      </c>
      <c r="U26" s="331">
        <f t="shared" si="9"/>
        <v>1.0374867573977728E-3</v>
      </c>
      <c r="V26" s="323">
        <f ca="1">IF($G26="","",Reserve!$Q27-$R26)</f>
        <v>10573</v>
      </c>
      <c r="W26" s="163">
        <f>IF($G26="","",Reserve!$S27)</f>
        <v>0</v>
      </c>
      <c r="X26" s="327">
        <f t="shared" ca="1" si="10"/>
        <v>10573</v>
      </c>
      <c r="Y26" s="334">
        <f t="shared" si="11"/>
        <v>2.5999999999999999E-2</v>
      </c>
      <c r="Z26" s="220">
        <f>IF($G26="","",VLOOKUP(H26,Life!$A$3:$Q$113,$B$6+1,FALSE))</f>
        <v>9.9349999999999994E-3</v>
      </c>
      <c r="AA26" s="220">
        <f t="shared" si="12"/>
        <v>8.9414999999999998E-3</v>
      </c>
      <c r="AB26" s="220">
        <f t="shared" si="13"/>
        <v>1.4865877499999999E-2</v>
      </c>
      <c r="AC26" s="331">
        <f>IF($G26="","",HLOOKUP($G26,AssetShare_Table!$B$84:$G$85,2)*$D$11)</f>
        <v>1.4999999999999999E-2</v>
      </c>
      <c r="AD26" s="334">
        <f t="shared" si="14"/>
        <v>0.54394655645137091</v>
      </c>
      <c r="AE26" s="220">
        <f t="shared" si="15"/>
        <v>4.8636981345099332E-3</v>
      </c>
      <c r="AF26" s="220">
        <f t="shared" si="16"/>
        <v>8.0862428747529146E-3</v>
      </c>
      <c r="AG26" s="331">
        <f t="shared" si="17"/>
        <v>0.53099661544210808</v>
      </c>
      <c r="AH26" s="323">
        <f t="shared" ca="1" si="18"/>
        <v>200771.2378940917</v>
      </c>
      <c r="AI26" s="163">
        <f t="shared" si="19"/>
        <v>0</v>
      </c>
      <c r="AJ26" s="163">
        <f t="shared" si="45"/>
        <v>204.52390522571548</v>
      </c>
      <c r="AK26" s="163">
        <f t="shared" ca="1" si="20"/>
        <v>15828.13499201637</v>
      </c>
      <c r="AL26" s="163">
        <f t="shared" si="21"/>
        <v>0</v>
      </c>
      <c r="AM26" s="163">
        <f t="shared" ca="1" si="22"/>
        <v>2540.539714952331</v>
      </c>
      <c r="AN26" s="163">
        <f t="shared" si="46"/>
        <v>0</v>
      </c>
      <c r="AO26" s="163">
        <f t="shared" ca="1" si="47"/>
        <v>173.08264441617092</v>
      </c>
      <c r="AP26" s="163">
        <f t="shared" ca="1" si="23"/>
        <v>5012.8422902234679</v>
      </c>
      <c r="AQ26" s="163">
        <f t="shared" ca="1" si="48"/>
        <v>187135.99560887864</v>
      </c>
      <c r="AR26" s="327">
        <f t="shared" ca="1" si="49"/>
        <v>166828.77461520309</v>
      </c>
      <c r="AS26" s="323">
        <f t="shared" ca="1" si="24"/>
        <v>20307.220993675553</v>
      </c>
      <c r="AT26" s="163">
        <f t="shared" ca="1" si="25"/>
        <v>841.43278821214335</v>
      </c>
      <c r="AU26" s="163">
        <f t="shared" ca="1" si="26"/>
        <v>335.32229487009317</v>
      </c>
      <c r="AV26" s="163">
        <f t="shared" ca="1" si="27"/>
        <v>0</v>
      </c>
      <c r="AW26" s="327">
        <f t="shared" ca="1" si="28"/>
        <v>0</v>
      </c>
      <c r="AX26" s="323">
        <f ca="1">IF($G26="","",Reserve!$P27-$R26)</f>
        <v>10573.440559463792</v>
      </c>
      <c r="AY26" s="220">
        <f t="shared" si="29"/>
        <v>2.2499999999999999E-2</v>
      </c>
      <c r="AZ26" s="331">
        <f>IF($G26="","",VLOOKUP($H26,Life!$A$3:$R$113,18,FALSE))</f>
        <v>9.9350149728597605E-3</v>
      </c>
      <c r="BA26" s="162">
        <f t="shared" ca="1" si="30"/>
        <v>604.14790997579826</v>
      </c>
      <c r="BB26" s="163">
        <f t="shared" ca="1" si="31"/>
        <v>9.1876931615971102E-2</v>
      </c>
      <c r="BC26" s="163">
        <f t="shared" si="32"/>
        <v>-209.12569309329405</v>
      </c>
      <c r="BD26" s="163">
        <f t="shared" ca="1" si="33"/>
        <v>0.10586009784938358</v>
      </c>
      <c r="BE26" s="163">
        <f t="shared" ca="1" si="34"/>
        <v>10.131007299809481</v>
      </c>
      <c r="BF26" s="163">
        <f t="shared" ca="1" si="50"/>
        <v>3.0410087640201606</v>
      </c>
      <c r="BG26" s="163">
        <f t="shared" si="35"/>
        <v>-0.71583366829000405</v>
      </c>
      <c r="BH26" s="163">
        <f t="shared" ca="1" si="36"/>
        <v>1.0774731699072301E-2</v>
      </c>
      <c r="BI26" s="163">
        <f t="shared" ca="1" si="37"/>
        <v>-0.10586009784938358</v>
      </c>
      <c r="BJ26" s="163">
        <f t="shared" ca="1" si="38"/>
        <v>7.4093460330785357E-2</v>
      </c>
      <c r="BK26" s="164">
        <f t="shared" ca="1" si="39"/>
        <v>-173.08264441617092</v>
      </c>
      <c r="BL26" s="163">
        <f t="shared" ca="1" si="51"/>
        <v>0</v>
      </c>
      <c r="BM26" s="163">
        <f t="shared" si="52"/>
        <v>5.6969696969696972</v>
      </c>
      <c r="BN26" s="163">
        <f t="shared" si="53"/>
        <v>0</v>
      </c>
      <c r="BO26" s="163">
        <f t="shared" si="54"/>
        <v>0</v>
      </c>
      <c r="BP26" s="163">
        <f t="shared" ca="1" si="55"/>
        <v>0</v>
      </c>
      <c r="BQ26" s="163">
        <f t="shared" si="56"/>
        <v>204.52390522571548</v>
      </c>
      <c r="BR26" s="163">
        <f t="shared" si="57"/>
        <v>0</v>
      </c>
      <c r="BS26" s="163">
        <f t="shared" si="58"/>
        <v>0</v>
      </c>
      <c r="BT26" s="163">
        <f t="shared" si="59"/>
        <v>0</v>
      </c>
      <c r="BU26" s="164">
        <f t="shared" ca="1" si="60"/>
        <v>173.08264441617092</v>
      </c>
    </row>
    <row r="27" spans="1:73" x14ac:dyDescent="0.3">
      <c r="A27" s="242" t="s">
        <v>243</v>
      </c>
      <c r="B27" s="246">
        <f ca="1">$AU$1*(1+$D$8)^$B$10</f>
        <v>40108.200620608623</v>
      </c>
      <c r="F27" s="36">
        <v>23</v>
      </c>
      <c r="G27" s="363">
        <f t="shared" si="4"/>
        <v>23</v>
      </c>
      <c r="H27" s="153">
        <f t="shared" si="5"/>
        <v>57</v>
      </c>
      <c r="I27" s="323">
        <f t="shared" si="40"/>
        <v>0</v>
      </c>
      <c r="J27" s="163">
        <f t="shared" si="6"/>
        <v>0</v>
      </c>
      <c r="K27" s="327">
        <f>IF($G27="","",Reserve!N27)</f>
        <v>0</v>
      </c>
      <c r="L27" s="163">
        <f t="shared" si="41"/>
        <v>0</v>
      </c>
      <c r="M27" s="163">
        <f t="shared" si="42"/>
        <v>5.6969696969696972</v>
      </c>
      <c r="N27" s="163">
        <f t="shared" si="43"/>
        <v>0</v>
      </c>
      <c r="O27" s="163">
        <f t="shared" si="7"/>
        <v>0</v>
      </c>
      <c r="P27" s="327">
        <f t="shared" si="44"/>
        <v>5.6969696969696972</v>
      </c>
      <c r="Q27" s="218">
        <f ca="1">IF($G27="","",Reserve!$I27)</f>
        <v>10692</v>
      </c>
      <c r="R27" s="323">
        <f>IF($G27="","",Reserve!$J28+Reserve!$K28)</f>
        <v>0</v>
      </c>
      <c r="S27" s="163">
        <f ca="1">IF($G27="","",Change!$G28)</f>
        <v>10811</v>
      </c>
      <c r="T27" s="163">
        <f t="shared" si="61"/>
        <v>0</v>
      </c>
      <c r="U27" s="331">
        <f t="shared" si="9"/>
        <v>1.0036706843799287E-3</v>
      </c>
      <c r="V27" s="323">
        <f ca="1">IF($G27="","",Reserve!$Q28-$R27)</f>
        <v>10811</v>
      </c>
      <c r="W27" s="163">
        <f>IF($G27="","",Reserve!$S28)</f>
        <v>0</v>
      </c>
      <c r="X27" s="327">
        <f t="shared" ca="1" si="10"/>
        <v>10811</v>
      </c>
      <c r="Y27" s="334">
        <f t="shared" si="11"/>
        <v>2.5999999999999999E-2</v>
      </c>
      <c r="Z27" s="220">
        <f>IF($G27="","",VLOOKUP(H27,Life!$A$3:$Q$113,$B$6+1,FALSE))</f>
        <v>1.0839E-2</v>
      </c>
      <c r="AA27" s="220">
        <f t="shared" si="12"/>
        <v>9.7550999999999992E-3</v>
      </c>
      <c r="AB27" s="220">
        <f t="shared" si="13"/>
        <v>1.4853673499999998E-2</v>
      </c>
      <c r="AC27" s="331">
        <f>IF($G27="","",HLOOKUP($G27,AssetShare_Table!$B$84:$G$85,2)*$D$11)</f>
        <v>1.4999999999999999E-2</v>
      </c>
      <c r="AD27" s="334">
        <f t="shared" si="14"/>
        <v>0.53099661544210808</v>
      </c>
      <c r="AE27" s="220">
        <f t="shared" si="15"/>
        <v>5.1799250832993077E-3</v>
      </c>
      <c r="AF27" s="220">
        <f t="shared" si="16"/>
        <v>7.8872503553821301E-3</v>
      </c>
      <c r="AG27" s="331">
        <f t="shared" si="17"/>
        <v>0.51792944000342656</v>
      </c>
      <c r="AH27" s="323">
        <f t="shared" ca="1" si="18"/>
        <v>187135.99560887864</v>
      </c>
      <c r="AI27" s="163">
        <f t="shared" si="19"/>
        <v>0</v>
      </c>
      <c r="AJ27" s="163">
        <f t="shared" si="45"/>
        <v>199.65472740623267</v>
      </c>
      <c r="AK27" s="163">
        <f t="shared" ca="1" si="20"/>
        <v>16061.646621166838</v>
      </c>
      <c r="AL27" s="163">
        <f t="shared" si="21"/>
        <v>0</v>
      </c>
      <c r="AM27" s="163">
        <f t="shared" ca="1" si="22"/>
        <v>2315.1556268469249</v>
      </c>
      <c r="AN27" s="163">
        <f t="shared" si="46"/>
        <v>0</v>
      </c>
      <c r="AO27" s="163">
        <f t="shared" ca="1" si="47"/>
        <v>152.58660166378957</v>
      </c>
      <c r="AP27" s="163">
        <f t="shared" ca="1" si="23"/>
        <v>4655.5863734291588</v>
      </c>
      <c r="AQ27" s="163">
        <f t="shared" ca="1" si="48"/>
        <v>173166.50261958377</v>
      </c>
      <c r="AR27" s="327">
        <f t="shared" ca="1" si="49"/>
        <v>152028.55282961475</v>
      </c>
      <c r="AS27" s="323">
        <f t="shared" ca="1" si="24"/>
        <v>21137.949789969018</v>
      </c>
      <c r="AT27" s="163">
        <f t="shared" ca="1" si="25"/>
        <v>830.72879629346426</v>
      </c>
      <c r="AU27" s="163">
        <f t="shared" ca="1" si="26"/>
        <v>302.74105045789838</v>
      </c>
      <c r="AV27" s="163">
        <f t="shared" ca="1" si="27"/>
        <v>0</v>
      </c>
      <c r="AW27" s="327">
        <f t="shared" ca="1" si="28"/>
        <v>0</v>
      </c>
      <c r="AX27" s="323">
        <f ca="1">IF($G27="","",Reserve!$P28-$R27)</f>
        <v>10811.310685115433</v>
      </c>
      <c r="AY27" s="220">
        <f t="shared" si="29"/>
        <v>2.2499999999999999E-2</v>
      </c>
      <c r="AZ27" s="331">
        <f>IF($G27="","",VLOOKUP($H27,Life!$A$3:$R$113,18,FALSE))</f>
        <v>1.0839017456952439E-2</v>
      </c>
      <c r="BA27" s="162">
        <f t="shared" ca="1" si="30"/>
        <v>553.06593373600651</v>
      </c>
      <c r="BB27" s="163">
        <f t="shared" ca="1" si="31"/>
        <v>5.0945382432622033E-2</v>
      </c>
      <c r="BC27" s="163">
        <f t="shared" si="32"/>
        <v>-204.14695877287286</v>
      </c>
      <c r="BD27" s="163">
        <f t="shared" ca="1" si="33"/>
        <v>6.6532642047296572E-2</v>
      </c>
      <c r="BE27" s="163">
        <f t="shared" ca="1" si="34"/>
        <v>-2.7242364805878743</v>
      </c>
      <c r="BF27" s="163">
        <f t="shared" ca="1" si="50"/>
        <v>3.085948151604827</v>
      </c>
      <c r="BG27" s="163">
        <f t="shared" si="35"/>
        <v>-0.69879154592181414</v>
      </c>
      <c r="BH27" s="163">
        <f t="shared" ca="1" si="36"/>
        <v>-2.4330179155716655E-2</v>
      </c>
      <c r="BI27" s="163">
        <f t="shared" ca="1" si="37"/>
        <v>-6.6532642047296572E-2</v>
      </c>
      <c r="BJ27" s="163">
        <f t="shared" ca="1" si="38"/>
        <v>5.1857897058994559E-2</v>
      </c>
      <c r="BK27" s="164">
        <f t="shared" ca="1" si="39"/>
        <v>-152.58660166378957</v>
      </c>
      <c r="BL27" s="163">
        <f t="shared" ca="1" si="51"/>
        <v>0</v>
      </c>
      <c r="BM27" s="163">
        <f t="shared" si="52"/>
        <v>5.6969696969696972</v>
      </c>
      <c r="BN27" s="163">
        <f t="shared" si="53"/>
        <v>0</v>
      </c>
      <c r="BO27" s="163">
        <f t="shared" si="54"/>
        <v>0</v>
      </c>
      <c r="BP27" s="163">
        <f t="shared" ca="1" si="55"/>
        <v>0</v>
      </c>
      <c r="BQ27" s="163">
        <f t="shared" si="56"/>
        <v>199.65472740623267</v>
      </c>
      <c r="BR27" s="163">
        <f t="shared" si="57"/>
        <v>0</v>
      </c>
      <c r="BS27" s="163">
        <f t="shared" si="58"/>
        <v>0</v>
      </c>
      <c r="BT27" s="163">
        <f t="shared" si="59"/>
        <v>0</v>
      </c>
      <c r="BU27" s="164">
        <f t="shared" ca="1" si="60"/>
        <v>152.58660166378957</v>
      </c>
    </row>
    <row r="28" spans="1:73" x14ac:dyDescent="0.3">
      <c r="A28" s="242" t="s">
        <v>248</v>
      </c>
      <c r="B28" s="246">
        <f ca="1">MAX($AV$5:$AV$115)+1</f>
        <v>1</v>
      </c>
      <c r="F28" s="36">
        <v>24</v>
      </c>
      <c r="G28" s="363">
        <f t="shared" si="4"/>
        <v>24</v>
      </c>
      <c r="H28" s="153">
        <f t="shared" si="5"/>
        <v>58</v>
      </c>
      <c r="I28" s="323">
        <f t="shared" si="40"/>
        <v>0</v>
      </c>
      <c r="J28" s="163">
        <f t="shared" si="6"/>
        <v>0</v>
      </c>
      <c r="K28" s="327">
        <f>IF($G28="","",Reserve!N28)</f>
        <v>0</v>
      </c>
      <c r="L28" s="163">
        <f t="shared" si="41"/>
        <v>0</v>
      </c>
      <c r="M28" s="163">
        <f t="shared" si="42"/>
        <v>5.6969696969696972</v>
      </c>
      <c r="N28" s="163">
        <f t="shared" si="43"/>
        <v>0</v>
      </c>
      <c r="O28" s="163">
        <f t="shared" si="7"/>
        <v>0</v>
      </c>
      <c r="P28" s="327">
        <f t="shared" si="44"/>
        <v>5.6969696969696972</v>
      </c>
      <c r="Q28" s="218">
        <f ca="1">IF($G28="","",Reserve!$I28)</f>
        <v>10932.5</v>
      </c>
      <c r="R28" s="323">
        <f>IF($G28="","",Reserve!$J29+Reserve!$K29)</f>
        <v>0</v>
      </c>
      <c r="S28" s="163">
        <f ca="1">IF($G28="","",Change!$G29)</f>
        <v>11054</v>
      </c>
      <c r="T28" s="163">
        <f t="shared" si="61"/>
        <v>0</v>
      </c>
      <c r="U28" s="331">
        <f t="shared" si="9"/>
        <v>9.7222173647333371E-4</v>
      </c>
      <c r="V28" s="323">
        <f ca="1">IF($G28="","",Reserve!$Q29-$R28)</f>
        <v>11055</v>
      </c>
      <c r="W28" s="163">
        <f>IF($G28="","",Reserve!$S29)</f>
        <v>0</v>
      </c>
      <c r="X28" s="327">
        <f t="shared" ca="1" si="10"/>
        <v>11055</v>
      </c>
      <c r="Y28" s="334">
        <f t="shared" si="11"/>
        <v>2.5999999999999999E-2</v>
      </c>
      <c r="Z28" s="220">
        <f>IF($G28="","",VLOOKUP(H28,Life!$A$3:$Q$113,$B$6+1,FALSE))</f>
        <v>1.184E-2</v>
      </c>
      <c r="AA28" s="220">
        <f t="shared" si="12"/>
        <v>1.0656000000000001E-2</v>
      </c>
      <c r="AB28" s="220">
        <f t="shared" si="13"/>
        <v>1.4840159999999998E-2</v>
      </c>
      <c r="AC28" s="331">
        <f>IF($G28="","",HLOOKUP($G28,AssetShare_Table!$B$84:$G$85,2)*$D$11)</f>
        <v>1.4999999999999999E-2</v>
      </c>
      <c r="AD28" s="334">
        <f t="shared" si="14"/>
        <v>0.51792944000342656</v>
      </c>
      <c r="AE28" s="220">
        <f t="shared" si="15"/>
        <v>5.5190561126765136E-3</v>
      </c>
      <c r="AF28" s="220">
        <f t="shared" si="16"/>
        <v>7.6861557583612497E-3</v>
      </c>
      <c r="AG28" s="331">
        <f t="shared" si="17"/>
        <v>0.50472422813238871</v>
      </c>
      <c r="AH28" s="323">
        <f t="shared" ca="1" si="18"/>
        <v>173166.50261958377</v>
      </c>
      <c r="AI28" s="163">
        <f t="shared" si="19"/>
        <v>0</v>
      </c>
      <c r="AJ28" s="163">
        <f t="shared" si="45"/>
        <v>194.74146944128839</v>
      </c>
      <c r="AK28" s="163">
        <f t="shared" ca="1" si="20"/>
        <v>16131.376099398482</v>
      </c>
      <c r="AL28" s="163">
        <f t="shared" si="21"/>
        <v>0</v>
      </c>
      <c r="AM28" s="163">
        <f t="shared" ca="1" si="22"/>
        <v>2087.0259033987327</v>
      </c>
      <c r="AN28" s="163">
        <f t="shared" si="46"/>
        <v>0</v>
      </c>
      <c r="AO28" s="163">
        <f t="shared" ca="1" si="47"/>
        <v>133.25313156272969</v>
      </c>
      <c r="AP28" s="163">
        <f t="shared" ca="1" si="23"/>
        <v>4291.749520434646</v>
      </c>
      <c r="AQ28" s="163">
        <f t="shared" ca="1" si="48"/>
        <v>159021.31538409629</v>
      </c>
      <c r="AR28" s="327">
        <f t="shared" ca="1" si="49"/>
        <v>137060.43237224472</v>
      </c>
      <c r="AS28" s="323">
        <f t="shared" ca="1" si="24"/>
        <v>21960.883011851576</v>
      </c>
      <c r="AT28" s="163">
        <f t="shared" ca="1" si="25"/>
        <v>822.93322188255843</v>
      </c>
      <c r="AU28" s="163">
        <f t="shared" ca="1" si="26"/>
        <v>273.34652734336487</v>
      </c>
      <c r="AV28" s="163">
        <f t="shared" ca="1" si="27"/>
        <v>0</v>
      </c>
      <c r="AW28" s="327">
        <f t="shared" ca="1" si="28"/>
        <v>0</v>
      </c>
      <c r="AX28" s="323">
        <f ca="1">IF($G28="","",Reserve!$P29-$R28)</f>
        <v>11054.533330064702</v>
      </c>
      <c r="AY28" s="220">
        <f t="shared" si="29"/>
        <v>2.2499999999999999E-2</v>
      </c>
      <c r="AZ28" s="331">
        <f>IF($G28="","",VLOOKUP($H28,Life!$A$3:$R$113,18,FALSE))</f>
        <v>1.1839985002202567E-2</v>
      </c>
      <c r="BA28" s="162">
        <f t="shared" ca="1" si="30"/>
        <v>501.12221933382921</v>
      </c>
      <c r="BB28" s="163">
        <f t="shared" ca="1" si="31"/>
        <v>4.478196788274004E-2</v>
      </c>
      <c r="BC28" s="163">
        <f t="shared" si="32"/>
        <v>-199.12315250371736</v>
      </c>
      <c r="BD28" s="163">
        <f t="shared" ca="1" si="33"/>
        <v>0.10069419758401334</v>
      </c>
      <c r="BE28" s="163">
        <f t="shared" ca="1" si="34"/>
        <v>-10.264674685392821</v>
      </c>
      <c r="BF28" s="163">
        <f t="shared" ca="1" si="50"/>
        <v>3.0992741082138555</v>
      </c>
      <c r="BG28" s="163">
        <f t="shared" si="35"/>
        <v>-0.68159514304450919</v>
      </c>
      <c r="BH28" s="163">
        <f t="shared" ca="1" si="36"/>
        <v>-1.5291418897203663E-2</v>
      </c>
      <c r="BI28" s="163">
        <f t="shared" ca="1" si="37"/>
        <v>8.8108579998647463E-2</v>
      </c>
      <c r="BJ28" s="163">
        <f t="shared" ca="1" si="38"/>
        <v>-7.6509454247700656E-2</v>
      </c>
      <c r="BK28" s="164">
        <f t="shared" ca="1" si="39"/>
        <v>-133.25313156272969</v>
      </c>
      <c r="BL28" s="163">
        <f t="shared" ca="1" si="51"/>
        <v>0</v>
      </c>
      <c r="BM28" s="163">
        <f t="shared" si="52"/>
        <v>5.6969696969696972</v>
      </c>
      <c r="BN28" s="163">
        <f t="shared" si="53"/>
        <v>0</v>
      </c>
      <c r="BO28" s="163">
        <f t="shared" si="54"/>
        <v>0</v>
      </c>
      <c r="BP28" s="163">
        <f t="shared" ca="1" si="55"/>
        <v>0</v>
      </c>
      <c r="BQ28" s="163">
        <f t="shared" si="56"/>
        <v>194.74146944128839</v>
      </c>
      <c r="BR28" s="163">
        <f t="shared" si="57"/>
        <v>0</v>
      </c>
      <c r="BS28" s="163">
        <f t="shared" si="58"/>
        <v>0</v>
      </c>
      <c r="BT28" s="163">
        <f t="shared" si="59"/>
        <v>0</v>
      </c>
      <c r="BU28" s="164">
        <f t="shared" ca="1" si="60"/>
        <v>133.25313156272969</v>
      </c>
    </row>
    <row r="29" spans="1:73" x14ac:dyDescent="0.3">
      <c r="A29" s="242" t="s">
        <v>253</v>
      </c>
      <c r="B29" s="246">
        <f ca="1">MAX($AW$5:$AW$115)+1</f>
        <v>7</v>
      </c>
      <c r="F29" s="320">
        <v>25</v>
      </c>
      <c r="G29" s="367">
        <f t="shared" si="4"/>
        <v>25</v>
      </c>
      <c r="H29" s="155">
        <f t="shared" si="5"/>
        <v>59</v>
      </c>
      <c r="I29" s="324">
        <f t="shared" si="40"/>
        <v>0</v>
      </c>
      <c r="J29" s="166">
        <f t="shared" si="6"/>
        <v>0</v>
      </c>
      <c r="K29" s="328">
        <f>IF($G29="","",Reserve!N29)</f>
        <v>0</v>
      </c>
      <c r="L29" s="166">
        <f t="shared" si="41"/>
        <v>0</v>
      </c>
      <c r="M29" s="166">
        <f t="shared" si="42"/>
        <v>5.6969696969696972</v>
      </c>
      <c r="N29" s="166">
        <f t="shared" si="43"/>
        <v>0</v>
      </c>
      <c r="O29" s="166">
        <f t="shared" si="7"/>
        <v>0</v>
      </c>
      <c r="P29" s="328">
        <f t="shared" si="44"/>
        <v>5.6969696969696972</v>
      </c>
      <c r="Q29" s="330">
        <f ca="1">IF($G29="","",Reserve!$I29)</f>
        <v>11178.5</v>
      </c>
      <c r="R29" s="324">
        <f>IF($G29="","",Reserve!$J30+Reserve!$K30)</f>
        <v>0</v>
      </c>
      <c r="S29" s="166">
        <f ca="1">IF($G29="","",Change!$G30)</f>
        <v>11303</v>
      </c>
      <c r="T29" s="163">
        <f t="shared" si="61"/>
        <v>0</v>
      </c>
      <c r="U29" s="332">
        <f t="shared" si="9"/>
        <v>9.429742149202003E-4</v>
      </c>
      <c r="V29" s="324">
        <f ca="1">IF($G29="","",Reserve!$Q30-$R29)</f>
        <v>11303</v>
      </c>
      <c r="W29" s="166">
        <f>IF($G29="","",Reserve!$S30)</f>
        <v>0</v>
      </c>
      <c r="X29" s="328">
        <f t="shared" ca="1" si="10"/>
        <v>11303</v>
      </c>
      <c r="Y29" s="335">
        <f t="shared" si="11"/>
        <v>2.5999999999999999E-2</v>
      </c>
      <c r="Z29" s="235">
        <f>IF($G29="","",VLOOKUP(H29,Life!$A$3:$Q$113,$B$6+1,FALSE))</f>
        <v>1.2944000000000001E-2</v>
      </c>
      <c r="AA29" s="235">
        <f t="shared" si="12"/>
        <v>1.1649600000000001E-2</v>
      </c>
      <c r="AB29" s="235">
        <f t="shared" si="13"/>
        <v>1.4825256E-2</v>
      </c>
      <c r="AC29" s="332">
        <f>IF($G29="","",HLOOKUP($G29,AssetShare_Table!$B$84:$G$85,2)*$D$11)</f>
        <v>1.4999999999999999E-2</v>
      </c>
      <c r="AD29" s="335">
        <f t="shared" si="14"/>
        <v>0.50472422813238871</v>
      </c>
      <c r="AE29" s="235">
        <f t="shared" si="15"/>
        <v>5.8798353680510765E-3</v>
      </c>
      <c r="AF29" s="235">
        <f t="shared" si="16"/>
        <v>7.4826658914650644E-3</v>
      </c>
      <c r="AG29" s="332">
        <f t="shared" si="17"/>
        <v>0.49136172687287255</v>
      </c>
      <c r="AH29" s="324">
        <f t="shared" ca="1" si="18"/>
        <v>159021.31538409629</v>
      </c>
      <c r="AI29" s="166">
        <f t="shared" si="19"/>
        <v>0</v>
      </c>
      <c r="AJ29" s="166">
        <f t="shared" si="45"/>
        <v>189.77630977777815</v>
      </c>
      <c r="AK29" s="166">
        <f t="shared" ca="1" si="20"/>
        <v>16018.014222015718</v>
      </c>
      <c r="AL29" s="166">
        <f t="shared" si="21"/>
        <v>0</v>
      </c>
      <c r="AM29" s="166">
        <f t="shared" ca="1" si="22"/>
        <v>1859.081016947702</v>
      </c>
      <c r="AN29" s="163">
        <f t="shared" si="46"/>
        <v>0</v>
      </c>
      <c r="AO29" s="166">
        <f t="shared" ca="1" si="47"/>
        <v>115.11796536619113</v>
      </c>
      <c r="AP29" s="166">
        <f t="shared" ca="1" si="23"/>
        <v>3925.7013299594782</v>
      </c>
      <c r="AQ29" s="166">
        <f t="shared" ca="1" si="48"/>
        <v>144879.61534122561</v>
      </c>
      <c r="AR29" s="328">
        <f t="shared" ca="1" si="49"/>
        <v>122079.65344623241</v>
      </c>
      <c r="AS29" s="324">
        <f t="shared" ca="1" si="24"/>
        <v>22799.961894993205</v>
      </c>
      <c r="AT29" s="166">
        <f t="shared" ca="1" si="25"/>
        <v>839.07888314162847</v>
      </c>
      <c r="AU29" s="166">
        <f t="shared" ca="1" si="26"/>
        <v>268.09592483348752</v>
      </c>
      <c r="AV29" s="166">
        <f t="shared" ca="1" si="27"/>
        <v>0</v>
      </c>
      <c r="AW29" s="328">
        <f t="shared" ca="1" si="28"/>
        <v>0</v>
      </c>
      <c r="AX29" s="324">
        <f ca="1">IF($G29="","",Reserve!$P30-$R29)</f>
        <v>11303.216385266182</v>
      </c>
      <c r="AY29" s="235">
        <f t="shared" si="29"/>
        <v>2.2499999999999999E-2</v>
      </c>
      <c r="AZ29" s="332">
        <f>IF($G29="","",VLOOKUP($H29,Life!$A$3:$R$113,18,FALSE))</f>
        <v>1.2944045629011637E-2</v>
      </c>
      <c r="BA29" s="165">
        <f t="shared" ca="1" si="30"/>
        <v>448.91604846644469</v>
      </c>
      <c r="BB29" s="166">
        <f t="shared" ca="1" si="31"/>
        <v>5.4482550225796691E-2</v>
      </c>
      <c r="BC29" s="166">
        <f t="shared" si="32"/>
        <v>-194.04627674777817</v>
      </c>
      <c r="BD29" s="166">
        <f t="shared" ca="1" si="33"/>
        <v>3.5590351296581689E-2</v>
      </c>
      <c r="BE29" s="166">
        <f t="shared" ca="1" si="34"/>
        <v>8.2542158289707626</v>
      </c>
      <c r="BF29" s="166">
        <f t="shared" ca="1" si="50"/>
        <v>3.0775025093269366</v>
      </c>
      <c r="BG29" s="166">
        <f t="shared" si="35"/>
        <v>-0.66421708422222348</v>
      </c>
      <c r="BH29" s="166">
        <f t="shared" ca="1" si="36"/>
        <v>2.0250288636355813E-2</v>
      </c>
      <c r="BI29" s="166">
        <f t="shared" ca="1" si="37"/>
        <v>-3.5590351296581689E-2</v>
      </c>
      <c r="BJ29" s="166">
        <f t="shared" ca="1" si="38"/>
        <v>3.4451437660536405E-2</v>
      </c>
      <c r="BK29" s="167">
        <f t="shared" ca="1" si="39"/>
        <v>-115.11796536619114</v>
      </c>
      <c r="BL29" s="166">
        <f t="shared" ca="1" si="51"/>
        <v>0</v>
      </c>
      <c r="BM29" s="163">
        <f t="shared" si="52"/>
        <v>5.6969696969696972</v>
      </c>
      <c r="BN29" s="166">
        <f t="shared" si="53"/>
        <v>0</v>
      </c>
      <c r="BO29" s="166">
        <f t="shared" si="54"/>
        <v>0</v>
      </c>
      <c r="BP29" s="166">
        <f t="shared" ca="1" si="55"/>
        <v>0</v>
      </c>
      <c r="BQ29" s="166">
        <f t="shared" si="56"/>
        <v>189.77630977777815</v>
      </c>
      <c r="BR29" s="166">
        <f t="shared" si="57"/>
        <v>0</v>
      </c>
      <c r="BS29" s="166">
        <f t="shared" si="58"/>
        <v>0</v>
      </c>
      <c r="BT29" s="166">
        <f t="shared" si="59"/>
        <v>0</v>
      </c>
      <c r="BU29" s="167">
        <f t="shared" ca="1" si="60"/>
        <v>115.11796536619113</v>
      </c>
    </row>
    <row r="30" spans="1:73" ht="15" thickBot="1" x14ac:dyDescent="0.35">
      <c r="A30" s="243" t="s">
        <v>189</v>
      </c>
      <c r="B30" s="244" t="e">
        <f ca="1">IRR($AU$5:$AU$115,$D$6)</f>
        <v>#DIV/0!</v>
      </c>
      <c r="F30" s="36">
        <v>26</v>
      </c>
      <c r="G30" s="363">
        <f t="shared" si="4"/>
        <v>26</v>
      </c>
      <c r="H30" s="153">
        <f t="shared" si="5"/>
        <v>60</v>
      </c>
      <c r="I30" s="323">
        <f t="shared" si="40"/>
        <v>0</v>
      </c>
      <c r="J30" s="163">
        <f t="shared" si="6"/>
        <v>0</v>
      </c>
      <c r="K30" s="327">
        <f>IF($G30="","",Reserve!N30)</f>
        <v>0</v>
      </c>
      <c r="L30" s="163">
        <f t="shared" si="41"/>
        <v>0</v>
      </c>
      <c r="M30" s="163">
        <f t="shared" si="42"/>
        <v>5.6969696969696972</v>
      </c>
      <c r="N30" s="163">
        <f t="shared" si="43"/>
        <v>0</v>
      </c>
      <c r="O30" s="163">
        <f t="shared" si="7"/>
        <v>0</v>
      </c>
      <c r="P30" s="327">
        <f t="shared" si="44"/>
        <v>5.6969696969696972</v>
      </c>
      <c r="Q30" s="218">
        <f ca="1">IF($G30="","",Reserve!$I30)</f>
        <v>11430</v>
      </c>
      <c r="R30" s="323">
        <f>IF($G30="","",Reserve!$J31+Reserve!$K31)</f>
        <v>0</v>
      </c>
      <c r="S30" s="163">
        <f ca="1">IF($G30="","",Change!$G31)</f>
        <v>11557</v>
      </c>
      <c r="T30" s="163">
        <f t="shared" si="61"/>
        <v>0</v>
      </c>
      <c r="U30" s="331">
        <f t="shared" si="9"/>
        <v>9.157740198757863E-4</v>
      </c>
      <c r="V30" s="323">
        <f ca="1">IF($G30="","",Reserve!$Q31-$R30)</f>
        <v>11557</v>
      </c>
      <c r="W30" s="163">
        <f>IF($G30="","",Reserve!$S31)</f>
        <v>0</v>
      </c>
      <c r="X30" s="327">
        <f t="shared" ca="1" si="10"/>
        <v>11557</v>
      </c>
      <c r="Y30" s="334">
        <f t="shared" si="11"/>
        <v>2.5999999999999999E-2</v>
      </c>
      <c r="Z30" s="220">
        <f>IF($G30="","",VLOOKUP(H30,Life!$A$3:$Q$113,$B$6+1,FALSE))</f>
        <v>1.4158E-2</v>
      </c>
      <c r="AA30" s="220">
        <f t="shared" si="12"/>
        <v>1.27422E-2</v>
      </c>
      <c r="AB30" s="220">
        <f t="shared" si="13"/>
        <v>1.4808867E-2</v>
      </c>
      <c r="AC30" s="331">
        <f>IF($G30="","",HLOOKUP($G30,AssetShare_Table!$B$84:$G$85,2)*$D$11)</f>
        <v>1.4999999999999999E-2</v>
      </c>
      <c r="AD30" s="334">
        <f t="shared" si="14"/>
        <v>0.49136172687287255</v>
      </c>
      <c r="AE30" s="220">
        <f t="shared" si="15"/>
        <v>6.2610293961595171E-3</v>
      </c>
      <c r="AF30" s="220">
        <f t="shared" si="16"/>
        <v>7.2765104621506952E-3</v>
      </c>
      <c r="AG30" s="331">
        <f t="shared" si="17"/>
        <v>0.47782418701456231</v>
      </c>
      <c r="AH30" s="323">
        <f t="shared" ca="1" si="18"/>
        <v>144879.61534122561</v>
      </c>
      <c r="AI30" s="163">
        <f t="shared" si="19"/>
        <v>0</v>
      </c>
      <c r="AJ30" s="163">
        <f t="shared" si="45"/>
        <v>184.75200930420007</v>
      </c>
      <c r="AK30" s="163">
        <f t="shared" ca="1" si="20"/>
        <v>15706.083743324065</v>
      </c>
      <c r="AL30" s="163">
        <f t="shared" si="21"/>
        <v>0</v>
      </c>
      <c r="AM30" s="163">
        <f t="shared" ca="1" si="22"/>
        <v>1634.1363099016141</v>
      </c>
      <c r="AN30" s="163">
        <f t="shared" si="46"/>
        <v>0</v>
      </c>
      <c r="AO30" s="163">
        <f t="shared" ca="1" si="47"/>
        <v>98.270138925362062</v>
      </c>
      <c r="AP30" s="163">
        <f t="shared" ca="1" si="23"/>
        <v>3562.2980791953046</v>
      </c>
      <c r="AQ30" s="163">
        <f t="shared" ca="1" si="48"/>
        <v>130937.92256230938</v>
      </c>
      <c r="AR30" s="327">
        <f t="shared" ca="1" si="49"/>
        <v>107308.28435020597</v>
      </c>
      <c r="AS30" s="323">
        <f t="shared" ca="1" si="24"/>
        <v>23629.638212103411</v>
      </c>
      <c r="AT30" s="163">
        <f t="shared" ca="1" si="25"/>
        <v>829.67631711020658</v>
      </c>
      <c r="AU30" s="163">
        <f t="shared" ca="1" si="26"/>
        <v>236.87730784038285</v>
      </c>
      <c r="AV30" s="163">
        <f t="shared" ca="1" si="27"/>
        <v>0</v>
      </c>
      <c r="AW30" s="327">
        <f t="shared" ca="1" si="28"/>
        <v>0</v>
      </c>
      <c r="AX30" s="323">
        <f ca="1">IF($G30="","",Reserve!$P31-$R30)</f>
        <v>11557.483854159485</v>
      </c>
      <c r="AY30" s="220">
        <f t="shared" si="29"/>
        <v>2.2499999999999999E-2</v>
      </c>
      <c r="AZ30" s="331">
        <f>IF($G30="","",VLOOKUP($H30,Life!$A$3:$R$113,18,FALSE))</f>
        <v>1.4157986210969106E-2</v>
      </c>
      <c r="BA30" s="162">
        <f t="shared" ca="1" si="30"/>
        <v>397.11103161219177</v>
      </c>
      <c r="BB30" s="163">
        <f t="shared" ca="1" si="31"/>
        <v>5.9295427386079728E-2</v>
      </c>
      <c r="BC30" s="163">
        <f t="shared" si="32"/>
        <v>-188.90892951354459</v>
      </c>
      <c r="BD30" s="163">
        <f t="shared" ca="1" si="33"/>
        <v>6.8415994696897769E-2</v>
      </c>
      <c r="BE30" s="163">
        <f t="shared" ca="1" si="34"/>
        <v>2.0975072845291689</v>
      </c>
      <c r="BF30" s="163">
        <f t="shared" ca="1" si="50"/>
        <v>3.0176010167562688</v>
      </c>
      <c r="BG30" s="163">
        <f t="shared" si="35"/>
        <v>-0.64663203256470025</v>
      </c>
      <c r="BH30" s="163">
        <f t="shared" ca="1" si="36"/>
        <v>-8.1798490729976907E-3</v>
      </c>
      <c r="BI30" s="163">
        <f t="shared" ca="1" si="37"/>
        <v>-6.8415994696897769E-2</v>
      </c>
      <c r="BJ30" s="163">
        <f t="shared" ca="1" si="38"/>
        <v>7.3874549414452234E-2</v>
      </c>
      <c r="BK30" s="164">
        <f t="shared" ca="1" si="39"/>
        <v>-98.270138925362062</v>
      </c>
      <c r="BL30" s="163">
        <f t="shared" ca="1" si="51"/>
        <v>0</v>
      </c>
      <c r="BM30" s="163">
        <f t="shared" si="52"/>
        <v>5.6969696969696972</v>
      </c>
      <c r="BN30" s="163">
        <f t="shared" si="53"/>
        <v>0</v>
      </c>
      <c r="BO30" s="163">
        <f t="shared" si="54"/>
        <v>0</v>
      </c>
      <c r="BP30" s="163">
        <f t="shared" ca="1" si="55"/>
        <v>0</v>
      </c>
      <c r="BQ30" s="163">
        <f t="shared" si="56"/>
        <v>184.75200930420007</v>
      </c>
      <c r="BR30" s="163">
        <f t="shared" si="57"/>
        <v>0</v>
      </c>
      <c r="BS30" s="163">
        <f t="shared" si="58"/>
        <v>0</v>
      </c>
      <c r="BT30" s="163">
        <f t="shared" si="59"/>
        <v>0</v>
      </c>
      <c r="BU30" s="164">
        <f t="shared" ca="1" si="60"/>
        <v>98.270138925362062</v>
      </c>
    </row>
    <row r="31" spans="1:73" x14ac:dyDescent="0.3">
      <c r="F31" s="36">
        <v>27</v>
      </c>
      <c r="G31" s="363">
        <f t="shared" si="4"/>
        <v>27</v>
      </c>
      <c r="H31" s="153">
        <f t="shared" si="5"/>
        <v>61</v>
      </c>
      <c r="I31" s="323">
        <f t="shared" si="40"/>
        <v>0</v>
      </c>
      <c r="J31" s="163">
        <f t="shared" si="6"/>
        <v>0</v>
      </c>
      <c r="K31" s="327">
        <f>IF($G31="","",Reserve!N31)</f>
        <v>0</v>
      </c>
      <c r="L31" s="163">
        <f t="shared" si="41"/>
        <v>0</v>
      </c>
      <c r="M31" s="163">
        <f t="shared" si="42"/>
        <v>5.6969696969696972</v>
      </c>
      <c r="N31" s="163">
        <f t="shared" si="43"/>
        <v>0</v>
      </c>
      <c r="O31" s="163">
        <f t="shared" si="7"/>
        <v>0</v>
      </c>
      <c r="P31" s="327">
        <f t="shared" si="44"/>
        <v>5.6969696969696972</v>
      </c>
      <c r="Q31" s="218">
        <f ca="1">IF($G31="","",Reserve!$I31)</f>
        <v>11687</v>
      </c>
      <c r="R31" s="323">
        <f>IF($G31="","",Reserve!$J32+Reserve!$K32)</f>
        <v>0</v>
      </c>
      <c r="S31" s="163">
        <f ca="1">IF($G31="","",Change!$G32)</f>
        <v>11817</v>
      </c>
      <c r="T31" s="163">
        <f t="shared" si="61"/>
        <v>0</v>
      </c>
      <c r="U31" s="331">
        <f t="shared" si="9"/>
        <v>8.9047783848448137E-4</v>
      </c>
      <c r="V31" s="323">
        <f ca="1">IF($G31="","",Reserve!$Q32-$R31)</f>
        <v>11817</v>
      </c>
      <c r="W31" s="163">
        <f>IF($G31="","",Reserve!$S32)</f>
        <v>0</v>
      </c>
      <c r="X31" s="327">
        <f t="shared" ca="1" si="10"/>
        <v>11817</v>
      </c>
      <c r="Y31" s="334">
        <f t="shared" si="11"/>
        <v>2.5999999999999999E-2</v>
      </c>
      <c r="Z31" s="220">
        <f>IF($G31="","",VLOOKUP(H31,Life!$A$3:$Q$113,$B$6+1,FALSE))</f>
        <v>1.5488E-2</v>
      </c>
      <c r="AA31" s="220">
        <f t="shared" si="12"/>
        <v>1.3939200000000001E-2</v>
      </c>
      <c r="AB31" s="220">
        <f t="shared" si="13"/>
        <v>1.4790912E-2</v>
      </c>
      <c r="AC31" s="331">
        <f>IF($G31="","",HLOOKUP($G31,AssetShare_Table!$B$84:$G$85,2)*$D$11)</f>
        <v>1.4999999999999999E-2</v>
      </c>
      <c r="AD31" s="334">
        <f t="shared" si="14"/>
        <v>0.47782418701456231</v>
      </c>
      <c r="AE31" s="220">
        <f t="shared" si="15"/>
        <v>6.660486907633387E-3</v>
      </c>
      <c r="AF31" s="220">
        <f t="shared" si="16"/>
        <v>7.067455501603934E-3</v>
      </c>
      <c r="AG31" s="331">
        <f t="shared" si="17"/>
        <v>0.464096244605325</v>
      </c>
      <c r="AH31" s="323">
        <f t="shared" ca="1" si="18"/>
        <v>130937.92256230938</v>
      </c>
      <c r="AI31" s="163">
        <f t="shared" si="19"/>
        <v>0</v>
      </c>
      <c r="AJ31" s="163">
        <f t="shared" si="45"/>
        <v>179.66189431747546</v>
      </c>
      <c r="AK31" s="163">
        <f t="shared" ca="1" si="20"/>
        <v>15186.430474169605</v>
      </c>
      <c r="AL31" s="163">
        <f t="shared" si="21"/>
        <v>0</v>
      </c>
      <c r="AM31" s="163">
        <f t="shared" ca="1" si="22"/>
        <v>1415.5059404304166</v>
      </c>
      <c r="AN31" s="163">
        <f t="shared" si="46"/>
        <v>0</v>
      </c>
      <c r="AO31" s="163">
        <f t="shared" ca="1" si="47"/>
        <v>82.771301342898269</v>
      </c>
      <c r="AP31" s="163">
        <f t="shared" ca="1" si="23"/>
        <v>3206.7651719440332</v>
      </c>
      <c r="AQ31" s="163">
        <f t="shared" ca="1" si="48"/>
        <v>117403.67017828103</v>
      </c>
      <c r="AR31" s="327">
        <f t="shared" ca="1" si="49"/>
        <v>92951.556754930672</v>
      </c>
      <c r="AS31" s="323">
        <f t="shared" ca="1" si="24"/>
        <v>24452.113423350354</v>
      </c>
      <c r="AT31" s="163">
        <f t="shared" ca="1" si="25"/>
        <v>822.47521124694322</v>
      </c>
      <c r="AU31" s="163">
        <f t="shared" ca="1" si="26"/>
        <v>208.10461773225325</v>
      </c>
      <c r="AV31" s="163">
        <f t="shared" ca="1" si="27"/>
        <v>0</v>
      </c>
      <c r="AW31" s="327">
        <f t="shared" ca="1" si="28"/>
        <v>0</v>
      </c>
      <c r="AX31" s="323">
        <f ca="1">IF($G31="","",Reserve!$P32-$R31)</f>
        <v>11817.486705781936</v>
      </c>
      <c r="AY31" s="220">
        <f t="shared" si="29"/>
        <v>2.2499999999999999E-2</v>
      </c>
      <c r="AZ31" s="331">
        <f>IF($G31="","",VLOOKUP($H31,Life!$A$3:$R$113,18,FALSE))</f>
        <v>1.5487965102364365E-2</v>
      </c>
      <c r="BA31" s="162">
        <f t="shared" ca="1" si="30"/>
        <v>346.41723142728819</v>
      </c>
      <c r="BB31" s="163">
        <f t="shared" ca="1" si="31"/>
        <v>3.7636973126560516E-2</v>
      </c>
      <c r="BC31" s="163">
        <f t="shared" si="32"/>
        <v>-183.70428693961861</v>
      </c>
      <c r="BD31" s="163">
        <f t="shared" ca="1" si="33"/>
        <v>5.8300323734591659E-2</v>
      </c>
      <c r="BE31" s="163">
        <f t="shared" ca="1" si="34"/>
        <v>-0.77731694930285233</v>
      </c>
      <c r="BF31" s="163">
        <f t="shared" ca="1" si="50"/>
        <v>2.9177175227556025</v>
      </c>
      <c r="BG31" s="163">
        <f t="shared" si="35"/>
        <v>-0.62881663011116384</v>
      </c>
      <c r="BH31" s="163">
        <f t="shared" ca="1" si="36"/>
        <v>-1.5724276114503669E-2</v>
      </c>
      <c r="BI31" s="163">
        <f t="shared" ca="1" si="37"/>
        <v>-5.8300323734591659E-2</v>
      </c>
      <c r="BJ31" s="163">
        <f t="shared" ca="1" si="38"/>
        <v>7.0270247681342643E-2</v>
      </c>
      <c r="BK31" s="164">
        <f t="shared" ca="1" si="39"/>
        <v>-82.771301342898269</v>
      </c>
      <c r="BL31" s="163">
        <f t="shared" ca="1" si="51"/>
        <v>0</v>
      </c>
      <c r="BM31" s="163">
        <f t="shared" si="52"/>
        <v>5.6969696969696972</v>
      </c>
      <c r="BN31" s="163">
        <f t="shared" si="53"/>
        <v>0</v>
      </c>
      <c r="BO31" s="163">
        <f t="shared" si="54"/>
        <v>0</v>
      </c>
      <c r="BP31" s="163">
        <f t="shared" ca="1" si="55"/>
        <v>0</v>
      </c>
      <c r="BQ31" s="163">
        <f t="shared" si="56"/>
        <v>179.66189431747546</v>
      </c>
      <c r="BR31" s="163">
        <f t="shared" si="57"/>
        <v>0</v>
      </c>
      <c r="BS31" s="163">
        <f t="shared" si="58"/>
        <v>0</v>
      </c>
      <c r="BT31" s="163">
        <f t="shared" si="59"/>
        <v>0</v>
      </c>
      <c r="BU31" s="164">
        <f t="shared" ca="1" si="60"/>
        <v>82.771301342898269</v>
      </c>
    </row>
    <row r="32" spans="1:73" ht="15" thickBot="1" x14ac:dyDescent="0.35">
      <c r="A32" s="35" t="s">
        <v>378</v>
      </c>
      <c r="F32" s="36">
        <v>28</v>
      </c>
      <c r="G32" s="363">
        <f t="shared" si="4"/>
        <v>28</v>
      </c>
      <c r="H32" s="153">
        <f t="shared" si="5"/>
        <v>62</v>
      </c>
      <c r="I32" s="323">
        <f t="shared" si="40"/>
        <v>0</v>
      </c>
      <c r="J32" s="163">
        <f t="shared" si="6"/>
        <v>0</v>
      </c>
      <c r="K32" s="327">
        <f>IF($G32="","",Reserve!N32)</f>
        <v>0</v>
      </c>
      <c r="L32" s="163">
        <f t="shared" si="41"/>
        <v>0</v>
      </c>
      <c r="M32" s="163">
        <f t="shared" si="42"/>
        <v>5.6969696969696972</v>
      </c>
      <c r="N32" s="163">
        <f t="shared" si="43"/>
        <v>0</v>
      </c>
      <c r="O32" s="163">
        <f t="shared" si="7"/>
        <v>0</v>
      </c>
      <c r="P32" s="327">
        <f t="shared" si="44"/>
        <v>5.6969696969696972</v>
      </c>
      <c r="Q32" s="218">
        <f ca="1">IF($G32="","",Reserve!$I32)</f>
        <v>11950</v>
      </c>
      <c r="R32" s="323">
        <f>IF($G32="","",Reserve!$J33+Reserve!$K33)</f>
        <v>0</v>
      </c>
      <c r="S32" s="163">
        <f ca="1">IF($G32="","",Change!$G33)</f>
        <v>12083</v>
      </c>
      <c r="T32" s="163">
        <f t="shared" si="61"/>
        <v>0</v>
      </c>
      <c r="U32" s="331">
        <f t="shared" si="9"/>
        <v>8.6695238979056771E-4</v>
      </c>
      <c r="V32" s="323">
        <f ca="1">IF($G32="","",Reserve!$Q33-$R32)</f>
        <v>12083</v>
      </c>
      <c r="W32" s="163">
        <f>IF($G32="","",Reserve!$S33)</f>
        <v>0</v>
      </c>
      <c r="X32" s="327">
        <f t="shared" ca="1" si="10"/>
        <v>12083</v>
      </c>
      <c r="Y32" s="334">
        <f t="shared" si="11"/>
        <v>2.5999999999999999E-2</v>
      </c>
      <c r="Z32" s="220">
        <f>IF($G32="","",VLOOKUP(H32,Life!$A$3:$Q$113,$B$6+1,FALSE))</f>
        <v>1.6941999999999999E-2</v>
      </c>
      <c r="AA32" s="220">
        <f t="shared" si="12"/>
        <v>1.5247799999999999E-2</v>
      </c>
      <c r="AB32" s="220">
        <f t="shared" si="13"/>
        <v>1.4771283000000001E-2</v>
      </c>
      <c r="AC32" s="331">
        <f>IF($G32="","",HLOOKUP($G32,AssetShare_Table!$B$84:$G$85,2)*$D$11)</f>
        <v>1.4999999999999999E-2</v>
      </c>
      <c r="AD32" s="334">
        <f t="shared" si="14"/>
        <v>0.464096244605325</v>
      </c>
      <c r="AE32" s="220">
        <f t="shared" si="15"/>
        <v>7.0764467184930742E-3</v>
      </c>
      <c r="AF32" s="220">
        <f t="shared" si="16"/>
        <v>6.8552969683024793E-3</v>
      </c>
      <c r="AG32" s="331">
        <f t="shared" si="17"/>
        <v>0.45016450091852944</v>
      </c>
      <c r="AH32" s="323">
        <f t="shared" ca="1" si="18"/>
        <v>117403.67017828103</v>
      </c>
      <c r="AI32" s="163">
        <f t="shared" si="19"/>
        <v>0</v>
      </c>
      <c r="AJ32" s="163">
        <f t="shared" si="45"/>
        <v>174.5001879716022</v>
      </c>
      <c r="AK32" s="163">
        <f t="shared" ca="1" si="20"/>
        <v>14458.551293257422</v>
      </c>
      <c r="AL32" s="163">
        <f t="shared" si="21"/>
        <v>0</v>
      </c>
      <c r="AM32" s="163">
        <f t="shared" ca="1" si="22"/>
        <v>1206.3663043933448</v>
      </c>
      <c r="AN32" s="163">
        <f t="shared" si="46"/>
        <v>0</v>
      </c>
      <c r="AO32" s="163">
        <f t="shared" ca="1" si="47"/>
        <v>68.678281219885093</v>
      </c>
      <c r="AP32" s="163">
        <f t="shared" ca="1" si="23"/>
        <v>2864.5000984741519</v>
      </c>
      <c r="AQ32" s="163">
        <f t="shared" ca="1" si="48"/>
        <v>104486.87140937992</v>
      </c>
      <c r="AR32" s="327">
        <f t="shared" ca="1" si="49"/>
        <v>79218.053988496307</v>
      </c>
      <c r="AS32" s="323">
        <f t="shared" ca="1" si="24"/>
        <v>25268.817420883614</v>
      </c>
      <c r="AT32" s="163">
        <f t="shared" ca="1" si="25"/>
        <v>816.7039975332591</v>
      </c>
      <c r="AU32" s="163">
        <f t="shared" ca="1" si="26"/>
        <v>180.94904852614854</v>
      </c>
      <c r="AV32" s="163">
        <f t="shared" ca="1" si="27"/>
        <v>0</v>
      </c>
      <c r="AW32" s="327">
        <f t="shared" ca="1" si="28"/>
        <v>0</v>
      </c>
      <c r="AX32" s="323">
        <f ca="1">IF($G32="","",Reserve!$P33-$R32)</f>
        <v>12083.316351621837</v>
      </c>
      <c r="AY32" s="220">
        <f t="shared" si="29"/>
        <v>2.2499999999999999E-2</v>
      </c>
      <c r="AZ32" s="331">
        <f>IF($G32="","",VLOOKUP($H32,Life!$A$3:$R$113,18,FALSE))</f>
        <v>1.6942044021115578E-2</v>
      </c>
      <c r="BA32" s="162">
        <f t="shared" ca="1" si="30"/>
        <v>297.56475206619234</v>
      </c>
      <c r="BB32" s="163">
        <f t="shared" ca="1" si="31"/>
        <v>5.018916427290418E-2</v>
      </c>
      <c r="BC32" s="163">
        <f t="shared" si="32"/>
        <v>-178.42644220096327</v>
      </c>
      <c r="BD32" s="163">
        <f t="shared" ca="1" si="33"/>
        <v>3.1584535043019633E-2</v>
      </c>
      <c r="BE32" s="163">
        <f t="shared" ca="1" si="34"/>
        <v>-1.8514205148744534</v>
      </c>
      <c r="BF32" s="163">
        <f t="shared" ca="1" si="50"/>
        <v>2.7779450630941889</v>
      </c>
      <c r="BG32" s="163">
        <f t="shared" si="35"/>
        <v>-0.61075065790060756</v>
      </c>
      <c r="BH32" s="163">
        <f t="shared" ca="1" si="36"/>
        <v>-1.3399357738333645E-2</v>
      </c>
      <c r="BI32" s="163">
        <f t="shared" ca="1" si="37"/>
        <v>-3.1584535043019633E-2</v>
      </c>
      <c r="BJ32" s="163">
        <f t="shared" ca="1" si="38"/>
        <v>4.2529530853051369E-2</v>
      </c>
      <c r="BK32" s="164">
        <f t="shared" ca="1" si="39"/>
        <v>-68.678281219885093</v>
      </c>
      <c r="BL32" s="163">
        <f t="shared" ca="1" si="51"/>
        <v>0</v>
      </c>
      <c r="BM32" s="163">
        <f t="shared" si="52"/>
        <v>5.6969696969696972</v>
      </c>
      <c r="BN32" s="163">
        <f t="shared" si="53"/>
        <v>0</v>
      </c>
      <c r="BO32" s="163">
        <f t="shared" si="54"/>
        <v>0</v>
      </c>
      <c r="BP32" s="163">
        <f t="shared" ca="1" si="55"/>
        <v>0</v>
      </c>
      <c r="BQ32" s="163">
        <f t="shared" si="56"/>
        <v>174.5001879716022</v>
      </c>
      <c r="BR32" s="163">
        <f t="shared" si="57"/>
        <v>0</v>
      </c>
      <c r="BS32" s="163">
        <f t="shared" si="58"/>
        <v>0</v>
      </c>
      <c r="BT32" s="163">
        <f t="shared" si="59"/>
        <v>0</v>
      </c>
      <c r="BU32" s="164">
        <f t="shared" ca="1" si="60"/>
        <v>68.678281219885093</v>
      </c>
    </row>
    <row r="33" spans="1:73" ht="15" thickBot="1" x14ac:dyDescent="0.35">
      <c r="A33" s="364" t="s">
        <v>379</v>
      </c>
      <c r="B33" s="152" t="s">
        <v>380</v>
      </c>
      <c r="C33" s="47" t="s">
        <v>381</v>
      </c>
      <c r="F33" s="36">
        <v>29</v>
      </c>
      <c r="G33" s="363">
        <f t="shared" si="4"/>
        <v>29</v>
      </c>
      <c r="H33" s="153">
        <f t="shared" si="5"/>
        <v>63</v>
      </c>
      <c r="I33" s="323">
        <f t="shared" si="40"/>
        <v>0</v>
      </c>
      <c r="J33" s="163">
        <f t="shared" si="6"/>
        <v>0</v>
      </c>
      <c r="K33" s="327">
        <f>IF($G33="","",Reserve!N33)</f>
        <v>0</v>
      </c>
      <c r="L33" s="163">
        <f t="shared" si="41"/>
        <v>0</v>
      </c>
      <c r="M33" s="163">
        <f t="shared" si="42"/>
        <v>5.6969696969696972</v>
      </c>
      <c r="N33" s="163">
        <f t="shared" si="43"/>
        <v>0</v>
      </c>
      <c r="O33" s="163">
        <f t="shared" si="7"/>
        <v>0</v>
      </c>
      <c r="P33" s="327">
        <f t="shared" si="44"/>
        <v>5.6969696969696972</v>
      </c>
      <c r="Q33" s="218">
        <f ca="1">IF($G33="","",Reserve!$I33)</f>
        <v>12219</v>
      </c>
      <c r="R33" s="323">
        <f>IF($G33="","",Reserve!$J34+Reserve!$K34)</f>
        <v>0</v>
      </c>
      <c r="S33" s="163">
        <f ca="1">IF($G33="","",Change!$G34)</f>
        <v>12355</v>
      </c>
      <c r="T33" s="163">
        <f t="shared" si="61"/>
        <v>0</v>
      </c>
      <c r="U33" s="331">
        <f t="shared" si="9"/>
        <v>8.4507372250522796E-4</v>
      </c>
      <c r="V33" s="323">
        <f ca="1">IF($G33="","",Reserve!$Q34-$R33)</f>
        <v>12355</v>
      </c>
      <c r="W33" s="163">
        <f>IF($G33="","",Reserve!$S34)</f>
        <v>0</v>
      </c>
      <c r="X33" s="327">
        <f t="shared" ca="1" si="10"/>
        <v>12355</v>
      </c>
      <c r="Y33" s="334">
        <f t="shared" si="11"/>
        <v>2.5999999999999999E-2</v>
      </c>
      <c r="Z33" s="220">
        <f>IF($G33="","",VLOOKUP(H33,Life!$A$3:$Q$113,$B$6+1,FALSE))</f>
        <v>1.8527999999999999E-2</v>
      </c>
      <c r="AA33" s="220">
        <f t="shared" si="12"/>
        <v>1.6675200000000001E-2</v>
      </c>
      <c r="AB33" s="220">
        <f t="shared" si="13"/>
        <v>1.4749871999999999E-2</v>
      </c>
      <c r="AC33" s="331">
        <f>IF($G33="","",HLOOKUP($G33,AssetShare_Table!$B$84:$G$85,2)*$D$11)</f>
        <v>1.4999999999999999E-2</v>
      </c>
      <c r="AD33" s="334">
        <f t="shared" si="14"/>
        <v>0.45016450091852944</v>
      </c>
      <c r="AE33" s="220">
        <f t="shared" si="15"/>
        <v>7.5065830857166628E-3</v>
      </c>
      <c r="AF33" s="220">
        <f t="shared" si="16"/>
        <v>6.6398687674921915E-3</v>
      </c>
      <c r="AG33" s="331">
        <f t="shared" si="17"/>
        <v>0.4360180490653206</v>
      </c>
      <c r="AH33" s="323">
        <f t="shared" ca="1" si="18"/>
        <v>104486.87140937992</v>
      </c>
      <c r="AI33" s="163">
        <f t="shared" si="19"/>
        <v>0</v>
      </c>
      <c r="AJ33" s="163">
        <f t="shared" si="45"/>
        <v>169.26185234536706</v>
      </c>
      <c r="AK33" s="163">
        <f t="shared" ca="1" si="20"/>
        <v>13531.560299458079</v>
      </c>
      <c r="AL33" s="163">
        <f t="shared" si="21"/>
        <v>0</v>
      </c>
      <c r="AM33" s="163">
        <f t="shared" ca="1" si="22"/>
        <v>1009.7873929016329</v>
      </c>
      <c r="AN33" s="163">
        <f t="shared" si="46"/>
        <v>0</v>
      </c>
      <c r="AO33" s="163">
        <f t="shared" ca="1" si="47"/>
        <v>56.036307946157251</v>
      </c>
      <c r="AP33" s="163">
        <f t="shared" ca="1" si="23"/>
        <v>2540.8434043783668</v>
      </c>
      <c r="AQ33" s="163">
        <f t="shared" ca="1" si="48"/>
        <v>92390.570889085633</v>
      </c>
      <c r="AR33" s="327">
        <f t="shared" ca="1" si="49"/>
        <v>66309.372133873898</v>
      </c>
      <c r="AS33" s="323">
        <f t="shared" ca="1" si="24"/>
        <v>26081.198755211735</v>
      </c>
      <c r="AT33" s="163">
        <f t="shared" ca="1" si="25"/>
        <v>812.38133432812174</v>
      </c>
      <c r="AU33" s="163">
        <f t="shared" ca="1" si="26"/>
        <v>155.39208138514732</v>
      </c>
      <c r="AV33" s="163">
        <f t="shared" ca="1" si="27"/>
        <v>0</v>
      </c>
      <c r="AW33" s="327">
        <f t="shared" ca="1" si="28"/>
        <v>0</v>
      </c>
      <c r="AX33" s="323">
        <f ca="1">IF($G33="","",Reserve!$P34-$R33)</f>
        <v>12355.073570486529</v>
      </c>
      <c r="AY33" s="220">
        <f t="shared" si="29"/>
        <v>2.2499999999999999E-2</v>
      </c>
      <c r="AZ33" s="331">
        <f>IF($G33="","",VLOOKUP($H33,Life!$A$3:$R$113,18,FALSE))</f>
        <v>1.852798199133451E-2</v>
      </c>
      <c r="BA33" s="162">
        <f t="shared" ca="1" si="30"/>
        <v>251.27240737879737</v>
      </c>
      <c r="BB33" s="163">
        <f t="shared" ca="1" si="31"/>
        <v>7.6968717537922587E-2</v>
      </c>
      <c r="BC33" s="163">
        <f t="shared" si="32"/>
        <v>-173.07024402313783</v>
      </c>
      <c r="BD33" s="163">
        <f t="shared" ca="1" si="33"/>
        <v>6.0129947217184964E-3</v>
      </c>
      <c r="BE33" s="163">
        <f t="shared" ca="1" si="34"/>
        <v>-1.7289035768479457</v>
      </c>
      <c r="BF33" s="163">
        <f t="shared" ca="1" si="50"/>
        <v>2.5998057845561382</v>
      </c>
      <c r="BG33" s="163">
        <f t="shared" si="35"/>
        <v>-0.59241648320878471</v>
      </c>
      <c r="BH33" s="163">
        <f t="shared" ca="1" si="36"/>
        <v>-7.2591789707206799E-3</v>
      </c>
      <c r="BI33" s="163">
        <f t="shared" ca="1" si="37"/>
        <v>-6.0129947217184964E-3</v>
      </c>
      <c r="BJ33" s="163">
        <f t="shared" ca="1" si="38"/>
        <v>9.0526066114950156E-3</v>
      </c>
      <c r="BK33" s="164">
        <f t="shared" ca="1" si="39"/>
        <v>-56.036307946157237</v>
      </c>
      <c r="BL33" s="163">
        <f t="shared" ca="1" si="51"/>
        <v>0</v>
      </c>
      <c r="BM33" s="163">
        <f t="shared" si="52"/>
        <v>5.6969696969696972</v>
      </c>
      <c r="BN33" s="163">
        <f t="shared" si="53"/>
        <v>0</v>
      </c>
      <c r="BO33" s="163">
        <f t="shared" si="54"/>
        <v>0</v>
      </c>
      <c r="BP33" s="163">
        <f t="shared" ca="1" si="55"/>
        <v>0</v>
      </c>
      <c r="BQ33" s="163">
        <f t="shared" si="56"/>
        <v>169.26185234536706</v>
      </c>
      <c r="BR33" s="163">
        <f t="shared" si="57"/>
        <v>0</v>
      </c>
      <c r="BS33" s="163">
        <f t="shared" si="58"/>
        <v>0</v>
      </c>
      <c r="BT33" s="163">
        <f t="shared" si="59"/>
        <v>0</v>
      </c>
      <c r="BU33" s="164">
        <f t="shared" ca="1" si="60"/>
        <v>56.036307946157251</v>
      </c>
    </row>
    <row r="34" spans="1:73" ht="15" thickTop="1" x14ac:dyDescent="0.3">
      <c r="A34" s="367" t="s">
        <v>106</v>
      </c>
      <c r="B34" s="265">
        <f>Pricing!B19</f>
        <v>2.2499999999999999E-2</v>
      </c>
      <c r="C34" s="267">
        <f>Reserve!B16</f>
        <v>2.2499999999999999E-2</v>
      </c>
      <c r="F34" s="320">
        <v>30</v>
      </c>
      <c r="G34" s="367">
        <f t="shared" si="4"/>
        <v>30</v>
      </c>
      <c r="H34" s="155">
        <f t="shared" si="5"/>
        <v>64</v>
      </c>
      <c r="I34" s="324">
        <f t="shared" si="40"/>
        <v>0</v>
      </c>
      <c r="J34" s="166">
        <f t="shared" si="6"/>
        <v>0</v>
      </c>
      <c r="K34" s="328">
        <f>IF($G34="","",Reserve!N34)</f>
        <v>0</v>
      </c>
      <c r="L34" s="166">
        <f t="shared" si="41"/>
        <v>0</v>
      </c>
      <c r="M34" s="166">
        <f t="shared" si="42"/>
        <v>5.6969696969696972</v>
      </c>
      <c r="N34" s="166">
        <f t="shared" si="43"/>
        <v>0</v>
      </c>
      <c r="O34" s="166">
        <f t="shared" si="7"/>
        <v>0</v>
      </c>
      <c r="P34" s="328">
        <f t="shared" si="44"/>
        <v>5.6969696969696972</v>
      </c>
      <c r="Q34" s="330">
        <f ca="1">IF($G34="","",Reserve!$I34)</f>
        <v>12494</v>
      </c>
      <c r="R34" s="324">
        <f>IF($G34="","",Reserve!$J35+Reserve!$K35)</f>
        <v>0</v>
      </c>
      <c r="S34" s="166">
        <f ca="1">IF($G34="","",Change!$G35)</f>
        <v>12633</v>
      </c>
      <c r="T34" s="163">
        <f t="shared" si="61"/>
        <v>0</v>
      </c>
      <c r="U34" s="332">
        <f t="shared" si="9"/>
        <v>8.2472656192986203E-4</v>
      </c>
      <c r="V34" s="324">
        <f ca="1">IF($G34="","",Reserve!$Q35-$R34)</f>
        <v>12633</v>
      </c>
      <c r="W34" s="166">
        <f>IF($G34="","",Reserve!$S35)</f>
        <v>0</v>
      </c>
      <c r="X34" s="328">
        <f t="shared" ca="1" si="10"/>
        <v>12633</v>
      </c>
      <c r="Y34" s="335">
        <f t="shared" si="11"/>
        <v>2.5999999999999999E-2</v>
      </c>
      <c r="Z34" s="235">
        <f>IF($G34="","",VLOOKUP(H34,Life!$A$3:$Q$113,$B$6+1,FALSE))</f>
        <v>2.0261000000000001E-2</v>
      </c>
      <c r="AA34" s="235">
        <f t="shared" si="12"/>
        <v>1.8234900000000002E-2</v>
      </c>
      <c r="AB34" s="235">
        <f t="shared" si="13"/>
        <v>1.4726476499999998E-2</v>
      </c>
      <c r="AC34" s="332">
        <f>IF($G34="","",HLOOKUP($G34,AssetShare_Table!$B$84:$G$85,2)*$D$11)</f>
        <v>1.4999999999999999E-2</v>
      </c>
      <c r="AD34" s="335">
        <f t="shared" si="14"/>
        <v>0.4360180490653206</v>
      </c>
      <c r="AE34" s="235">
        <f t="shared" si="15"/>
        <v>7.9507455229012158E-3</v>
      </c>
      <c r="AF34" s="235">
        <f t="shared" si="16"/>
        <v>6.4210095531362903E-3</v>
      </c>
      <c r="AG34" s="332">
        <f t="shared" si="17"/>
        <v>0.42164629398928311</v>
      </c>
      <c r="AH34" s="324">
        <f t="shared" ca="1" si="18"/>
        <v>92390.570889085633</v>
      </c>
      <c r="AI34" s="166">
        <f t="shared" si="19"/>
        <v>0</v>
      </c>
      <c r="AJ34" s="166">
        <f t="shared" si="45"/>
        <v>163.94278644856055</v>
      </c>
      <c r="AK34" s="166">
        <f t="shared" ca="1" si="20"/>
        <v>12425.128353105052</v>
      </c>
      <c r="AL34" s="166">
        <f t="shared" si="21"/>
        <v>0</v>
      </c>
      <c r="AM34" s="166">
        <f t="shared" ca="1" si="22"/>
        <v>828.57056942802706</v>
      </c>
      <c r="AN34" s="163">
        <f t="shared" si="46"/>
        <v>0</v>
      </c>
      <c r="AO34" s="166">
        <f t="shared" ca="1" si="47"/>
        <v>44.872932979002343</v>
      </c>
      <c r="AP34" s="166">
        <f t="shared" ca="1" si="23"/>
        <v>2240.8184108832547</v>
      </c>
      <c r="AQ34" s="166">
        <f t="shared" ca="1" si="48"/>
        <v>81300.269143622165</v>
      </c>
      <c r="AR34" s="328">
        <f t="shared" ca="1" si="49"/>
        <v>54409.467392440449</v>
      </c>
      <c r="AS34" s="324">
        <f t="shared" ca="1" si="24"/>
        <v>26890.801751181716</v>
      </c>
      <c r="AT34" s="166">
        <f t="shared" ca="1" si="25"/>
        <v>809.60299596998084</v>
      </c>
      <c r="AU34" s="166">
        <f t="shared" ca="1" si="26"/>
        <v>131.49182833447412</v>
      </c>
      <c r="AV34" s="166">
        <f t="shared" ca="1" si="27"/>
        <v>0</v>
      </c>
      <c r="AW34" s="328">
        <f t="shared" ca="1" si="28"/>
        <v>0</v>
      </c>
      <c r="AX34" s="324">
        <f ca="1">IF($G34="","",Reserve!$P35-$R34)</f>
        <v>12632.877894653577</v>
      </c>
      <c r="AY34" s="235">
        <f t="shared" si="29"/>
        <v>2.2499999999999999E-2</v>
      </c>
      <c r="AZ34" s="332">
        <f>IF($G34="","",VLOOKUP($H34,Life!$A$3:$R$113,18,FALSE))</f>
        <v>2.0261010367169631E-2</v>
      </c>
      <c r="BA34" s="165">
        <f t="shared" ca="1" si="30"/>
        <v>208.21194964982743</v>
      </c>
      <c r="BB34" s="166">
        <f t="shared" ca="1" si="31"/>
        <v>9.919795454660553E-2</v>
      </c>
      <c r="BC34" s="166">
        <f t="shared" si="32"/>
        <v>-167.63149914365317</v>
      </c>
      <c r="BD34" s="166">
        <f t="shared" ca="1" si="33"/>
        <v>-8.0086199965276536E-3</v>
      </c>
      <c r="BE34" s="166">
        <f t="shared" ca="1" si="34"/>
        <v>-0.924153207503421</v>
      </c>
      <c r="BF34" s="166">
        <f t="shared" ca="1" si="50"/>
        <v>2.3871978716186515</v>
      </c>
      <c r="BG34" s="166">
        <f t="shared" si="35"/>
        <v>-0.57379975256996185</v>
      </c>
      <c r="BH34" s="166">
        <f t="shared" ca="1" si="36"/>
        <v>-1.3819866202083011E-3</v>
      </c>
      <c r="BI34" s="166">
        <f t="shared" ca="1" si="37"/>
        <v>8.0086199965276536E-3</v>
      </c>
      <c r="BJ34" s="166">
        <f t="shared" ca="1" si="38"/>
        <v>-1.3492312025942765E-2</v>
      </c>
      <c r="BK34" s="167">
        <f t="shared" ca="1" si="39"/>
        <v>-44.87293297900235</v>
      </c>
      <c r="BL34" s="166">
        <f t="shared" ca="1" si="51"/>
        <v>0</v>
      </c>
      <c r="BM34" s="163">
        <f t="shared" si="52"/>
        <v>5.6969696969696972</v>
      </c>
      <c r="BN34" s="166">
        <f t="shared" si="53"/>
        <v>0</v>
      </c>
      <c r="BO34" s="166">
        <f t="shared" si="54"/>
        <v>0</v>
      </c>
      <c r="BP34" s="166">
        <f t="shared" ca="1" si="55"/>
        <v>0</v>
      </c>
      <c r="BQ34" s="166">
        <f t="shared" si="56"/>
        <v>163.94278644856055</v>
      </c>
      <c r="BR34" s="166">
        <f t="shared" si="57"/>
        <v>0</v>
      </c>
      <c r="BS34" s="166">
        <f t="shared" si="58"/>
        <v>0</v>
      </c>
      <c r="BT34" s="166">
        <f t="shared" si="59"/>
        <v>0</v>
      </c>
      <c r="BU34" s="167">
        <f t="shared" ca="1" si="60"/>
        <v>44.872932979002343</v>
      </c>
    </row>
    <row r="35" spans="1:73" x14ac:dyDescent="0.3">
      <c r="A35" s="242" t="s">
        <v>75</v>
      </c>
      <c r="B35" s="277">
        <f>Pricing!B20</f>
        <v>0.9</v>
      </c>
      <c r="C35" s="62">
        <f>Reserve!B17</f>
        <v>1</v>
      </c>
      <c r="F35" s="36">
        <v>31</v>
      </c>
      <c r="G35" s="363">
        <f t="shared" si="4"/>
        <v>31</v>
      </c>
      <c r="H35" s="153">
        <f t="shared" si="5"/>
        <v>65</v>
      </c>
      <c r="I35" s="323">
        <f t="shared" si="40"/>
        <v>0</v>
      </c>
      <c r="J35" s="163">
        <f t="shared" si="6"/>
        <v>0</v>
      </c>
      <c r="K35" s="327">
        <f>IF($G35="","",Reserve!N35)</f>
        <v>0</v>
      </c>
      <c r="L35" s="163">
        <f t="shared" si="41"/>
        <v>0</v>
      </c>
      <c r="M35" s="163">
        <f t="shared" si="42"/>
        <v>5.6969696969696972</v>
      </c>
      <c r="N35" s="163">
        <f t="shared" si="43"/>
        <v>0</v>
      </c>
      <c r="O35" s="163">
        <f t="shared" si="7"/>
        <v>0</v>
      </c>
      <c r="P35" s="327">
        <f t="shared" si="44"/>
        <v>5.6969696969696972</v>
      </c>
      <c r="Q35" s="218">
        <f ca="1">IF($G35="","",Reserve!$I35)</f>
        <v>12775</v>
      </c>
      <c r="R35" s="323">
        <f>IF($G35="","",Reserve!$J36+Reserve!$K36)</f>
        <v>0</v>
      </c>
      <c r="S35" s="163">
        <f ca="1">IF($G35="","",Change!$G36)</f>
        <v>12917</v>
      </c>
      <c r="T35" s="163">
        <f t="shared" si="61"/>
        <v>0</v>
      </c>
      <c r="U35" s="331">
        <f t="shared" si="9"/>
        <v>8.0580370259477176E-4</v>
      </c>
      <c r="V35" s="323">
        <f ca="1">IF($G35="","",Reserve!$Q36-$R35)</f>
        <v>12917</v>
      </c>
      <c r="W35" s="163">
        <f>IF($G35="","",Reserve!$S36)</f>
        <v>0</v>
      </c>
      <c r="X35" s="327">
        <f t="shared" ca="1" si="10"/>
        <v>12917</v>
      </c>
      <c r="Y35" s="334">
        <f t="shared" si="11"/>
        <v>2.5999999999999999E-2</v>
      </c>
      <c r="Z35" s="220">
        <f>IF($G35="","",VLOOKUP(H35,Life!$A$3:$Q$113,$B$6+1,FALSE))</f>
        <v>2.2157E-2</v>
      </c>
      <c r="AA35" s="220">
        <f t="shared" si="12"/>
        <v>1.9941299999999999E-2</v>
      </c>
      <c r="AB35" s="220">
        <f t="shared" si="13"/>
        <v>1.4700880499999999E-2</v>
      </c>
      <c r="AC35" s="331">
        <f>IF($G35="","",HLOOKUP($G35,AssetShare_Table!$B$84:$G$85,2)*$D$11)</f>
        <v>1.4999999999999999E-2</v>
      </c>
      <c r="AD35" s="334">
        <f t="shared" si="14"/>
        <v>0.42164629398928311</v>
      </c>
      <c r="AE35" s="220">
        <f t="shared" si="15"/>
        <v>8.408175242328491E-3</v>
      </c>
      <c r="AF35" s="220">
        <f t="shared" si="16"/>
        <v>6.1985717812043191E-3</v>
      </c>
      <c r="AG35" s="331">
        <f t="shared" si="17"/>
        <v>0.40703954696575029</v>
      </c>
      <c r="AH35" s="323">
        <f t="shared" ca="1" si="18"/>
        <v>81300.269143622165</v>
      </c>
      <c r="AI35" s="163">
        <f t="shared" si="19"/>
        <v>0</v>
      </c>
      <c r="AJ35" s="163">
        <f t="shared" si="45"/>
        <v>158.53900653997044</v>
      </c>
      <c r="AK35" s="163">
        <f t="shared" ca="1" si="20"/>
        <v>11171.276258365613</v>
      </c>
      <c r="AL35" s="163">
        <f t="shared" si="21"/>
        <v>0</v>
      </c>
      <c r="AM35" s="163">
        <f t="shared" ca="1" si="22"/>
        <v>665.05778769592848</v>
      </c>
      <c r="AN35" s="163">
        <f t="shared" si="46"/>
        <v>0</v>
      </c>
      <c r="AO35" s="163">
        <f t="shared" ca="1" si="47"/>
        <v>35.191162489892918</v>
      </c>
      <c r="AP35" s="163">
        <f t="shared" ca="1" si="23"/>
        <v>1968.8331975604269</v>
      </c>
      <c r="AQ35" s="163">
        <f t="shared" ca="1" si="48"/>
        <v>71371.457676241262</v>
      </c>
      <c r="AR35" s="327">
        <f t="shared" ca="1" si="49"/>
        <v>43672.128058699302</v>
      </c>
      <c r="AS35" s="323">
        <f t="shared" ca="1" si="24"/>
        <v>27699.32961754196</v>
      </c>
      <c r="AT35" s="163">
        <f t="shared" ca="1" si="25"/>
        <v>808.52786636024393</v>
      </c>
      <c r="AU35" s="163">
        <f t="shared" ca="1" si="26"/>
        <v>109.36702082951888</v>
      </c>
      <c r="AV35" s="163">
        <f t="shared" ca="1" si="27"/>
        <v>0</v>
      </c>
      <c r="AW35" s="327">
        <f t="shared" ca="1" si="28"/>
        <v>0</v>
      </c>
      <c r="AX35" s="323">
        <f ca="1">IF($G35="","",Reserve!$P36-$R35)</f>
        <v>12916.884112393931</v>
      </c>
      <c r="AY35" s="220">
        <f t="shared" si="29"/>
        <v>2.2499999999999999E-2</v>
      </c>
      <c r="AZ35" s="331">
        <f>IF($G35="","",VLOOKUP($H35,Life!$A$3:$R$113,18,FALSE))</f>
        <v>2.2157049052931976E-2</v>
      </c>
      <c r="BA35" s="162">
        <f t="shared" ca="1" si="30"/>
        <v>168.96799638812848</v>
      </c>
      <c r="BB35" s="163">
        <f t="shared" ca="1" si="31"/>
        <v>0.10058390056427242</v>
      </c>
      <c r="BC35" s="163">
        <f t="shared" si="32"/>
        <v>-162.10613418711978</v>
      </c>
      <c r="BD35" s="163">
        <f t="shared" ca="1" si="33"/>
        <v>-5.9667070460348703E-3</v>
      </c>
      <c r="BE35" s="163">
        <f t="shared" ca="1" si="34"/>
        <v>0.15121184485372005</v>
      </c>
      <c r="BF35" s="163">
        <f t="shared" ca="1" si="50"/>
        <v>2.1463729928751953</v>
      </c>
      <c r="BG35" s="163">
        <f t="shared" si="35"/>
        <v>-0.55488652288989648</v>
      </c>
      <c r="BH35" s="163">
        <f t="shared" ca="1" si="36"/>
        <v>1.8406478292019388E-3</v>
      </c>
      <c r="BI35" s="163">
        <f t="shared" ca="1" si="37"/>
        <v>5.9667070460348703E-3</v>
      </c>
      <c r="BJ35" s="163">
        <f t="shared" ca="1" si="38"/>
        <v>-1.1260198772525831E-2</v>
      </c>
      <c r="BK35" s="164">
        <f t="shared" ca="1" si="39"/>
        <v>-35.191162489892925</v>
      </c>
      <c r="BL35" s="163">
        <f t="shared" ca="1" si="51"/>
        <v>0</v>
      </c>
      <c r="BM35" s="163">
        <f t="shared" si="52"/>
        <v>5.6969696969696972</v>
      </c>
      <c r="BN35" s="163">
        <f t="shared" si="53"/>
        <v>0</v>
      </c>
      <c r="BO35" s="163">
        <f t="shared" si="54"/>
        <v>0</v>
      </c>
      <c r="BP35" s="163">
        <f t="shared" ca="1" si="55"/>
        <v>0</v>
      </c>
      <c r="BQ35" s="163">
        <f t="shared" si="56"/>
        <v>158.53900653997044</v>
      </c>
      <c r="BR35" s="163">
        <f t="shared" si="57"/>
        <v>0</v>
      </c>
      <c r="BS35" s="163">
        <f t="shared" si="58"/>
        <v>0</v>
      </c>
      <c r="BT35" s="163">
        <f t="shared" si="59"/>
        <v>0</v>
      </c>
      <c r="BU35" s="164">
        <f t="shared" ca="1" si="60"/>
        <v>35.191162489892918</v>
      </c>
    </row>
    <row r="36" spans="1:73" x14ac:dyDescent="0.3">
      <c r="A36" s="242" t="s">
        <v>107</v>
      </c>
      <c r="B36" s="277">
        <f ca="1">Pricing!B21</f>
        <v>0.1040825188171659</v>
      </c>
      <c r="C36" s="62">
        <f ca="1">Reserve!B18</f>
        <v>0.10284605007034098</v>
      </c>
      <c r="F36" s="36">
        <v>32</v>
      </c>
      <c r="G36" s="363">
        <f t="shared" si="4"/>
        <v>32</v>
      </c>
      <c r="H36" s="153">
        <f t="shared" si="5"/>
        <v>66</v>
      </c>
      <c r="I36" s="323">
        <f t="shared" si="40"/>
        <v>0</v>
      </c>
      <c r="J36" s="163">
        <f t="shared" si="6"/>
        <v>0</v>
      </c>
      <c r="K36" s="327">
        <f>IF($G36="","",Reserve!N36)</f>
        <v>0</v>
      </c>
      <c r="L36" s="163">
        <f t="shared" si="41"/>
        <v>0</v>
      </c>
      <c r="M36" s="163">
        <f t="shared" si="42"/>
        <v>5.6969696969696972</v>
      </c>
      <c r="N36" s="163">
        <f t="shared" si="43"/>
        <v>0</v>
      </c>
      <c r="O36" s="163">
        <f t="shared" si="7"/>
        <v>0</v>
      </c>
      <c r="P36" s="327">
        <f t="shared" si="44"/>
        <v>5.6969696969696972</v>
      </c>
      <c r="Q36" s="218">
        <f ca="1">IF($G36="","",Reserve!$I36)</f>
        <v>13062</v>
      </c>
      <c r="R36" s="323">
        <f>IF($G36="","",Reserve!$J37+Reserve!$K37)</f>
        <v>0</v>
      </c>
      <c r="S36" s="163">
        <f ca="1">IF($G36="","",Change!$G37)</f>
        <v>13207</v>
      </c>
      <c r="T36" s="163">
        <f t="shared" si="61"/>
        <v>0</v>
      </c>
      <c r="U36" s="331">
        <f t="shared" si="9"/>
        <v>7.8820544341313763E-4</v>
      </c>
      <c r="V36" s="323">
        <f ca="1">IF($G36="","",Reserve!$Q37-$R36)</f>
        <v>13207</v>
      </c>
      <c r="W36" s="163">
        <f>IF($G36="","",Reserve!$S37)</f>
        <v>0</v>
      </c>
      <c r="X36" s="327">
        <f t="shared" ca="1" si="10"/>
        <v>13207</v>
      </c>
      <c r="Y36" s="334">
        <f t="shared" si="11"/>
        <v>2.5999999999999999E-2</v>
      </c>
      <c r="Z36" s="220">
        <f>IF($G36="","",VLOOKUP(H36,Life!$A$3:$Q$113,$B$6+1,FALSE))</f>
        <v>2.4233000000000001E-2</v>
      </c>
      <c r="AA36" s="220">
        <f t="shared" si="12"/>
        <v>2.1809700000000001E-2</v>
      </c>
      <c r="AB36" s="220">
        <f t="shared" si="13"/>
        <v>1.4672854499999999E-2</v>
      </c>
      <c r="AC36" s="331">
        <f>IF($G36="","",HLOOKUP($G36,AssetShare_Table!$B$84:$G$85,2)*$D$11)</f>
        <v>1.4999999999999999E-2</v>
      </c>
      <c r="AD36" s="334">
        <f t="shared" si="14"/>
        <v>0.40703954696575029</v>
      </c>
      <c r="AE36" s="220">
        <f t="shared" si="15"/>
        <v>8.8774104074589247E-3</v>
      </c>
      <c r="AF36" s="220">
        <f t="shared" si="16"/>
        <v>5.9724320483743702E-3</v>
      </c>
      <c r="AG36" s="331">
        <f t="shared" si="17"/>
        <v>0.39218970450991697</v>
      </c>
      <c r="AH36" s="323">
        <f t="shared" ca="1" si="18"/>
        <v>71371.457676241262</v>
      </c>
      <c r="AI36" s="163">
        <f t="shared" si="19"/>
        <v>0</v>
      </c>
      <c r="AJ36" s="163">
        <f t="shared" si="45"/>
        <v>153.04686965912211</v>
      </c>
      <c r="AK36" s="163">
        <f t="shared" ca="1" si="20"/>
        <v>9812.8035966768039</v>
      </c>
      <c r="AL36" s="163">
        <f t="shared" si="21"/>
        <v>0</v>
      </c>
      <c r="AM36" s="163">
        <f t="shared" ca="1" si="22"/>
        <v>520.96316832572245</v>
      </c>
      <c r="AN36" s="163">
        <f t="shared" si="46"/>
        <v>0</v>
      </c>
      <c r="AO36" s="163">
        <f t="shared" ca="1" si="47"/>
        <v>26.964441001047184</v>
      </c>
      <c r="AP36" s="163">
        <f t="shared" ca="1" si="23"/>
        <v>1728.3769230862238</v>
      </c>
      <c r="AQ36" s="163">
        <f t="shared" ca="1" si="48"/>
        <v>62718.599381169297</v>
      </c>
      <c r="AR36" s="327">
        <f t="shared" ca="1" si="49"/>
        <v>34209.914720055771</v>
      </c>
      <c r="AS36" s="323">
        <f t="shared" ca="1" si="24"/>
        <v>28508.684661113526</v>
      </c>
      <c r="AT36" s="163">
        <f t="shared" ca="1" si="25"/>
        <v>809.35504357156606</v>
      </c>
      <c r="AU36" s="163">
        <f t="shared" ca="1" si="26"/>
        <v>89.172473515474849</v>
      </c>
      <c r="AV36" s="163">
        <f t="shared" ca="1" si="27"/>
        <v>0</v>
      </c>
      <c r="AW36" s="327">
        <f t="shared" ca="1" si="28"/>
        <v>0</v>
      </c>
      <c r="AX36" s="323">
        <f ca="1">IF($G36="","",Reserve!$P37-$R36)</f>
        <v>13207.312037775217</v>
      </c>
      <c r="AY36" s="220">
        <f t="shared" si="29"/>
        <v>2.2499999999999999E-2</v>
      </c>
      <c r="AZ36" s="331">
        <f>IF($G36="","",VLOOKUP($H36,Life!$A$3:$R$113,18,FALSE))</f>
        <v>2.423306160016744E-2</v>
      </c>
      <c r="BA36" s="162">
        <f t="shared" ca="1" si="30"/>
        <v>133.99779401357679</v>
      </c>
      <c r="BB36" s="163">
        <f t="shared" ca="1" si="31"/>
        <v>6.8286352044470144E-2</v>
      </c>
      <c r="BC36" s="163">
        <f t="shared" si="32"/>
        <v>-156.49042422645235</v>
      </c>
      <c r="BD36" s="163">
        <f t="shared" ca="1" si="33"/>
        <v>1.2308638450378353E-2</v>
      </c>
      <c r="BE36" s="163">
        <f t="shared" ca="1" si="34"/>
        <v>1.1951583472251242</v>
      </c>
      <c r="BF36" s="163">
        <f t="shared" ca="1" si="50"/>
        <v>1.8853738043246357</v>
      </c>
      <c r="BG36" s="163">
        <f t="shared" si="35"/>
        <v>-0.53566404380692734</v>
      </c>
      <c r="BH36" s="163">
        <f t="shared" ca="1" si="36"/>
        <v>1.3713481694136809E-3</v>
      </c>
      <c r="BI36" s="163">
        <f t="shared" ca="1" si="37"/>
        <v>-1.2308638450378353E-2</v>
      </c>
      <c r="BJ36" s="163">
        <f t="shared" ca="1" si="38"/>
        <v>2.6047121816905848E-2</v>
      </c>
      <c r="BK36" s="164">
        <f t="shared" ca="1" si="39"/>
        <v>-26.964441001047184</v>
      </c>
      <c r="BL36" s="163">
        <f t="shared" ca="1" si="51"/>
        <v>0</v>
      </c>
      <c r="BM36" s="163">
        <f t="shared" si="52"/>
        <v>5.6969696969696972</v>
      </c>
      <c r="BN36" s="163">
        <f t="shared" si="53"/>
        <v>0</v>
      </c>
      <c r="BO36" s="163">
        <f t="shared" si="54"/>
        <v>0</v>
      </c>
      <c r="BP36" s="163">
        <f t="shared" ca="1" si="55"/>
        <v>0</v>
      </c>
      <c r="BQ36" s="163">
        <f t="shared" si="56"/>
        <v>153.04686965912211</v>
      </c>
      <c r="BR36" s="163">
        <f t="shared" si="57"/>
        <v>0</v>
      </c>
      <c r="BS36" s="163">
        <f t="shared" si="58"/>
        <v>0</v>
      </c>
      <c r="BT36" s="163">
        <f t="shared" si="59"/>
        <v>0</v>
      </c>
      <c r="BU36" s="164">
        <f t="shared" ca="1" si="60"/>
        <v>26.964441001047184</v>
      </c>
    </row>
    <row r="37" spans="1:73" x14ac:dyDescent="0.3">
      <c r="A37" s="242" t="s">
        <v>108</v>
      </c>
      <c r="B37" s="315">
        <f ca="1">Pricing!B22</f>
        <v>402.26694905109252</v>
      </c>
      <c r="C37" s="150">
        <f ca="1">Reserve!B19</f>
        <v>402.8221235184169</v>
      </c>
      <c r="F37" s="36">
        <v>33</v>
      </c>
      <c r="G37" s="363">
        <f t="shared" ref="G37:G68" si="62">IF(F37&lt;=$B$10,F37,"")</f>
        <v>33</v>
      </c>
      <c r="H37" s="153">
        <f t="shared" ref="H37:H68" si="63">IF($G37="","",$B$7+$G37-1)</f>
        <v>67</v>
      </c>
      <c r="I37" s="323">
        <f t="shared" ref="I37:I68" si="64">IF($G37="","",IF($G37&lt;=$B$9,$B$11,0))</f>
        <v>0</v>
      </c>
      <c r="J37" s="163">
        <f t="shared" ref="J37:J68" si="65">IF($G37="","",IF($G37&lt;=$B$9,$B$12,0))</f>
        <v>0</v>
      </c>
      <c r="K37" s="327">
        <f>IF($G37="","",Reserve!N37)</f>
        <v>0</v>
      </c>
      <c r="L37" s="163">
        <f t="shared" si="41"/>
        <v>0</v>
      </c>
      <c r="M37" s="163">
        <f t="shared" si="42"/>
        <v>5.6969696969696972</v>
      </c>
      <c r="N37" s="163">
        <f t="shared" si="43"/>
        <v>0</v>
      </c>
      <c r="O37" s="163">
        <f t="shared" si="7"/>
        <v>0</v>
      </c>
      <c r="P37" s="327">
        <f t="shared" si="44"/>
        <v>5.6969696969696972</v>
      </c>
      <c r="Q37" s="218">
        <f ca="1">IF($G37="","",Reserve!$I37)</f>
        <v>13355.5</v>
      </c>
      <c r="R37" s="323">
        <f>IF($G37="","",Reserve!$J38+Reserve!$K38)</f>
        <v>0</v>
      </c>
      <c r="S37" s="163">
        <f ca="1">IF($G37="","",Change!$G38)</f>
        <v>13504</v>
      </c>
      <c r="T37" s="163">
        <f t="shared" si="61"/>
        <v>0</v>
      </c>
      <c r="U37" s="331">
        <f t="shared" ref="U37:U68" si="66">IF($G37="","",$C$47*($C$48+(1-$C$48)*$C$49^($G37-1)))</f>
        <v>7.7183906237421817E-4</v>
      </c>
      <c r="V37" s="323">
        <f ca="1">IF($G37="","",Reserve!$Q38-$R37)</f>
        <v>13504</v>
      </c>
      <c r="W37" s="163">
        <f>IF($G37="","",Reserve!$S38)</f>
        <v>0</v>
      </c>
      <c r="X37" s="327">
        <f t="shared" ref="X37:X68" ca="1" si="67">IF($G37="","",$V37+$W37)</f>
        <v>13504</v>
      </c>
      <c r="Y37" s="334">
        <f t="shared" ref="Y37:Y68" si="68">IF($G37="","",$D$6)</f>
        <v>2.5999999999999999E-2</v>
      </c>
      <c r="Z37" s="220">
        <f>IF($G37="","",VLOOKUP(H37,Life!$A$3:$Q$113,$B$6+1,FALSE))</f>
        <v>2.6505000000000001E-2</v>
      </c>
      <c r="AA37" s="220">
        <f t="shared" ref="AA37:AA68" si="69">IF($G37="","",Z37*$D$10)</f>
        <v>2.3854500000000001E-2</v>
      </c>
      <c r="AB37" s="220">
        <f t="shared" ref="AB37:AB68" si="70">IF($G37="","",AF37/AD37)</f>
        <v>1.46421825E-2</v>
      </c>
      <c r="AC37" s="331">
        <f>IF($G37="","",HLOOKUP($G37,AssetShare_Table!$B$84:$G$85,2)*$D$11)</f>
        <v>1.4999999999999999E-2</v>
      </c>
      <c r="AD37" s="334">
        <f t="shared" ref="AD37:AD68" si="71">IF($G37="","",IF($G37=1,1,$AG36))</f>
        <v>0.39218970450991697</v>
      </c>
      <c r="AE37" s="220">
        <f t="shared" ref="AE37:AE68" si="72">IF($G37="","",$AD37*$AA37)</f>
        <v>9.355489306231814E-3</v>
      </c>
      <c r="AF37" s="220">
        <f t="shared" ref="AF37:AF68" si="73">IF($G37="","",IF($AC$4=1,$AD37*$AC37,IF($AC$4=2,($AD37-$AE37)*$AC37,MAX($AD37*$AC37-$AE37,0))))</f>
        <v>5.7425132280552772E-3</v>
      </c>
      <c r="AG37" s="331">
        <f t="shared" ref="AG37:AG68" si="74">IF($G37="","",$AD37-$AE37-$AF37)</f>
        <v>0.37709170197562986</v>
      </c>
      <c r="AH37" s="323">
        <f t="shared" ref="AH37:AH68" ca="1" si="75">IF($G37="","",IF($G37=1,0,$AQ36))</f>
        <v>62718.599381169297</v>
      </c>
      <c r="AI37" s="163">
        <f t="shared" ref="AI37:AI68" si="76">IF($G37="","",$J37*$AD37*$B$13)</f>
        <v>0</v>
      </c>
      <c r="AJ37" s="163">
        <f t="shared" ref="AJ37:AJ68" si="77">IF($G37="","",$P37*$AD37*$B$13)</f>
        <v>147.46332889572878</v>
      </c>
      <c r="AK37" s="163">
        <f t="shared" ref="AK37:AK68" ca="1" si="78">IF($G37="","",$Q37*$AE37*$B$13)</f>
        <v>8401.188093409979</v>
      </c>
      <c r="AL37" s="163">
        <f t="shared" ref="AL37:AL68" si="79">IF($G37="","",$R37*($AF37+$AG37)*$B$13)</f>
        <v>0</v>
      </c>
      <c r="AM37" s="163">
        <f t="shared" ref="AM37:AM68" ca="1" si="80">IF($G37="","",$S37*$AF37*$B$13)</f>
        <v>397.26943206485691</v>
      </c>
      <c r="AN37" s="163">
        <f t="shared" si="46"/>
        <v>0</v>
      </c>
      <c r="AO37" s="163">
        <f t="shared" ca="1" si="47"/>
        <v>20.13524299770361</v>
      </c>
      <c r="AP37" s="163">
        <f t="shared" ref="AP37:AP68" ca="1" si="81">IF($G37="","",($AH37+$AI37-$AJ37)*$Y37-$AK37*((1+$Y37)^0.5-1))</f>
        <v>1521.7605279724419</v>
      </c>
      <c r="AQ37" s="163">
        <f t="shared" ref="AQ37:AQ68" ca="1" si="82">IF($G37="","",$AH37+$AI37-SUM($AJ37:$AO37)+$AP37)</f>
        <v>55406.058305991181</v>
      </c>
      <c r="AR37" s="327">
        <f t="shared" ref="AR37:AR68" ca="1" si="83">IF($G37="","",$X37*$AG37*$B$13)</f>
        <v>26087.359372258936</v>
      </c>
      <c r="AS37" s="323">
        <f t="shared" ref="AS37:AS68" ca="1" si="84">IF($G37="","",$AQ37-$AR37)</f>
        <v>29318.698933732245</v>
      </c>
      <c r="AT37" s="163">
        <f t="shared" ref="AT37:AT68" ca="1" si="85">IF($G37="","",$AS37-IF($G37=1,0,$AS36))</f>
        <v>810.01427261871868</v>
      </c>
      <c r="AU37" s="163">
        <f t="shared" ref="AU37:AU68" ca="1" si="86">IF($G37="","",$AS37-IF($G37=1,0,$AS36*(1+$Y37)))</f>
        <v>68.788471429765195</v>
      </c>
      <c r="AV37" s="163">
        <f t="shared" ref="AV37:AV68" ca="1" si="87">IF($G37="","",IF($AS37&gt;0,0,$G37))</f>
        <v>0</v>
      </c>
      <c r="AW37" s="327">
        <f t="shared" ref="AW37:AW68" ca="1" si="88">IF($G37="","",IF($AU37&gt;0,0,$G37))</f>
        <v>0</v>
      </c>
      <c r="AX37" s="323">
        <f ca="1">IF($G37="","",Reserve!$P38-$R37)</f>
        <v>13504.315053197783</v>
      </c>
      <c r="AY37" s="220">
        <f t="shared" ref="AY37:AY68" si="89">IF($G37="","",$C$34)</f>
        <v>2.2499999999999999E-2</v>
      </c>
      <c r="AZ37" s="331">
        <f>IF($G37="","",VLOOKUP($H37,Life!$A$3:$R$113,18,FALSE))</f>
        <v>2.6505010164330763E-2</v>
      </c>
      <c r="BA37" s="162">
        <f t="shared" ref="BA37:BA68" ca="1" si="90">IF($G37="","",(($K37+IF($G37=1,0,$AX36))*($Y37-$AY37)-$Q37*$AZ37*((1+$Y37)^0.5-(1+$AY37)^0.5))*$AD37*$B$13)</f>
        <v>103.59642744181673</v>
      </c>
      <c r="BB37" s="163">
        <f t="shared" ref="BB37:BB68" ca="1" si="91">IF($G37="","",($AX37+$R37-$Q37*(1+$AY37)^0.5)*($AA37-$AZ37)*$AD37*$B$13)</f>
        <v>4.1834351550896605E-2</v>
      </c>
      <c r="BC37" s="163">
        <f t="shared" ref="BC37:BC68" si="92">IF($G37="","",(($J37-$P37-$K37)*(1+$AY37)-$T37)*$AD37*$B$13)</f>
        <v>-150.78125379588266</v>
      </c>
      <c r="BD37" s="163">
        <f t="shared" ref="BD37:BD68" ca="1" si="93">IF($G37="","",$AB37*($AX37-$S37)*$AD37*$B$13)</f>
        <v>9.2684393478463818E-3</v>
      </c>
      <c r="BE37" s="163">
        <f t="shared" ref="BE37:BE68" ca="1" si="94">IF($G37="","",((IF($G37=1,0,$X36)-IF($G37=1,0,$AX36))*(1+$AY37)-(1-$AZ37)*($X37-$AX37))*$AD37*$B$13)</f>
        <v>-0.23057744283508483</v>
      </c>
      <c r="BF37" s="163">
        <f t="shared" ref="BF37:BF68" ca="1" si="95">IF($G37="","",-$Q37*($AA37-$AZ37)*((1+$Y37)^0.5-(1+$AY37)^0.5)*$AD37*$B$13)</f>
        <v>1.6141032641948128</v>
      </c>
      <c r="BG37" s="163">
        <f t="shared" ref="BG37:BG68" si="96">IF($G37="","",($J37-$P37-$K37)*($Y37-$AY37)*$AD37*$B$13)</f>
        <v>-0.51612165113505071</v>
      </c>
      <c r="BH37" s="163">
        <f t="shared" ref="BH37:BH68" ca="1" si="97">IF($G37="","",(IF($G37=1,0,$X36)-IF($G37=1,0,$AX36))*($Y37-$AY37)*$AD37*$B$13)</f>
        <v>-2.8289354038452913E-3</v>
      </c>
      <c r="BI37" s="163">
        <f t="shared" ref="BI37:BI68" ca="1" si="98">IF($G37="","",$AB37*($X37-$AX37)*$AD37*$B$13)</f>
        <v>-9.2684393478463818E-3</v>
      </c>
      <c r="BJ37" s="163">
        <f t="shared" ref="BJ37:BJ68" ca="1" si="99">IF($G37="","",($AA37-$AZ37)*($X37-$AX37)*$AD37*$B$13)</f>
        <v>2.202012780623103E-2</v>
      </c>
      <c r="BK37" s="164">
        <f t="shared" ref="BK37:BK68" ca="1" si="100">IF($G37="","",-(1-$AA37-$AB37)*$U37*$X37*$AD37*$B$13)</f>
        <v>-20.13524299770361</v>
      </c>
      <c r="BL37" s="163">
        <f t="shared" ca="1" si="51"/>
        <v>0</v>
      </c>
      <c r="BM37" s="163">
        <f t="shared" si="52"/>
        <v>5.6969696969696972</v>
      </c>
      <c r="BN37" s="163">
        <f t="shared" si="53"/>
        <v>0</v>
      </c>
      <c r="BO37" s="163">
        <f t="shared" si="54"/>
        <v>0</v>
      </c>
      <c r="BP37" s="163">
        <f t="shared" ca="1" si="55"/>
        <v>0</v>
      </c>
      <c r="BQ37" s="163">
        <f t="shared" si="56"/>
        <v>147.46332889572878</v>
      </c>
      <c r="BR37" s="163">
        <f t="shared" si="57"/>
        <v>0</v>
      </c>
      <c r="BS37" s="163">
        <f t="shared" si="58"/>
        <v>0</v>
      </c>
      <c r="BT37" s="163">
        <f t="shared" si="59"/>
        <v>0</v>
      </c>
      <c r="BU37" s="164">
        <f t="shared" ca="1" si="60"/>
        <v>20.13524299770361</v>
      </c>
    </row>
    <row r="38" spans="1:73" x14ac:dyDescent="0.3">
      <c r="A38" s="242" t="s">
        <v>109</v>
      </c>
      <c r="B38" s="315">
        <f ca="1">Pricing!B23</f>
        <v>4.8329456491119513</v>
      </c>
      <c r="C38" s="150">
        <f ca="1">Reserve!B20</f>
        <v>5.3543528305965324</v>
      </c>
      <c r="F38" s="36">
        <v>34</v>
      </c>
      <c r="G38" s="363">
        <f t="shared" si="62"/>
        <v>34</v>
      </c>
      <c r="H38" s="153">
        <f t="shared" si="63"/>
        <v>68</v>
      </c>
      <c r="I38" s="323">
        <f t="shared" si="64"/>
        <v>0</v>
      </c>
      <c r="J38" s="163">
        <f t="shared" si="65"/>
        <v>0</v>
      </c>
      <c r="K38" s="327">
        <f>IF($G38="","",Reserve!N38)</f>
        <v>0</v>
      </c>
      <c r="L38" s="163">
        <f t="shared" si="41"/>
        <v>0</v>
      </c>
      <c r="M38" s="163">
        <f t="shared" si="42"/>
        <v>5.6969696969696972</v>
      </c>
      <c r="N38" s="163">
        <f t="shared" si="43"/>
        <v>0</v>
      </c>
      <c r="O38" s="163">
        <f t="shared" si="7"/>
        <v>0</v>
      </c>
      <c r="P38" s="327">
        <f t="shared" si="44"/>
        <v>5.6969696969696972</v>
      </c>
      <c r="Q38" s="218">
        <f ca="1">IF($G38="","",Reserve!$I38)</f>
        <v>13656</v>
      </c>
      <c r="R38" s="323">
        <f>IF($G38="","",Reserve!$J39+Reserve!$K39)</f>
        <v>0</v>
      </c>
      <c r="S38" s="163">
        <f ca="1">IF($G38="","",Change!$G39)</f>
        <v>13808</v>
      </c>
      <c r="T38" s="163">
        <f t="shared" si="61"/>
        <v>0</v>
      </c>
      <c r="U38" s="331">
        <f t="shared" si="66"/>
        <v>7.566183280080229E-4</v>
      </c>
      <c r="V38" s="323">
        <f ca="1">IF($G38="","",Reserve!$Q39-$R38)</f>
        <v>13808</v>
      </c>
      <c r="W38" s="163">
        <f>IF($G38="","",Reserve!$S39)</f>
        <v>0</v>
      </c>
      <c r="X38" s="327">
        <f t="shared" ca="1" si="67"/>
        <v>13808</v>
      </c>
      <c r="Y38" s="334">
        <f t="shared" si="68"/>
        <v>2.5999999999999999E-2</v>
      </c>
      <c r="Z38" s="220">
        <f>IF($G38="","",VLOOKUP(H38,Life!$A$3:$Q$113,$B$6+1,FALSE))</f>
        <v>2.8992E-2</v>
      </c>
      <c r="AA38" s="220">
        <f t="shared" si="69"/>
        <v>2.6092799999999999E-2</v>
      </c>
      <c r="AB38" s="220">
        <f t="shared" si="70"/>
        <v>1.4608608E-2</v>
      </c>
      <c r="AC38" s="331">
        <f>IF($G38="","",HLOOKUP($G38,AssetShare_Table!$B$84:$G$85,2)*$D$11)</f>
        <v>1.4999999999999999E-2</v>
      </c>
      <c r="AD38" s="334">
        <f t="shared" si="71"/>
        <v>0.37709170197562986</v>
      </c>
      <c r="AE38" s="220">
        <f t="shared" si="72"/>
        <v>9.8393783613097141E-3</v>
      </c>
      <c r="AF38" s="220">
        <f t="shared" si="73"/>
        <v>5.5087848542148023E-3</v>
      </c>
      <c r="AG38" s="331">
        <f t="shared" si="74"/>
        <v>0.36174353876010534</v>
      </c>
      <c r="AH38" s="323">
        <f t="shared" ca="1" si="75"/>
        <v>55406.058305991181</v>
      </c>
      <c r="AI38" s="163">
        <f t="shared" si="76"/>
        <v>0</v>
      </c>
      <c r="AJ38" s="163">
        <f t="shared" si="77"/>
        <v>141.78647994283682</v>
      </c>
      <c r="AK38" s="163">
        <f t="shared" ca="1" si="78"/>
        <v>6991.8083203534025</v>
      </c>
      <c r="AL38" s="163">
        <f t="shared" si="79"/>
        <v>0</v>
      </c>
      <c r="AM38" s="163">
        <f t="shared" ca="1" si="80"/>
        <v>294.07503657768268</v>
      </c>
      <c r="AN38" s="163">
        <f t="shared" si="46"/>
        <v>0</v>
      </c>
      <c r="AO38" s="163">
        <f t="shared" ca="1" si="47"/>
        <v>14.611001603135993</v>
      </c>
      <c r="AP38" s="163">
        <f t="shared" ca="1" si="81"/>
        <v>1349.942652555585</v>
      </c>
      <c r="AQ38" s="163">
        <f t="shared" ca="1" si="82"/>
        <v>49443.791018579119</v>
      </c>
      <c r="AR38" s="327">
        <f t="shared" ca="1" si="83"/>
        <v>19310.927401934496</v>
      </c>
      <c r="AS38" s="323">
        <f t="shared" ca="1" si="84"/>
        <v>30132.863616644623</v>
      </c>
      <c r="AT38" s="163">
        <f t="shared" ca="1" si="85"/>
        <v>814.16468291237834</v>
      </c>
      <c r="AU38" s="163">
        <f t="shared" ca="1" si="86"/>
        <v>51.878510635338898</v>
      </c>
      <c r="AV38" s="163">
        <f t="shared" ca="1" si="87"/>
        <v>0</v>
      </c>
      <c r="AW38" s="327">
        <f t="shared" ca="1" si="88"/>
        <v>0</v>
      </c>
      <c r="AX38" s="323">
        <f ca="1">IF($G38="","",Reserve!$P39-$R38)</f>
        <v>13807.906162361685</v>
      </c>
      <c r="AY38" s="220">
        <f t="shared" si="89"/>
        <v>2.2499999999999999E-2</v>
      </c>
      <c r="AZ38" s="331">
        <f>IF($G38="","",VLOOKUP($H38,Life!$A$3:$R$113,18,FALSE))</f>
        <v>2.8992024261588246E-2</v>
      </c>
      <c r="BA38" s="162">
        <f t="shared" ca="1" si="90"/>
        <v>77.87455220098046</v>
      </c>
      <c r="BB38" s="163">
        <f t="shared" ca="1" si="91"/>
        <v>4.9452442692312575E-2</v>
      </c>
      <c r="BC38" s="163">
        <f t="shared" si="92"/>
        <v>-144.97667574155068</v>
      </c>
      <c r="BD38" s="163">
        <f t="shared" ca="1" si="93"/>
        <v>-1.9985013702016967E-3</v>
      </c>
      <c r="BE38" s="163">
        <f t="shared" ca="1" si="94"/>
        <v>-0.75021658830216897</v>
      </c>
      <c r="BF38" s="163">
        <f t="shared" ca="1" si="95"/>
        <v>1.3433794028291171</v>
      </c>
      <c r="BG38" s="163">
        <f t="shared" si="96"/>
        <v>-0.49625267979992888</v>
      </c>
      <c r="BH38" s="163">
        <f t="shared" ca="1" si="97"/>
        <v>-2.1301963101133603E-3</v>
      </c>
      <c r="BI38" s="163">
        <f t="shared" ca="1" si="98"/>
        <v>1.9985013702016967E-3</v>
      </c>
      <c r="BJ38" s="163">
        <f t="shared" ca="1" si="99"/>
        <v>-5.3384726896329605E-3</v>
      </c>
      <c r="BK38" s="164">
        <f t="shared" ca="1" si="100"/>
        <v>-14.611001603135991</v>
      </c>
      <c r="BL38" s="163">
        <f t="shared" ca="1" si="51"/>
        <v>0</v>
      </c>
      <c r="BM38" s="163">
        <f t="shared" si="52"/>
        <v>5.6969696969696972</v>
      </c>
      <c r="BN38" s="163">
        <f t="shared" si="53"/>
        <v>0</v>
      </c>
      <c r="BO38" s="163">
        <f t="shared" si="54"/>
        <v>0</v>
      </c>
      <c r="BP38" s="163">
        <f t="shared" ca="1" si="55"/>
        <v>0</v>
      </c>
      <c r="BQ38" s="163">
        <f t="shared" si="56"/>
        <v>141.78647994283682</v>
      </c>
      <c r="BR38" s="163">
        <f t="shared" si="57"/>
        <v>0</v>
      </c>
      <c r="BS38" s="163">
        <f t="shared" si="58"/>
        <v>0</v>
      </c>
      <c r="BT38" s="163">
        <f t="shared" si="59"/>
        <v>0</v>
      </c>
      <c r="BU38" s="164">
        <f t="shared" ca="1" si="60"/>
        <v>14.611001603135993</v>
      </c>
    </row>
    <row r="39" spans="1:73" x14ac:dyDescent="0.3">
      <c r="A39" s="242" t="s">
        <v>110</v>
      </c>
      <c r="B39" s="315">
        <f ca="1">Pricing!B24</f>
        <v>433.52112333941</v>
      </c>
      <c r="C39" s="150">
        <f ca="1">Reserve!B21</f>
        <v>434.69252384829758</v>
      </c>
      <c r="F39" s="320">
        <v>35</v>
      </c>
      <c r="G39" s="367">
        <f t="shared" si="62"/>
        <v>35</v>
      </c>
      <c r="H39" s="155">
        <f t="shared" si="63"/>
        <v>69</v>
      </c>
      <c r="I39" s="324">
        <f t="shared" si="64"/>
        <v>0</v>
      </c>
      <c r="J39" s="166">
        <f t="shared" si="65"/>
        <v>0</v>
      </c>
      <c r="K39" s="328">
        <f>IF($G39="","",Reserve!N39)</f>
        <v>0</v>
      </c>
      <c r="L39" s="166">
        <f t="shared" si="41"/>
        <v>0</v>
      </c>
      <c r="M39" s="166">
        <f t="shared" si="42"/>
        <v>5.6969696969696972</v>
      </c>
      <c r="N39" s="166">
        <f t="shared" si="43"/>
        <v>0</v>
      </c>
      <c r="O39" s="166">
        <f t="shared" si="7"/>
        <v>0</v>
      </c>
      <c r="P39" s="328">
        <f t="shared" si="44"/>
        <v>5.6969696969696972</v>
      </c>
      <c r="Q39" s="330">
        <f ca="1">IF($G39="","",Reserve!$I39)</f>
        <v>13963</v>
      </c>
      <c r="R39" s="324">
        <f>IF($G39="","",Reserve!$J40+Reserve!$K40)</f>
        <v>0</v>
      </c>
      <c r="S39" s="166">
        <f ca="1">IF($G39="","",Change!$G40)</f>
        <v>14118</v>
      </c>
      <c r="T39" s="163">
        <f t="shared" si="61"/>
        <v>0</v>
      </c>
      <c r="U39" s="332">
        <f t="shared" si="66"/>
        <v>7.4246304504746127E-4</v>
      </c>
      <c r="V39" s="324">
        <f ca="1">IF($G39="","",Reserve!$Q40-$R39)</f>
        <v>14118</v>
      </c>
      <c r="W39" s="166">
        <f>IF($G39="","",Reserve!$S40)</f>
        <v>0</v>
      </c>
      <c r="X39" s="328">
        <f t="shared" ca="1" si="67"/>
        <v>14118</v>
      </c>
      <c r="Y39" s="335">
        <f t="shared" si="68"/>
        <v>2.5999999999999999E-2</v>
      </c>
      <c r="Z39" s="235">
        <f>IF($G39="","",VLOOKUP(H39,Life!$A$3:$Q$113,$B$6+1,FALSE))</f>
        <v>3.1715E-2</v>
      </c>
      <c r="AA39" s="235">
        <f t="shared" si="69"/>
        <v>2.8543499999999999E-2</v>
      </c>
      <c r="AB39" s="235">
        <f t="shared" si="70"/>
        <v>1.45718475E-2</v>
      </c>
      <c r="AC39" s="332">
        <f>IF($G39="","",HLOOKUP($G39,AssetShare_Table!$B$84:$G$85,2)*$D$11)</f>
        <v>1.4999999999999999E-2</v>
      </c>
      <c r="AD39" s="335">
        <f t="shared" si="71"/>
        <v>0.36174353876010534</v>
      </c>
      <c r="AE39" s="235">
        <f t="shared" si="72"/>
        <v>1.0325426698599066E-2</v>
      </c>
      <c r="AF39" s="235">
        <f t="shared" si="73"/>
        <v>5.2712716809225945E-3</v>
      </c>
      <c r="AG39" s="332">
        <f t="shared" si="74"/>
        <v>0.34614684038058369</v>
      </c>
      <c r="AH39" s="324">
        <f t="shared" ca="1" si="75"/>
        <v>49443.791018579119</v>
      </c>
      <c r="AI39" s="166">
        <f t="shared" si="76"/>
        <v>0</v>
      </c>
      <c r="AJ39" s="166">
        <f t="shared" si="77"/>
        <v>136.01557057379961</v>
      </c>
      <c r="AK39" s="166">
        <f t="shared" ca="1" si="78"/>
        <v>5638.1956705527846</v>
      </c>
      <c r="AL39" s="166">
        <f t="shared" si="79"/>
        <v>0</v>
      </c>
      <c r="AM39" s="166">
        <f t="shared" ca="1" si="80"/>
        <v>210.65532455597693</v>
      </c>
      <c r="AN39" s="163">
        <f t="shared" si="46"/>
        <v>0</v>
      </c>
      <c r="AO39" s="166">
        <f t="shared" ca="1" si="47"/>
        <v>10.270515787960834</v>
      </c>
      <c r="AP39" s="166">
        <f t="shared" ca="1" si="81"/>
        <v>1212.4918387020425</v>
      </c>
      <c r="AQ39" s="166">
        <f t="shared" ca="1" si="82"/>
        <v>44788.679927591307</v>
      </c>
      <c r="AR39" s="328">
        <f t="shared" ca="1" si="83"/>
        <v>13833.032979175818</v>
      </c>
      <c r="AS39" s="324">
        <f t="shared" ca="1" si="84"/>
        <v>30955.646948415488</v>
      </c>
      <c r="AT39" s="166">
        <f t="shared" ca="1" si="85"/>
        <v>822.78333177086461</v>
      </c>
      <c r="AU39" s="166">
        <f t="shared" ca="1" si="86"/>
        <v>39.328877738102165</v>
      </c>
      <c r="AV39" s="166">
        <f t="shared" ca="1" si="87"/>
        <v>0</v>
      </c>
      <c r="AW39" s="328">
        <f t="shared" ca="1" si="88"/>
        <v>0</v>
      </c>
      <c r="AX39" s="324">
        <f ca="1">IF($G39="","",Reserve!$P40-$R39)</f>
        <v>14118.288410367728</v>
      </c>
      <c r="AY39" s="235">
        <f t="shared" si="89"/>
        <v>2.2499999999999999E-2</v>
      </c>
      <c r="AZ39" s="332">
        <f>IF($G39="","",VLOOKUP($H39,Life!$A$3:$R$113,18,FALSE))</f>
        <v>3.1714982785065869E-2</v>
      </c>
      <c r="BA39" s="165">
        <f t="shared" ca="1" si="90"/>
        <v>56.755172734868708</v>
      </c>
      <c r="BB39" s="166">
        <f t="shared" ca="1" si="91"/>
        <v>4.1346633987780303E-2</v>
      </c>
      <c r="BC39" s="166">
        <f t="shared" si="92"/>
        <v>-139.07592091171011</v>
      </c>
      <c r="BD39" s="166">
        <f t="shared" ca="1" si="93"/>
        <v>4.3033843050739214E-3</v>
      </c>
      <c r="BE39" s="166">
        <f t="shared" ca="1" si="94"/>
        <v>0.40814000926471428</v>
      </c>
      <c r="BF39" s="166">
        <f t="shared" ca="1" si="95"/>
        <v>1.083270520660351</v>
      </c>
      <c r="BG39" s="166">
        <f t="shared" si="96"/>
        <v>-0.4760544970082986</v>
      </c>
      <c r="BH39" s="166">
        <f t="shared" ca="1" si="97"/>
        <v>4.5932223158468997E-4</v>
      </c>
      <c r="BI39" s="166">
        <f t="shared" ca="1" si="98"/>
        <v>-4.3033843050739214E-3</v>
      </c>
      <c r="BJ39" s="166">
        <f t="shared" ca="1" si="99"/>
        <v>1.293998682459835E-2</v>
      </c>
      <c r="BK39" s="167">
        <f t="shared" ca="1" si="100"/>
        <v>-10.270515787960832</v>
      </c>
      <c r="BL39" s="166">
        <f t="shared" ca="1" si="51"/>
        <v>0</v>
      </c>
      <c r="BM39" s="163">
        <f t="shared" si="52"/>
        <v>5.6969696969696972</v>
      </c>
      <c r="BN39" s="166">
        <f t="shared" si="53"/>
        <v>0</v>
      </c>
      <c r="BO39" s="166">
        <f t="shared" si="54"/>
        <v>0</v>
      </c>
      <c r="BP39" s="166">
        <f t="shared" ca="1" si="55"/>
        <v>0</v>
      </c>
      <c r="BQ39" s="166">
        <f t="shared" si="56"/>
        <v>136.01557057379961</v>
      </c>
      <c r="BR39" s="166">
        <f t="shared" si="57"/>
        <v>0</v>
      </c>
      <c r="BS39" s="166">
        <f t="shared" si="58"/>
        <v>0</v>
      </c>
      <c r="BT39" s="166">
        <f t="shared" si="59"/>
        <v>0</v>
      </c>
      <c r="BU39" s="167">
        <f t="shared" ca="1" si="60"/>
        <v>10.270515787960834</v>
      </c>
    </row>
    <row r="40" spans="1:73" ht="15" thickBot="1" x14ac:dyDescent="0.35">
      <c r="A40" s="243" t="s">
        <v>111</v>
      </c>
      <c r="B40" s="316">
        <f ca="1">Pricing!B25</f>
        <v>0</v>
      </c>
      <c r="C40" s="151">
        <f ca="1">Reserve!B22</f>
        <v>0</v>
      </c>
      <c r="F40" s="36">
        <v>36</v>
      </c>
      <c r="G40" s="363">
        <f t="shared" si="62"/>
        <v>36</v>
      </c>
      <c r="H40" s="153">
        <f t="shared" si="63"/>
        <v>70</v>
      </c>
      <c r="I40" s="323">
        <f t="shared" si="64"/>
        <v>0</v>
      </c>
      <c r="J40" s="163">
        <f t="shared" si="65"/>
        <v>0</v>
      </c>
      <c r="K40" s="327">
        <f>IF($G40="","",Reserve!N40)</f>
        <v>0</v>
      </c>
      <c r="L40" s="163">
        <f t="shared" si="41"/>
        <v>0</v>
      </c>
      <c r="M40" s="163">
        <f t="shared" si="42"/>
        <v>5.6969696969696972</v>
      </c>
      <c r="N40" s="163">
        <f t="shared" si="43"/>
        <v>0</v>
      </c>
      <c r="O40" s="163">
        <f t="shared" si="7"/>
        <v>0</v>
      </c>
      <c r="P40" s="327">
        <f t="shared" si="44"/>
        <v>5.6969696969696972</v>
      </c>
      <c r="Q40" s="218">
        <f ca="1">IF($G40="","",Reserve!$I40)</f>
        <v>14276.5</v>
      </c>
      <c r="R40" s="323">
        <f>IF($G40="","",Reserve!$J41+Reserve!$K41)</f>
        <v>0</v>
      </c>
      <c r="S40" s="163">
        <f ca="1">IF($G40="","",Change!$G41)</f>
        <v>14435</v>
      </c>
      <c r="T40" s="163">
        <f t="shared" si="61"/>
        <v>0</v>
      </c>
      <c r="U40" s="331">
        <f t="shared" si="66"/>
        <v>7.2929863189413909E-4</v>
      </c>
      <c r="V40" s="323">
        <f ca="1">IF($G40="","",Reserve!$Q41-$R40)</f>
        <v>14436</v>
      </c>
      <c r="W40" s="163">
        <f>IF($G40="","",Reserve!$S41)</f>
        <v>0</v>
      </c>
      <c r="X40" s="327">
        <f t="shared" ca="1" si="67"/>
        <v>14436</v>
      </c>
      <c r="Y40" s="334">
        <f t="shared" si="68"/>
        <v>2.5999999999999999E-2</v>
      </c>
      <c r="Z40" s="220">
        <f>IF($G40="","",VLOOKUP(H40,Life!$A$3:$Q$113,$B$6+1,FALSE))</f>
        <v>3.4698E-2</v>
      </c>
      <c r="AA40" s="220">
        <f t="shared" si="69"/>
        <v>3.1228200000000001E-2</v>
      </c>
      <c r="AB40" s="220">
        <f t="shared" si="70"/>
        <v>1.4531576999999999E-2</v>
      </c>
      <c r="AC40" s="331">
        <f>IF($G40="","",HLOOKUP($G40,AssetShare_Table!$B$84:$G$85,2)*$D$11)</f>
        <v>1.4999999999999999E-2</v>
      </c>
      <c r="AD40" s="334">
        <f t="shared" si="71"/>
        <v>0.34614684038058369</v>
      </c>
      <c r="AE40" s="220">
        <f t="shared" si="72"/>
        <v>1.0809542760772943E-2</v>
      </c>
      <c r="AF40" s="220">
        <f t="shared" si="73"/>
        <v>5.0300594642971605E-3</v>
      </c>
      <c r="AG40" s="331">
        <f t="shared" si="74"/>
        <v>0.33030723815551355</v>
      </c>
      <c r="AH40" s="323">
        <f t="shared" ca="1" si="75"/>
        <v>44788.679927591307</v>
      </c>
      <c r="AI40" s="163">
        <f t="shared" si="76"/>
        <v>0</v>
      </c>
      <c r="AJ40" s="163">
        <f t="shared" si="77"/>
        <v>130.15121198309947</v>
      </c>
      <c r="AK40" s="163">
        <f t="shared" ca="1" si="78"/>
        <v>4390.852622942889</v>
      </c>
      <c r="AL40" s="163">
        <f t="shared" si="79"/>
        <v>0</v>
      </c>
      <c r="AM40" s="163">
        <f t="shared" ca="1" si="80"/>
        <v>145.56050800403239</v>
      </c>
      <c r="AN40" s="163">
        <f t="shared" si="46"/>
        <v>0</v>
      </c>
      <c r="AO40" s="163">
        <f t="shared" ca="1" si="47"/>
        <v>6.9714644658366556</v>
      </c>
      <c r="AP40" s="163">
        <f t="shared" ca="1" si="81"/>
        <v>1107.6363799400094</v>
      </c>
      <c r="AQ40" s="163">
        <f t="shared" ca="1" si="82"/>
        <v>41346.989606181764</v>
      </c>
      <c r="AR40" s="327">
        <f t="shared" ca="1" si="83"/>
        <v>9559.1355323543175</v>
      </c>
      <c r="AS40" s="323">
        <f t="shared" ca="1" si="84"/>
        <v>31787.854073827446</v>
      </c>
      <c r="AT40" s="163">
        <f t="shared" ca="1" si="85"/>
        <v>832.20712541195826</v>
      </c>
      <c r="AU40" s="163">
        <f t="shared" ca="1" si="86"/>
        <v>27.360304753154196</v>
      </c>
      <c r="AV40" s="163">
        <f t="shared" ca="1" si="87"/>
        <v>0</v>
      </c>
      <c r="AW40" s="327">
        <f t="shared" ca="1" si="88"/>
        <v>0</v>
      </c>
      <c r="AX40" s="323">
        <f ca="1">IF($G40="","",Reserve!$P41-$R40)</f>
        <v>14435.806737820087</v>
      </c>
      <c r="AY40" s="220">
        <f t="shared" si="89"/>
        <v>2.2499999999999999E-2</v>
      </c>
      <c r="AZ40" s="331">
        <f>IF($G40="","",VLOOKUP($H40,Life!$A$3:$R$113,18,FALSE))</f>
        <v>3.4697949038527687E-2</v>
      </c>
      <c r="BA40" s="162">
        <f t="shared" ca="1" si="90"/>
        <v>39.980514120546466</v>
      </c>
      <c r="BB40" s="163">
        <f t="shared" ca="1" si="91"/>
        <v>1.4027109586217315E-2</v>
      </c>
      <c r="BC40" s="163">
        <f t="shared" si="92"/>
        <v>-133.07961425271918</v>
      </c>
      <c r="BD40" s="163">
        <f t="shared" ca="1" si="93"/>
        <v>8.135030614332326E-3</v>
      </c>
      <c r="BE40" s="163">
        <f t="shared" ca="1" si="94"/>
        <v>-0.41226474261343254</v>
      </c>
      <c r="BF40" s="163">
        <f t="shared" ca="1" si="95"/>
        <v>0.84360294276501357</v>
      </c>
      <c r="BG40" s="163">
        <f t="shared" si="96"/>
        <v>-0.4555292419408481</v>
      </c>
      <c r="BH40" s="163">
        <f t="shared" ca="1" si="97"/>
        <v>-9.8906115944948948E-4</v>
      </c>
      <c r="BI40" s="163">
        <f t="shared" ca="1" si="98"/>
        <v>1.9488286169826977E-3</v>
      </c>
      <c r="BJ40" s="163">
        <f t="shared" ca="1" si="99"/>
        <v>-6.6043181960148186E-3</v>
      </c>
      <c r="BK40" s="164">
        <f t="shared" ca="1" si="100"/>
        <v>-6.9714644658366547</v>
      </c>
      <c r="BL40" s="163">
        <f t="shared" ca="1" si="51"/>
        <v>0</v>
      </c>
      <c r="BM40" s="163">
        <f t="shared" si="52"/>
        <v>5.6969696969696972</v>
      </c>
      <c r="BN40" s="163">
        <f t="shared" si="53"/>
        <v>0</v>
      </c>
      <c r="BO40" s="163">
        <f t="shared" si="54"/>
        <v>0</v>
      </c>
      <c r="BP40" s="163">
        <f t="shared" ca="1" si="55"/>
        <v>0</v>
      </c>
      <c r="BQ40" s="163">
        <f t="shared" si="56"/>
        <v>130.15121198309947</v>
      </c>
      <c r="BR40" s="163">
        <f t="shared" si="57"/>
        <v>0</v>
      </c>
      <c r="BS40" s="163">
        <f t="shared" si="58"/>
        <v>0</v>
      </c>
      <c r="BT40" s="163">
        <f t="shared" si="59"/>
        <v>0</v>
      </c>
      <c r="BU40" s="164">
        <f t="shared" ca="1" si="60"/>
        <v>6.9714644658366556</v>
      </c>
    </row>
    <row r="41" spans="1:73" x14ac:dyDescent="0.3">
      <c r="F41" s="36">
        <v>37</v>
      </c>
      <c r="G41" s="363">
        <f t="shared" si="62"/>
        <v>37</v>
      </c>
      <c r="H41" s="153">
        <f t="shared" si="63"/>
        <v>71</v>
      </c>
      <c r="I41" s="323">
        <f t="shared" si="64"/>
        <v>0</v>
      </c>
      <c r="J41" s="163">
        <f t="shared" si="65"/>
        <v>0</v>
      </c>
      <c r="K41" s="327">
        <f>IF($G41="","",Reserve!N41)</f>
        <v>0</v>
      </c>
      <c r="L41" s="163">
        <f t="shared" si="41"/>
        <v>0</v>
      </c>
      <c r="M41" s="163">
        <f t="shared" si="42"/>
        <v>5.6969696969696972</v>
      </c>
      <c r="N41" s="163">
        <f t="shared" si="43"/>
        <v>0</v>
      </c>
      <c r="O41" s="163">
        <f t="shared" si="7"/>
        <v>0</v>
      </c>
      <c r="P41" s="327">
        <f t="shared" si="44"/>
        <v>5.6969696969696972</v>
      </c>
      <c r="Q41" s="218">
        <f ca="1">IF($G41="","",Reserve!$I41)</f>
        <v>14597.5</v>
      </c>
      <c r="R41" s="323">
        <f>IF($G41="","",Reserve!$J42+Reserve!$K42)</f>
        <v>0</v>
      </c>
      <c r="S41" s="163">
        <f ca="1">IF($G41="","",Change!$G42)</f>
        <v>14760</v>
      </c>
      <c r="T41" s="163">
        <f t="shared" si="61"/>
        <v>0</v>
      </c>
      <c r="U41" s="331">
        <f t="shared" si="66"/>
        <v>7.1705572766154926E-4</v>
      </c>
      <c r="V41" s="323">
        <f ca="1">IF($G41="","",Reserve!$Q42-$R41)</f>
        <v>14760</v>
      </c>
      <c r="W41" s="163">
        <f>IF($G41="","",Reserve!$S42)</f>
        <v>0</v>
      </c>
      <c r="X41" s="327">
        <f t="shared" ca="1" si="67"/>
        <v>14760</v>
      </c>
      <c r="Y41" s="334">
        <f t="shared" si="68"/>
        <v>2.5999999999999999E-2</v>
      </c>
      <c r="Z41" s="220">
        <f>IF($G41="","",VLOOKUP(H41,Life!$A$3:$Q$113,$B$6+1,FALSE))</f>
        <v>3.7962999999999997E-2</v>
      </c>
      <c r="AA41" s="220">
        <f t="shared" si="69"/>
        <v>3.4166700000000001E-2</v>
      </c>
      <c r="AB41" s="220">
        <f t="shared" si="70"/>
        <v>1.4487499500000001E-2</v>
      </c>
      <c r="AC41" s="331">
        <f>IF($G41="","",HLOOKUP($G41,AssetShare_Table!$B$84:$G$85,2)*$D$11)</f>
        <v>1.4999999999999999E-2</v>
      </c>
      <c r="AD41" s="334">
        <f t="shared" si="71"/>
        <v>0.33030723815551355</v>
      </c>
      <c r="AE41" s="220">
        <f t="shared" si="72"/>
        <v>1.1285508313887985E-2</v>
      </c>
      <c r="AF41" s="220">
        <f t="shared" si="73"/>
        <v>4.7853259476243835E-3</v>
      </c>
      <c r="AG41" s="331">
        <f t="shared" si="74"/>
        <v>0.3142364038940012</v>
      </c>
      <c r="AH41" s="323">
        <f t="shared" ca="1" si="75"/>
        <v>41346.989606181764</v>
      </c>
      <c r="AI41" s="163">
        <f t="shared" si="76"/>
        <v>0</v>
      </c>
      <c r="AJ41" s="163">
        <f t="shared" si="77"/>
        <v>124.1955215464731</v>
      </c>
      <c r="AK41" s="163">
        <f t="shared" ca="1" si="78"/>
        <v>3291.1743695322152</v>
      </c>
      <c r="AL41" s="163">
        <f t="shared" si="79"/>
        <v>0</v>
      </c>
      <c r="AM41" s="163">
        <f t="shared" ca="1" si="80"/>
        <v>96.688017850577637</v>
      </c>
      <c r="AN41" s="163">
        <f t="shared" si="46"/>
        <v>0</v>
      </c>
      <c r="AO41" s="163">
        <f t="shared" ca="1" si="47"/>
        <v>4.5527157694039229</v>
      </c>
      <c r="AP41" s="163">
        <f t="shared" ca="1" si="81"/>
        <v>1032.4065997402172</v>
      </c>
      <c r="AQ41" s="163">
        <f t="shared" ca="1" si="82"/>
        <v>38982.965341366653</v>
      </c>
      <c r="AR41" s="327">
        <f t="shared" ca="1" si="83"/>
        <v>6349.1798388545985</v>
      </c>
      <c r="AS41" s="323">
        <f t="shared" ca="1" si="84"/>
        <v>32633.785502512055</v>
      </c>
      <c r="AT41" s="163">
        <f t="shared" ca="1" si="85"/>
        <v>845.93142868460927</v>
      </c>
      <c r="AU41" s="163">
        <f t="shared" ca="1" si="86"/>
        <v>19.447222765094921</v>
      </c>
      <c r="AV41" s="163">
        <f t="shared" ca="1" si="87"/>
        <v>0</v>
      </c>
      <c r="AW41" s="327">
        <f t="shared" ca="1" si="88"/>
        <v>0</v>
      </c>
      <c r="AX41" s="323">
        <f ca="1">IF($G41="","",Reserve!$P42-$R41)</f>
        <v>14760.493125298179</v>
      </c>
      <c r="AY41" s="220">
        <f t="shared" si="89"/>
        <v>2.2499999999999999E-2</v>
      </c>
      <c r="AZ41" s="331">
        <f>IF($G41="","",VLOOKUP($H41,Life!$A$3:$R$113,18,FALSE))</f>
        <v>3.7962956077270689E-2</v>
      </c>
      <c r="BA41" s="162">
        <f t="shared" ca="1" si="90"/>
        <v>27.133277941683691</v>
      </c>
      <c r="BB41" s="163">
        <f t="shared" ca="1" si="91"/>
        <v>7.8968045137675306E-3</v>
      </c>
      <c r="BC41" s="163">
        <f t="shared" si="92"/>
        <v>-126.98992078126874</v>
      </c>
      <c r="BD41" s="163">
        <f t="shared" ca="1" si="93"/>
        <v>3.2303053951812087E-3</v>
      </c>
      <c r="BE41" s="163">
        <f t="shared" ca="1" si="94"/>
        <v>0.33385370090845862</v>
      </c>
      <c r="BF41" s="163">
        <f t="shared" ca="1" si="95"/>
        <v>0.63228091566723321</v>
      </c>
      <c r="BG41" s="163">
        <f t="shared" si="96"/>
        <v>-0.43468432541265578</v>
      </c>
      <c r="BH41" s="163">
        <f t="shared" ca="1" si="97"/>
        <v>4.4790577713652328E-4</v>
      </c>
      <c r="BI41" s="163">
        <f t="shared" ca="1" si="98"/>
        <v>-3.2303053951812087E-3</v>
      </c>
      <c r="BJ41" s="163">
        <f t="shared" ca="1" si="99"/>
        <v>1.2352465567077699E-2</v>
      </c>
      <c r="BK41" s="164">
        <f t="shared" ca="1" si="100"/>
        <v>-4.5527157694039229</v>
      </c>
      <c r="BL41" s="163">
        <f t="shared" ca="1" si="51"/>
        <v>0</v>
      </c>
      <c r="BM41" s="163">
        <f t="shared" si="52"/>
        <v>5.6969696969696972</v>
      </c>
      <c r="BN41" s="163">
        <f t="shared" si="53"/>
        <v>0</v>
      </c>
      <c r="BO41" s="163">
        <f t="shared" si="54"/>
        <v>0</v>
      </c>
      <c r="BP41" s="163">
        <f t="shared" ca="1" si="55"/>
        <v>0</v>
      </c>
      <c r="BQ41" s="163">
        <f t="shared" si="56"/>
        <v>124.1955215464731</v>
      </c>
      <c r="BR41" s="163">
        <f t="shared" si="57"/>
        <v>0</v>
      </c>
      <c r="BS41" s="163">
        <f t="shared" si="58"/>
        <v>0</v>
      </c>
      <c r="BT41" s="163">
        <f t="shared" si="59"/>
        <v>0</v>
      </c>
      <c r="BU41" s="164">
        <f t="shared" ca="1" si="60"/>
        <v>4.5527157694039229</v>
      </c>
    </row>
    <row r="42" spans="1:73" ht="15" thickBot="1" x14ac:dyDescent="0.35">
      <c r="A42" s="35" t="s">
        <v>254</v>
      </c>
      <c r="F42" s="36">
        <v>38</v>
      </c>
      <c r="G42" s="363">
        <f t="shared" si="62"/>
        <v>38</v>
      </c>
      <c r="H42" s="153">
        <f t="shared" si="63"/>
        <v>72</v>
      </c>
      <c r="I42" s="323">
        <f t="shared" si="64"/>
        <v>0</v>
      </c>
      <c r="J42" s="163">
        <f t="shared" si="65"/>
        <v>0</v>
      </c>
      <c r="K42" s="327">
        <f>IF($G42="","",Reserve!N42)</f>
        <v>0</v>
      </c>
      <c r="L42" s="163">
        <f t="shared" si="41"/>
        <v>0</v>
      </c>
      <c r="M42" s="163">
        <f t="shared" si="42"/>
        <v>5.6969696969696972</v>
      </c>
      <c r="N42" s="163">
        <f t="shared" si="43"/>
        <v>0</v>
      </c>
      <c r="O42" s="163">
        <f t="shared" si="7"/>
        <v>0</v>
      </c>
      <c r="P42" s="327">
        <f t="shared" si="44"/>
        <v>5.6969696969696972</v>
      </c>
      <c r="Q42" s="218">
        <f ca="1">IF($G42="","",Reserve!$I42)</f>
        <v>14926</v>
      </c>
      <c r="R42" s="323">
        <f>IF($G42="","",Reserve!$J43+Reserve!$K43)</f>
        <v>0</v>
      </c>
      <c r="S42" s="163">
        <f ca="1">IF($G42="","",Change!$G43)</f>
        <v>15092</v>
      </c>
      <c r="T42" s="163">
        <f t="shared" si="61"/>
        <v>0</v>
      </c>
      <c r="U42" s="331">
        <f t="shared" si="66"/>
        <v>7.0566982672524091E-4</v>
      </c>
      <c r="V42" s="323">
        <f ca="1">IF($G42="","",Reserve!$Q43-$R42)</f>
        <v>15092</v>
      </c>
      <c r="W42" s="163">
        <f>IF($G42="","",Reserve!$S43)</f>
        <v>0</v>
      </c>
      <c r="X42" s="327">
        <f t="shared" ca="1" si="67"/>
        <v>15092</v>
      </c>
      <c r="Y42" s="334">
        <f t="shared" si="68"/>
        <v>2.5999999999999999E-2</v>
      </c>
      <c r="Z42" s="220">
        <f>IF($G42="","",VLOOKUP(H42,Life!$A$3:$Q$113,$B$6+1,FALSE))</f>
        <v>4.1535000000000002E-2</v>
      </c>
      <c r="AA42" s="220">
        <f t="shared" si="69"/>
        <v>3.7381500000000005E-2</v>
      </c>
      <c r="AB42" s="220">
        <f t="shared" si="70"/>
        <v>1.4439277499999998E-2</v>
      </c>
      <c r="AC42" s="331">
        <f>IF($G42="","",HLOOKUP($G42,AssetShare_Table!$B$84:$G$85,2)*$D$11)</f>
        <v>1.4999999999999999E-2</v>
      </c>
      <c r="AD42" s="334">
        <f t="shared" si="71"/>
        <v>0.3142364038940012</v>
      </c>
      <c r="AE42" s="220">
        <f t="shared" si="72"/>
        <v>1.1746628132163607E-2</v>
      </c>
      <c r="AF42" s="220">
        <f t="shared" si="73"/>
        <v>4.5373466364275637E-3</v>
      </c>
      <c r="AG42" s="331">
        <f t="shared" si="74"/>
        <v>0.29795242912541003</v>
      </c>
      <c r="AH42" s="323">
        <f t="shared" ca="1" si="75"/>
        <v>38982.965341366653</v>
      </c>
      <c r="AI42" s="163">
        <f t="shared" si="76"/>
        <v>0</v>
      </c>
      <c r="AJ42" s="163">
        <f t="shared" si="77"/>
        <v>118.15288786414446</v>
      </c>
      <c r="AK42" s="163">
        <f t="shared" ca="1" si="78"/>
        <v>2365.7640112701056</v>
      </c>
      <c r="AL42" s="163">
        <f t="shared" si="79"/>
        <v>0</v>
      </c>
      <c r="AM42" s="163">
        <f t="shared" ca="1" si="80"/>
        <v>61.498776533408119</v>
      </c>
      <c r="AN42" s="163">
        <f t="shared" si="46"/>
        <v>0</v>
      </c>
      <c r="AO42" s="163">
        <f t="shared" ca="1" si="47"/>
        <v>2.8497909010294835</v>
      </c>
      <c r="AP42" s="163">
        <f t="shared" ca="1" si="81"/>
        <v>982.93168975911772</v>
      </c>
      <c r="AQ42" s="163">
        <f t="shared" ca="1" si="82"/>
        <v>37533.175732669275</v>
      </c>
      <c r="AR42" s="327">
        <f t="shared" ca="1" si="83"/>
        <v>4038.4196590271331</v>
      </c>
      <c r="AS42" s="323">
        <f t="shared" ca="1" si="84"/>
        <v>33494.756073642144</v>
      </c>
      <c r="AT42" s="163">
        <f t="shared" ca="1" si="85"/>
        <v>860.9705711300885</v>
      </c>
      <c r="AU42" s="163">
        <f t="shared" ca="1" si="86"/>
        <v>12.492148064775392</v>
      </c>
      <c r="AV42" s="163">
        <f t="shared" ca="1" si="87"/>
        <v>0</v>
      </c>
      <c r="AW42" s="327">
        <f t="shared" ca="1" si="88"/>
        <v>0</v>
      </c>
      <c r="AX42" s="323">
        <f ca="1">IF($G42="","",Reserve!$P43-$R42)</f>
        <v>15092.341344262739</v>
      </c>
      <c r="AY42" s="220">
        <f t="shared" si="89"/>
        <v>2.2499999999999999E-2</v>
      </c>
      <c r="AZ42" s="331">
        <f>IF($G42="","",VLOOKUP($H42,Life!$A$3:$R$113,18,FALSE))</f>
        <v>4.1535068761582923E-2</v>
      </c>
      <c r="BA42" s="162">
        <f t="shared" ca="1" si="90"/>
        <v>17.677602227357887</v>
      </c>
      <c r="BB42" s="163">
        <f t="shared" ca="1" si="91"/>
        <v>1.1306871877745373E-2</v>
      </c>
      <c r="BC42" s="163">
        <f t="shared" si="92"/>
        <v>-120.81132784108772</v>
      </c>
      <c r="BD42" s="163">
        <f t="shared" ca="1" si="93"/>
        <v>1.3909524605842801E-3</v>
      </c>
      <c r="BE42" s="163">
        <f t="shared" ca="1" si="94"/>
        <v>-0.13017681364284603</v>
      </c>
      <c r="BF42" s="163">
        <f t="shared" ca="1" si="95"/>
        <v>0.45448476373388774</v>
      </c>
      <c r="BG42" s="163">
        <f t="shared" si="96"/>
        <v>-0.41353510752450556</v>
      </c>
      <c r="BH42" s="163">
        <f t="shared" ca="1" si="97"/>
        <v>-7.4243185665914769E-4</v>
      </c>
      <c r="BI42" s="163">
        <f t="shared" ca="1" si="98"/>
        <v>-1.3909524605842801E-3</v>
      </c>
      <c r="BJ42" s="163">
        <f t="shared" ca="1" si="99"/>
        <v>6.0108138435184437E-3</v>
      </c>
      <c r="BK42" s="164">
        <f t="shared" ca="1" si="100"/>
        <v>-2.8497909010294835</v>
      </c>
      <c r="BL42" s="163">
        <f t="shared" ca="1" si="51"/>
        <v>0</v>
      </c>
      <c r="BM42" s="163">
        <f t="shared" si="52"/>
        <v>5.6969696969696972</v>
      </c>
      <c r="BN42" s="163">
        <f t="shared" si="53"/>
        <v>0</v>
      </c>
      <c r="BO42" s="163">
        <f t="shared" si="54"/>
        <v>0</v>
      </c>
      <c r="BP42" s="163">
        <f t="shared" ca="1" si="55"/>
        <v>0</v>
      </c>
      <c r="BQ42" s="163">
        <f t="shared" si="56"/>
        <v>118.15288786414446</v>
      </c>
      <c r="BR42" s="163">
        <f t="shared" si="57"/>
        <v>0</v>
      </c>
      <c r="BS42" s="163">
        <f t="shared" si="58"/>
        <v>0</v>
      </c>
      <c r="BT42" s="163">
        <f t="shared" si="59"/>
        <v>0</v>
      </c>
      <c r="BU42" s="164">
        <f t="shared" ca="1" si="60"/>
        <v>2.8497909010294835</v>
      </c>
    </row>
    <row r="43" spans="1:73" ht="15" thickBot="1" x14ac:dyDescent="0.35">
      <c r="A43" s="364" t="s">
        <v>259</v>
      </c>
      <c r="B43" s="152" t="s">
        <v>192</v>
      </c>
      <c r="C43" s="47" t="s">
        <v>193</v>
      </c>
      <c r="F43" s="36">
        <v>39</v>
      </c>
      <c r="G43" s="363">
        <f t="shared" si="62"/>
        <v>39</v>
      </c>
      <c r="H43" s="153">
        <f t="shared" si="63"/>
        <v>73</v>
      </c>
      <c r="I43" s="323">
        <f t="shared" si="64"/>
        <v>0</v>
      </c>
      <c r="J43" s="163">
        <f t="shared" si="65"/>
        <v>0</v>
      </c>
      <c r="K43" s="327">
        <f>IF($G43="","",Reserve!N43)</f>
        <v>0</v>
      </c>
      <c r="L43" s="163">
        <f t="shared" si="41"/>
        <v>0</v>
      </c>
      <c r="M43" s="163">
        <f t="shared" si="42"/>
        <v>5.6969696969696972</v>
      </c>
      <c r="N43" s="163">
        <f t="shared" si="43"/>
        <v>0</v>
      </c>
      <c r="O43" s="163">
        <f t="shared" si="7"/>
        <v>0</v>
      </c>
      <c r="P43" s="327">
        <f t="shared" si="44"/>
        <v>5.6969696969696972</v>
      </c>
      <c r="Q43" s="218">
        <f ca="1">IF($G43="","",Reserve!$I43)</f>
        <v>15262</v>
      </c>
      <c r="R43" s="323">
        <f>IF($G43="","",Reserve!$J44+Reserve!$K44)</f>
        <v>0</v>
      </c>
      <c r="S43" s="163">
        <f ca="1">IF($G43="","",Change!$G44)</f>
        <v>15430</v>
      </c>
      <c r="T43" s="163">
        <f t="shared" si="61"/>
        <v>0</v>
      </c>
      <c r="U43" s="331">
        <f t="shared" si="66"/>
        <v>6.9508093885447403E-4</v>
      </c>
      <c r="V43" s="323">
        <f ca="1">IF($G43="","",Reserve!$Q44-$R43)</f>
        <v>15431</v>
      </c>
      <c r="W43" s="163">
        <f>IF($G43="","",Reserve!$S44)</f>
        <v>0</v>
      </c>
      <c r="X43" s="327">
        <f t="shared" ca="1" si="67"/>
        <v>15431</v>
      </c>
      <c r="Y43" s="334">
        <f t="shared" si="68"/>
        <v>2.5999999999999999E-2</v>
      </c>
      <c r="Z43" s="220">
        <f>IF($G43="","",VLOOKUP(H43,Life!$A$3:$Q$113,$B$6+1,FALSE))</f>
        <v>4.5435999999999997E-2</v>
      </c>
      <c r="AA43" s="220">
        <f t="shared" si="69"/>
        <v>4.0892399999999995E-2</v>
      </c>
      <c r="AB43" s="220">
        <f t="shared" si="70"/>
        <v>1.4386613999999999E-2</v>
      </c>
      <c r="AC43" s="331">
        <f>IF($G43="","",HLOOKUP($G43,AssetShare_Table!$B$84:$G$85,2)*$D$11)</f>
        <v>1.4999999999999999E-2</v>
      </c>
      <c r="AD43" s="334">
        <f t="shared" si="71"/>
        <v>0.29795242912541003</v>
      </c>
      <c r="AE43" s="220">
        <f t="shared" si="72"/>
        <v>1.2183989912767916E-2</v>
      </c>
      <c r="AF43" s="220">
        <f t="shared" si="73"/>
        <v>4.2865265881896313E-3</v>
      </c>
      <c r="AG43" s="331">
        <f t="shared" si="74"/>
        <v>0.28148191262445249</v>
      </c>
      <c r="AH43" s="323">
        <f t="shared" ca="1" si="75"/>
        <v>37533.175732669275</v>
      </c>
      <c r="AI43" s="163">
        <f t="shared" si="76"/>
        <v>0</v>
      </c>
      <c r="AJ43" s="163">
        <f t="shared" si="77"/>
        <v>112.03011335115418</v>
      </c>
      <c r="AK43" s="163">
        <f t="shared" ca="1" si="78"/>
        <v>1624.531382094335</v>
      </c>
      <c r="AL43" s="163">
        <f t="shared" si="79"/>
        <v>0</v>
      </c>
      <c r="AM43" s="163">
        <f t="shared" ca="1" si="80"/>
        <v>37.29675303832294</v>
      </c>
      <c r="AN43" s="163">
        <f t="shared" si="46"/>
        <v>0</v>
      </c>
      <c r="AO43" s="163">
        <f t="shared" ca="1" si="47"/>
        <v>1.702470207013393</v>
      </c>
      <c r="AP43" s="163">
        <f t="shared" ca="1" si="81"/>
        <v>954.83698552477904</v>
      </c>
      <c r="AQ43" s="163">
        <f t="shared" ca="1" si="82"/>
        <v>36822.859328521095</v>
      </c>
      <c r="AR43" s="327">
        <f t="shared" ca="1" si="83"/>
        <v>2449.3121762469041</v>
      </c>
      <c r="AS43" s="323">
        <f t="shared" ca="1" si="84"/>
        <v>34373.547152274194</v>
      </c>
      <c r="AT43" s="163">
        <f t="shared" ca="1" si="85"/>
        <v>878.7910786320499</v>
      </c>
      <c r="AU43" s="163">
        <f t="shared" ca="1" si="86"/>
        <v>7.9274207173511968</v>
      </c>
      <c r="AV43" s="163">
        <f t="shared" ca="1" si="87"/>
        <v>0</v>
      </c>
      <c r="AW43" s="327">
        <f t="shared" ca="1" si="88"/>
        <v>0</v>
      </c>
      <c r="AX43" s="323">
        <f ca="1">IF($G43="","",Reserve!$P44-$R43)</f>
        <v>15431.266831639594</v>
      </c>
      <c r="AY43" s="220">
        <f t="shared" si="89"/>
        <v>2.2499999999999999E-2</v>
      </c>
      <c r="AZ43" s="331">
        <f>IF($G43="","",VLOOKUP($H43,Life!$A$3:$R$113,18,FALSE))</f>
        <v>4.5435918098102761E-2</v>
      </c>
      <c r="BA43" s="162">
        <f t="shared" ca="1" si="90"/>
        <v>11.013576876235513</v>
      </c>
      <c r="BB43" s="163">
        <f t="shared" ca="1" si="91"/>
        <v>1.7452686141088004E-2</v>
      </c>
      <c r="BC43" s="163">
        <f t="shared" si="92"/>
        <v>-114.55079090155515</v>
      </c>
      <c r="BD43" s="163">
        <f t="shared" ca="1" si="93"/>
        <v>3.0621326508792272E-3</v>
      </c>
      <c r="BE43" s="163">
        <f t="shared" ca="1" si="94"/>
        <v>-5.3552044593355934E-2</v>
      </c>
      <c r="BF43" s="163">
        <f t="shared" ca="1" si="95"/>
        <v>0.31213667266530787</v>
      </c>
      <c r="BG43" s="163">
        <f t="shared" si="96"/>
        <v>-0.39210539672903955</v>
      </c>
      <c r="BH43" s="163">
        <f t="shared" ca="1" si="97"/>
        <v>-3.1968724052428699E-4</v>
      </c>
      <c r="BI43" s="163">
        <f t="shared" ca="1" si="98"/>
        <v>-6.4497432046296398E-4</v>
      </c>
      <c r="BJ43" s="163">
        <f t="shared" ca="1" si="99"/>
        <v>3.1559887853392049E-3</v>
      </c>
      <c r="BK43" s="164">
        <f t="shared" ca="1" si="100"/>
        <v>-1.7024702070133928</v>
      </c>
      <c r="BL43" s="163">
        <f t="shared" ca="1" si="51"/>
        <v>0</v>
      </c>
      <c r="BM43" s="163">
        <f t="shared" si="52"/>
        <v>5.6969696969696972</v>
      </c>
      <c r="BN43" s="163">
        <f t="shared" si="53"/>
        <v>0</v>
      </c>
      <c r="BO43" s="163">
        <f t="shared" si="54"/>
        <v>0</v>
      </c>
      <c r="BP43" s="163">
        <f t="shared" ca="1" si="55"/>
        <v>0</v>
      </c>
      <c r="BQ43" s="163">
        <f t="shared" si="56"/>
        <v>112.03011335115418</v>
      </c>
      <c r="BR43" s="163">
        <f t="shared" si="57"/>
        <v>0</v>
      </c>
      <c r="BS43" s="163">
        <f t="shared" si="58"/>
        <v>0</v>
      </c>
      <c r="BT43" s="163">
        <f t="shared" si="59"/>
        <v>0</v>
      </c>
      <c r="BU43" s="164">
        <f t="shared" ca="1" si="60"/>
        <v>1.702470207013393</v>
      </c>
    </row>
    <row r="44" spans="1:73" ht="15" thickTop="1" x14ac:dyDescent="0.3">
      <c r="A44" s="367" t="s">
        <v>194</v>
      </c>
      <c r="B44" s="251">
        <f>AssetShare_Table!B16</f>
        <v>3471</v>
      </c>
      <c r="C44" s="267">
        <f>AssetShare_Table!C16</f>
        <v>1.8020000000000001E-2</v>
      </c>
      <c r="F44" s="320">
        <v>40</v>
      </c>
      <c r="G44" s="367">
        <f t="shared" si="62"/>
        <v>40</v>
      </c>
      <c r="H44" s="155">
        <f t="shared" si="63"/>
        <v>74</v>
      </c>
      <c r="I44" s="324">
        <f t="shared" si="64"/>
        <v>0</v>
      </c>
      <c r="J44" s="166">
        <f t="shared" si="65"/>
        <v>0</v>
      </c>
      <c r="K44" s="328">
        <f>IF($G44="","",Reserve!N44)</f>
        <v>0</v>
      </c>
      <c r="L44" s="166">
        <f t="shared" si="41"/>
        <v>0</v>
      </c>
      <c r="M44" s="166">
        <f t="shared" si="42"/>
        <v>5.6969696969696972</v>
      </c>
      <c r="N44" s="166">
        <f t="shared" si="43"/>
        <v>0</v>
      </c>
      <c r="O44" s="166">
        <f t="shared" si="7"/>
        <v>0</v>
      </c>
      <c r="P44" s="328">
        <f t="shared" si="44"/>
        <v>5.6969696969696972</v>
      </c>
      <c r="Q44" s="330">
        <f ca="1">IF($G44="","",Reserve!$I44)</f>
        <v>15605</v>
      </c>
      <c r="R44" s="324">
        <f>IF($G44="","",Reserve!$J45+Reserve!$K45)</f>
        <v>0</v>
      </c>
      <c r="S44" s="166">
        <f ca="1">IF($G44="","",Change!$G45)</f>
        <v>15775</v>
      </c>
      <c r="T44" s="163">
        <f t="shared" si="61"/>
        <v>0</v>
      </c>
      <c r="U44" s="332">
        <f t="shared" si="66"/>
        <v>6.8523327313466087E-4</v>
      </c>
      <c r="V44" s="324">
        <f ca="1">IF($G44="","",Reserve!$Q45-$R44)</f>
        <v>15777</v>
      </c>
      <c r="W44" s="166">
        <f>IF($G44="","",Reserve!$S45)</f>
        <v>0</v>
      </c>
      <c r="X44" s="328">
        <f t="shared" ca="1" si="67"/>
        <v>15777</v>
      </c>
      <c r="Y44" s="335">
        <f t="shared" si="68"/>
        <v>2.5999999999999999E-2</v>
      </c>
      <c r="Z44" s="235">
        <f>IF($G44="","",VLOOKUP(H44,Life!$A$3:$Q$113,$B$6+1,FALSE))</f>
        <v>4.9701000000000002E-2</v>
      </c>
      <c r="AA44" s="235">
        <f t="shared" si="69"/>
        <v>4.4730900000000004E-2</v>
      </c>
      <c r="AB44" s="235">
        <f t="shared" si="70"/>
        <v>1.4329036500000001E-2</v>
      </c>
      <c r="AC44" s="332">
        <f>IF($G44="","",HLOOKUP($G44,AssetShare_Table!$B$84:$G$85,2)*$D$11)</f>
        <v>1.4999999999999999E-2</v>
      </c>
      <c r="AD44" s="335">
        <f t="shared" si="71"/>
        <v>0.28148191262445249</v>
      </c>
      <c r="AE44" s="235">
        <f t="shared" si="72"/>
        <v>1.2590939285413123E-2</v>
      </c>
      <c r="AF44" s="235">
        <f t="shared" si="73"/>
        <v>4.0333646000855908E-3</v>
      </c>
      <c r="AG44" s="332">
        <f t="shared" si="74"/>
        <v>0.26485760873895381</v>
      </c>
      <c r="AH44" s="324">
        <f t="shared" ca="1" si="75"/>
        <v>36822.859328521095</v>
      </c>
      <c r="AI44" s="166">
        <f t="shared" si="76"/>
        <v>0</v>
      </c>
      <c r="AJ44" s="166">
        <f t="shared" si="77"/>
        <v>105.83719914679415</v>
      </c>
      <c r="AK44" s="166">
        <f t="shared" ca="1" si="78"/>
        <v>1061.1839578752129</v>
      </c>
      <c r="AL44" s="166">
        <f t="shared" si="79"/>
        <v>0</v>
      </c>
      <c r="AM44" s="166">
        <f t="shared" ca="1" si="80"/>
        <v>21.467546021133984</v>
      </c>
      <c r="AN44" s="163">
        <f t="shared" si="46"/>
        <v>0</v>
      </c>
      <c r="AO44" s="166">
        <f t="shared" ca="1" si="47"/>
        <v>0.96609731399948717</v>
      </c>
      <c r="AP44" s="166">
        <f t="shared" ca="1" si="81"/>
        <v>943.66244640643322</v>
      </c>
      <c r="AQ44" s="166">
        <f t="shared" ca="1" si="82"/>
        <v>36681.941572900781</v>
      </c>
      <c r="AR44" s="328">
        <f t="shared" ca="1" si="83"/>
        <v>1409.8809148306368</v>
      </c>
      <c r="AS44" s="324">
        <f t="shared" ca="1" si="84"/>
        <v>35272.060658070142</v>
      </c>
      <c r="AT44" s="166">
        <f t="shared" ca="1" si="85"/>
        <v>898.51350579594873</v>
      </c>
      <c r="AU44" s="166">
        <f t="shared" ca="1" si="86"/>
        <v>4.8012798368217773</v>
      </c>
      <c r="AV44" s="166">
        <f t="shared" ca="1" si="87"/>
        <v>0</v>
      </c>
      <c r="AW44" s="328">
        <f t="shared" ca="1" si="88"/>
        <v>0</v>
      </c>
      <c r="AX44" s="324">
        <f ca="1">IF($G44="","",Reserve!$P45-$R44)</f>
        <v>15777.462478543323</v>
      </c>
      <c r="AY44" s="235">
        <f t="shared" si="89"/>
        <v>2.2499999999999999E-2</v>
      </c>
      <c r="AZ44" s="332">
        <f>IF($G44="","",VLOOKUP($H44,Life!$A$3:$R$113,18,FALSE))</f>
        <v>4.9700963064740464E-2</v>
      </c>
      <c r="BA44" s="165">
        <f t="shared" ca="1" si="90"/>
        <v>6.5339096985386709</v>
      </c>
      <c r="BB44" s="166">
        <f t="shared" ca="1" si="91"/>
        <v>1.5996676731666052E-2</v>
      </c>
      <c r="BC44" s="166">
        <f t="shared" si="92"/>
        <v>-108.21853612759701</v>
      </c>
      <c r="BD44" s="166">
        <f t="shared" ca="1" si="93"/>
        <v>3.3510853537135239E-3</v>
      </c>
      <c r="BE44" s="166">
        <f t="shared" ca="1" si="94"/>
        <v>-4.842655935886616E-3</v>
      </c>
      <c r="BF44" s="166">
        <f t="shared" ca="1" si="95"/>
        <v>0.2038741323076082</v>
      </c>
      <c r="BG44" s="166">
        <f t="shared" si="96"/>
        <v>-0.37043019701377944</v>
      </c>
      <c r="BH44" s="166">
        <f t="shared" ca="1" si="97"/>
        <v>-1.4823659798640453E-4</v>
      </c>
      <c r="BI44" s="166">
        <f t="shared" ca="1" si="98"/>
        <v>-6.2936795008322458E-4</v>
      </c>
      <c r="BJ44" s="166">
        <f t="shared" ca="1" si="99"/>
        <v>3.4942560058829268E-3</v>
      </c>
      <c r="BK44" s="167">
        <f t="shared" ca="1" si="100"/>
        <v>-0.96609731399948728</v>
      </c>
      <c r="BL44" s="166">
        <f t="shared" ca="1" si="51"/>
        <v>0</v>
      </c>
      <c r="BM44" s="163">
        <f t="shared" si="52"/>
        <v>5.6969696969696972</v>
      </c>
      <c r="BN44" s="166">
        <f t="shared" si="53"/>
        <v>0</v>
      </c>
      <c r="BO44" s="166">
        <f t="shared" si="54"/>
        <v>0</v>
      </c>
      <c r="BP44" s="166">
        <f t="shared" ca="1" si="55"/>
        <v>0</v>
      </c>
      <c r="BQ44" s="166">
        <f t="shared" si="56"/>
        <v>105.83719914679415</v>
      </c>
      <c r="BR44" s="166">
        <f t="shared" si="57"/>
        <v>0</v>
      </c>
      <c r="BS44" s="166">
        <f t="shared" si="58"/>
        <v>0</v>
      </c>
      <c r="BT44" s="166">
        <f t="shared" si="59"/>
        <v>0</v>
      </c>
      <c r="BU44" s="167">
        <f t="shared" ca="1" si="60"/>
        <v>0.96609731399948717</v>
      </c>
    </row>
    <row r="45" spans="1:73" x14ac:dyDescent="0.3">
      <c r="A45" s="242" t="s">
        <v>195</v>
      </c>
      <c r="B45" s="252">
        <f>AssetShare_Table!B17</f>
        <v>376</v>
      </c>
      <c r="C45" s="62">
        <f>AssetShare_Table!C17</f>
        <v>3.16E-3</v>
      </c>
      <c r="F45" s="36">
        <v>41</v>
      </c>
      <c r="G45" s="363">
        <f t="shared" si="62"/>
        <v>41</v>
      </c>
      <c r="H45" s="153">
        <f t="shared" si="63"/>
        <v>75</v>
      </c>
      <c r="I45" s="323">
        <f t="shared" si="64"/>
        <v>0</v>
      </c>
      <c r="J45" s="163">
        <f t="shared" si="65"/>
        <v>0</v>
      </c>
      <c r="K45" s="327">
        <f>IF($G45="","",Reserve!N45)</f>
        <v>0</v>
      </c>
      <c r="L45" s="163">
        <f t="shared" si="41"/>
        <v>0</v>
      </c>
      <c r="M45" s="163">
        <f t="shared" si="42"/>
        <v>5.6969696969696972</v>
      </c>
      <c r="N45" s="163">
        <f t="shared" si="43"/>
        <v>0</v>
      </c>
      <c r="O45" s="163">
        <f t="shared" si="7"/>
        <v>0</v>
      </c>
      <c r="P45" s="327">
        <f t="shared" si="44"/>
        <v>5.6969696969696972</v>
      </c>
      <c r="Q45" s="218">
        <f ca="1">IF($G45="","",Reserve!$I45)</f>
        <v>15956</v>
      </c>
      <c r="R45" s="323">
        <f>IF($G45="","",Reserve!$J46+Reserve!$K46)</f>
        <v>0</v>
      </c>
      <c r="S45" s="163">
        <f ca="1">IF($G45="","",Change!$G46)</f>
        <v>16127</v>
      </c>
      <c r="T45" s="163">
        <f t="shared" si="61"/>
        <v>0</v>
      </c>
      <c r="U45" s="331">
        <f t="shared" si="66"/>
        <v>6.7607494401523461E-4</v>
      </c>
      <c r="V45" s="323">
        <f ca="1">IF($G45="","",Reserve!$Q46-$R45)</f>
        <v>16130</v>
      </c>
      <c r="W45" s="163">
        <f>IF($G45="","",Reserve!$S46)</f>
        <v>0</v>
      </c>
      <c r="X45" s="327">
        <f t="shared" ca="1" si="67"/>
        <v>16130</v>
      </c>
      <c r="Y45" s="334">
        <f t="shared" si="68"/>
        <v>2.5999999999999999E-2</v>
      </c>
      <c r="Z45" s="220">
        <f>IF($G45="","",VLOOKUP(H45,Life!$A$3:$Q$113,$B$6+1,FALSE))</f>
        <v>5.4363000000000002E-2</v>
      </c>
      <c r="AA45" s="220">
        <f t="shared" si="69"/>
        <v>4.8926700000000004E-2</v>
      </c>
      <c r="AB45" s="220">
        <f t="shared" si="70"/>
        <v>1.4266099500000001E-2</v>
      </c>
      <c r="AC45" s="331">
        <f>IF($G45="","",HLOOKUP($G45,AssetShare_Table!$B$84:$G$85,2)*$D$11)</f>
        <v>1.4999999999999999E-2</v>
      </c>
      <c r="AD45" s="334">
        <f t="shared" si="71"/>
        <v>0.26485760873895381</v>
      </c>
      <c r="AE45" s="220">
        <f t="shared" si="72"/>
        <v>1.2958608765488173E-2</v>
      </c>
      <c r="AF45" s="220">
        <f t="shared" si="73"/>
        <v>3.7784849996019849E-3</v>
      </c>
      <c r="AG45" s="331">
        <f t="shared" si="74"/>
        <v>0.24812051497386367</v>
      </c>
      <c r="AH45" s="323">
        <f t="shared" ca="1" si="75"/>
        <v>36681.941572900781</v>
      </c>
      <c r="AI45" s="163">
        <f t="shared" si="76"/>
        <v>0</v>
      </c>
      <c r="AJ45" s="163">
        <f t="shared" si="77"/>
        <v>99.586460885846648</v>
      </c>
      <c r="AK45" s="163">
        <f t="shared" ca="1" si="78"/>
        <v>656.40371495519855</v>
      </c>
      <c r="AL45" s="163">
        <f t="shared" si="79"/>
        <v>0</v>
      </c>
      <c r="AM45" s="163">
        <f t="shared" ca="1" si="80"/>
        <v>11.665794135302823</v>
      </c>
      <c r="AN45" s="163">
        <f t="shared" si="46"/>
        <v>0</v>
      </c>
      <c r="AO45" s="163">
        <f t="shared" ca="1" si="47"/>
        <v>0.51800613337116119</v>
      </c>
      <c r="AP45" s="163">
        <f t="shared" ca="1" si="81"/>
        <v>945.23789862761487</v>
      </c>
      <c r="AQ45" s="163">
        <f t="shared" ca="1" si="82"/>
        <v>36958.050012617641</v>
      </c>
      <c r="AR45" s="327">
        <f t="shared" ca="1" si="83"/>
        <v>766.19631884995351</v>
      </c>
      <c r="AS45" s="323">
        <f t="shared" ca="1" si="84"/>
        <v>36191.853693767691</v>
      </c>
      <c r="AT45" s="163">
        <f t="shared" ca="1" si="85"/>
        <v>919.79303569754848</v>
      </c>
      <c r="AU45" s="163">
        <f t="shared" ca="1" si="86"/>
        <v>2.719458587722329</v>
      </c>
      <c r="AV45" s="163">
        <f t="shared" ca="1" si="87"/>
        <v>0</v>
      </c>
      <c r="AW45" s="327">
        <f t="shared" ca="1" si="88"/>
        <v>0</v>
      </c>
      <c r="AX45" s="323">
        <f ca="1">IF($G45="","",Reserve!$P46-$R45)</f>
        <v>16130.307429922095</v>
      </c>
      <c r="AY45" s="220">
        <f t="shared" si="89"/>
        <v>2.2499999999999999E-2</v>
      </c>
      <c r="AZ45" s="331">
        <f>IF($G45="","",VLOOKUP($H45,Life!$A$3:$R$113,18,FALSE))</f>
        <v>5.4362992290060426E-2</v>
      </c>
      <c r="BA45" s="162">
        <f t="shared" ca="1" si="90"/>
        <v>3.6735085965182028</v>
      </c>
      <c r="BB45" s="163">
        <f t="shared" ca="1" si="91"/>
        <v>1.9205456909547253E-2</v>
      </c>
      <c r="BC45" s="163">
        <f t="shared" si="92"/>
        <v>-101.82715625577818</v>
      </c>
      <c r="BD45" s="163">
        <f t="shared" ca="1" si="93"/>
        <v>2.3924968430646659E-3</v>
      </c>
      <c r="BE45" s="163">
        <f t="shared" ca="1" si="94"/>
        <v>-2.8838782447535339E-2</v>
      </c>
      <c r="BF45" s="163">
        <f t="shared" ca="1" si="95"/>
        <v>0.12619210220598906</v>
      </c>
      <c r="BG45" s="163">
        <f t="shared" si="96"/>
        <v>-0.3485526131004632</v>
      </c>
      <c r="BH45" s="163">
        <f t="shared" ca="1" si="97"/>
        <v>-1.4464973386079446E-4</v>
      </c>
      <c r="BI45" s="163">
        <f t="shared" ca="1" si="98"/>
        <v>-2.2238569989430155E-4</v>
      </c>
      <c r="BJ45" s="163">
        <f t="shared" ca="1" si="99"/>
        <v>1.4061092387757264E-3</v>
      </c>
      <c r="BK45" s="164">
        <f t="shared" ca="1" si="100"/>
        <v>-0.51800613337116119</v>
      </c>
      <c r="BL45" s="163">
        <f t="shared" ca="1" si="51"/>
        <v>0</v>
      </c>
      <c r="BM45" s="163">
        <f t="shared" si="52"/>
        <v>5.6969696969696972</v>
      </c>
      <c r="BN45" s="163">
        <f t="shared" si="53"/>
        <v>0</v>
      </c>
      <c r="BO45" s="163">
        <f t="shared" si="54"/>
        <v>0</v>
      </c>
      <c r="BP45" s="163">
        <f t="shared" ca="1" si="55"/>
        <v>0</v>
      </c>
      <c r="BQ45" s="163">
        <f t="shared" si="56"/>
        <v>99.586460885846648</v>
      </c>
      <c r="BR45" s="163">
        <f t="shared" si="57"/>
        <v>0</v>
      </c>
      <c r="BS45" s="163">
        <f t="shared" si="58"/>
        <v>0</v>
      </c>
      <c r="BT45" s="163">
        <f t="shared" si="59"/>
        <v>0</v>
      </c>
      <c r="BU45" s="164">
        <f t="shared" ca="1" si="60"/>
        <v>0.51800613337116119</v>
      </c>
    </row>
    <row r="46" spans="1:73" x14ac:dyDescent="0.3">
      <c r="A46" s="242" t="s">
        <v>196</v>
      </c>
      <c r="B46" s="252">
        <f>AssetShare_Table!B18</f>
        <v>0</v>
      </c>
      <c r="C46" s="62">
        <f>AssetShare_Table!C18</f>
        <v>9.2399999999999999E-3</v>
      </c>
      <c r="F46" s="36">
        <v>42</v>
      </c>
      <c r="G46" s="363">
        <f t="shared" si="62"/>
        <v>42</v>
      </c>
      <c r="H46" s="153">
        <f t="shared" si="63"/>
        <v>76</v>
      </c>
      <c r="I46" s="323">
        <f t="shared" si="64"/>
        <v>0</v>
      </c>
      <c r="J46" s="163">
        <f t="shared" si="65"/>
        <v>0</v>
      </c>
      <c r="K46" s="327">
        <f>IF($G46="","",Reserve!N46)</f>
        <v>0</v>
      </c>
      <c r="L46" s="163">
        <f t="shared" si="41"/>
        <v>0</v>
      </c>
      <c r="M46" s="163">
        <f t="shared" si="42"/>
        <v>5.6969696969696972</v>
      </c>
      <c r="N46" s="163">
        <f t="shared" si="43"/>
        <v>0</v>
      </c>
      <c r="O46" s="163">
        <f t="shared" si="7"/>
        <v>0</v>
      </c>
      <c r="P46" s="327">
        <f t="shared" si="44"/>
        <v>5.6969696969696972</v>
      </c>
      <c r="Q46" s="218">
        <f ca="1">IF($G46="","",Reserve!$I46)</f>
        <v>16315</v>
      </c>
      <c r="R46" s="323">
        <f>IF($G46="","",Reserve!$J47+Reserve!$K47)</f>
        <v>0</v>
      </c>
      <c r="S46" s="163">
        <f ca="1">IF($G46="","",Change!$G47)</f>
        <v>16482</v>
      </c>
      <c r="T46" s="163">
        <f t="shared" si="61"/>
        <v>0</v>
      </c>
      <c r="U46" s="331">
        <f t="shared" si="66"/>
        <v>6.6755769793416819E-4</v>
      </c>
      <c r="V46" s="323">
        <f ca="1">IF($G46="","",Reserve!$Q47-$R46)</f>
        <v>16488</v>
      </c>
      <c r="W46" s="163">
        <f>IF($G46="","",Reserve!$S47)</f>
        <v>0</v>
      </c>
      <c r="X46" s="327">
        <f t="shared" ca="1" si="67"/>
        <v>16488</v>
      </c>
      <c r="Y46" s="334">
        <f t="shared" si="68"/>
        <v>2.5999999999999999E-2</v>
      </c>
      <c r="Z46" s="220">
        <f>IF($G46="","",VLOOKUP(H46,Life!$A$3:$Q$113,$B$6+1,FALSE))</f>
        <v>5.9457000000000003E-2</v>
      </c>
      <c r="AA46" s="220">
        <f t="shared" si="69"/>
        <v>5.3511300000000005E-2</v>
      </c>
      <c r="AB46" s="220">
        <f t="shared" si="70"/>
        <v>1.4197330500000001E-2</v>
      </c>
      <c r="AC46" s="331">
        <f>IF($G46="","",HLOOKUP($G46,AssetShare_Table!$B$84:$G$85,2)*$D$11)</f>
        <v>1.4999999999999999E-2</v>
      </c>
      <c r="AD46" s="334">
        <f t="shared" si="71"/>
        <v>0.24812051497386367</v>
      </c>
      <c r="AE46" s="220">
        <f t="shared" si="72"/>
        <v>1.3277251312920912E-2</v>
      </c>
      <c r="AF46" s="220">
        <f t="shared" si="73"/>
        <v>3.5226489549141414E-3</v>
      </c>
      <c r="AG46" s="331">
        <f t="shared" si="74"/>
        <v>0.23132061470602863</v>
      </c>
      <c r="AH46" s="323">
        <f t="shared" ca="1" si="75"/>
        <v>36958.050012617641</v>
      </c>
      <c r="AI46" s="163">
        <f t="shared" si="76"/>
        <v>0</v>
      </c>
      <c r="AJ46" s="163">
        <f t="shared" si="77"/>
        <v>93.293313630172747</v>
      </c>
      <c r="AK46" s="163">
        <f t="shared" ca="1" si="78"/>
        <v>382.4809072291377</v>
      </c>
      <c r="AL46" s="163">
        <f t="shared" si="79"/>
        <v>0</v>
      </c>
      <c r="AM46" s="163">
        <f t="shared" ca="1" si="80"/>
        <v>5.947812153898199</v>
      </c>
      <c r="AN46" s="163">
        <f t="shared" si="46"/>
        <v>0</v>
      </c>
      <c r="AO46" s="163">
        <f t="shared" ca="1" si="47"/>
        <v>0.26082492594718809</v>
      </c>
      <c r="AP46" s="163">
        <f t="shared" ca="1" si="81"/>
        <v>955.96146483528116</v>
      </c>
      <c r="AQ46" s="163">
        <f t="shared" ca="1" si="82"/>
        <v>37525.033860612399</v>
      </c>
      <c r="AR46" s="327">
        <f t="shared" ca="1" si="83"/>
        <v>390.7151797580043</v>
      </c>
      <c r="AS46" s="323">
        <f t="shared" ca="1" si="84"/>
        <v>37134.318680854398</v>
      </c>
      <c r="AT46" s="163">
        <f t="shared" ca="1" si="85"/>
        <v>942.46498708670697</v>
      </c>
      <c r="AU46" s="163">
        <f t="shared" ca="1" si="86"/>
        <v>1.4767910487425979</v>
      </c>
      <c r="AV46" s="163">
        <f t="shared" ca="1" si="87"/>
        <v>0</v>
      </c>
      <c r="AW46" s="327">
        <f t="shared" ca="1" si="88"/>
        <v>0</v>
      </c>
      <c r="AX46" s="323">
        <f ca="1">IF($G46="","",Reserve!$P47-$R46)</f>
        <v>16488.039730676155</v>
      </c>
      <c r="AY46" s="220">
        <f t="shared" si="89"/>
        <v>2.2499999999999999E-2</v>
      </c>
      <c r="AZ46" s="331">
        <f>IF($G46="","",VLOOKUP($H46,Life!$A$3:$R$113,18,FALSE))</f>
        <v>5.9456933240568374E-2</v>
      </c>
      <c r="BA46" s="162">
        <f t="shared" ca="1" si="90"/>
        <v>1.9469677038408921</v>
      </c>
      <c r="BB46" s="163">
        <f t="shared" ca="1" si="91"/>
        <v>2.4672889555461573E-2</v>
      </c>
      <c r="BC46" s="163">
        <f t="shared" si="92"/>
        <v>-95.392413186851627</v>
      </c>
      <c r="BD46" s="163">
        <f t="shared" ca="1" si="93"/>
        <v>2.1795403180383112E-3</v>
      </c>
      <c r="BE46" s="163">
        <f t="shared" ca="1" si="94"/>
        <v>-1.4079440397786894E-2</v>
      </c>
      <c r="BF46" s="163">
        <f t="shared" ca="1" si="95"/>
        <v>7.3399776957563126E-2</v>
      </c>
      <c r="BG46" s="163">
        <f t="shared" si="96"/>
        <v>-0.32652659770560455</v>
      </c>
      <c r="BH46" s="163">
        <f t="shared" ca="1" si="97"/>
        <v>-5.1111646692373635E-5</v>
      </c>
      <c r="BI46" s="163">
        <f t="shared" ca="1" si="98"/>
        <v>-1.4337495359680146E-5</v>
      </c>
      <c r="BJ46" s="163">
        <f t="shared" ca="1" si="99"/>
        <v>1.0337092377927163E-4</v>
      </c>
      <c r="BK46" s="164">
        <f t="shared" ca="1" si="100"/>
        <v>-0.26082492594718804</v>
      </c>
      <c r="BL46" s="163">
        <f t="shared" ca="1" si="51"/>
        <v>0</v>
      </c>
      <c r="BM46" s="163">
        <f t="shared" si="52"/>
        <v>5.6969696969696972</v>
      </c>
      <c r="BN46" s="163">
        <f t="shared" si="53"/>
        <v>0</v>
      </c>
      <c r="BO46" s="163">
        <f t="shared" si="54"/>
        <v>0</v>
      </c>
      <c r="BP46" s="163">
        <f t="shared" ca="1" si="55"/>
        <v>0</v>
      </c>
      <c r="BQ46" s="163">
        <f t="shared" si="56"/>
        <v>93.293313630172747</v>
      </c>
      <c r="BR46" s="163">
        <f t="shared" si="57"/>
        <v>0</v>
      </c>
      <c r="BS46" s="163">
        <f t="shared" si="58"/>
        <v>0</v>
      </c>
      <c r="BT46" s="163">
        <f t="shared" si="59"/>
        <v>0</v>
      </c>
      <c r="BU46" s="164">
        <f t="shared" ca="1" si="60"/>
        <v>0.26082492594718809</v>
      </c>
    </row>
    <row r="47" spans="1:73" x14ac:dyDescent="0.3">
      <c r="A47" s="493" t="s">
        <v>263</v>
      </c>
      <c r="B47" s="381" t="s">
        <v>197</v>
      </c>
      <c r="C47" s="192">
        <f>AssetShare_Table!C19</f>
        <v>2.7720000000000002E-3</v>
      </c>
      <c r="F47" s="36">
        <v>43</v>
      </c>
      <c r="G47" s="363">
        <f t="shared" si="62"/>
        <v>43</v>
      </c>
      <c r="H47" s="153">
        <f t="shared" si="63"/>
        <v>77</v>
      </c>
      <c r="I47" s="323">
        <f t="shared" si="64"/>
        <v>0</v>
      </c>
      <c r="J47" s="163">
        <f t="shared" si="65"/>
        <v>0</v>
      </c>
      <c r="K47" s="327">
        <f>IF($G47="","",Reserve!N47)</f>
        <v>0</v>
      </c>
      <c r="L47" s="163">
        <f t="shared" si="41"/>
        <v>0</v>
      </c>
      <c r="M47" s="163">
        <f t="shared" si="42"/>
        <v>5.6969696969696972</v>
      </c>
      <c r="N47" s="163">
        <f t="shared" si="43"/>
        <v>0</v>
      </c>
      <c r="O47" s="163">
        <f t="shared" si="7"/>
        <v>0</v>
      </c>
      <c r="P47" s="327">
        <f t="shared" si="44"/>
        <v>5.6969696969696972</v>
      </c>
      <c r="Q47" s="218">
        <f ca="1">IF($G47="","",Reserve!$I47)</f>
        <v>16682</v>
      </c>
      <c r="R47" s="323">
        <f>IF($G47="","",Reserve!$J48+Reserve!$K48)</f>
        <v>0</v>
      </c>
      <c r="S47" s="163">
        <f ca="1">IF($G47="","",Change!$G48)</f>
        <v>16836</v>
      </c>
      <c r="T47" s="163">
        <f t="shared" si="61"/>
        <v>0</v>
      </c>
      <c r="U47" s="331">
        <f t="shared" si="66"/>
        <v>6.5963665907877648E-4</v>
      </c>
      <c r="V47" s="323">
        <f ca="1">IF($G47="","",Reserve!$Q48-$R47)</f>
        <v>16845</v>
      </c>
      <c r="W47" s="163">
        <f>IF($G47="","",Reserve!$S48)</f>
        <v>0</v>
      </c>
      <c r="X47" s="327">
        <f t="shared" ca="1" si="67"/>
        <v>16845</v>
      </c>
      <c r="Y47" s="334">
        <f t="shared" si="68"/>
        <v>2.5999999999999999E-2</v>
      </c>
      <c r="Z47" s="220">
        <f>IF($G47="","",VLOOKUP(H47,Life!$A$3:$Q$113,$B$6+1,FALSE))</f>
        <v>6.5016000000000004E-2</v>
      </c>
      <c r="AA47" s="220">
        <f t="shared" si="69"/>
        <v>5.8514400000000008E-2</v>
      </c>
      <c r="AB47" s="220">
        <f t="shared" si="70"/>
        <v>1.4122284000000001E-2</v>
      </c>
      <c r="AC47" s="331">
        <f>IF($G47="","",HLOOKUP($G47,AssetShare_Table!$B$84:$G$85,2)*$D$11)</f>
        <v>1.4999999999999999E-2</v>
      </c>
      <c r="AD47" s="334">
        <f t="shared" si="71"/>
        <v>0.23132061470602863</v>
      </c>
      <c r="AE47" s="220">
        <f t="shared" si="72"/>
        <v>1.3535586977154443E-2</v>
      </c>
      <c r="AF47" s="220">
        <f t="shared" si="73"/>
        <v>3.266775415933113E-3</v>
      </c>
      <c r="AG47" s="331">
        <f t="shared" si="74"/>
        <v>0.21451825231294108</v>
      </c>
      <c r="AH47" s="323">
        <f t="shared" ca="1" si="75"/>
        <v>37525.033860612399</v>
      </c>
      <c r="AI47" s="163">
        <f t="shared" si="76"/>
        <v>0</v>
      </c>
      <c r="AJ47" s="163">
        <f t="shared" si="77"/>
        <v>86.97655112946677</v>
      </c>
      <c r="AK47" s="163">
        <f t="shared" ca="1" si="78"/>
        <v>208.7037118004001</v>
      </c>
      <c r="AL47" s="163">
        <f t="shared" si="79"/>
        <v>0</v>
      </c>
      <c r="AM47" s="163">
        <f t="shared" ca="1" si="80"/>
        <v>2.8249703099351122</v>
      </c>
      <c r="AN47" s="163">
        <f t="shared" si="46"/>
        <v>0</v>
      </c>
      <c r="AO47" s="163">
        <f t="shared" ca="1" si="47"/>
        <v>0.12243222464935216</v>
      </c>
      <c r="AP47" s="163">
        <f t="shared" ca="1" si="81"/>
        <v>972.95140551145857</v>
      </c>
      <c r="AQ47" s="163">
        <f t="shared" ca="1" si="82"/>
        <v>38286.190441301878</v>
      </c>
      <c r="AR47" s="327">
        <f t="shared" ca="1" si="83"/>
        <v>185.60554960716763</v>
      </c>
      <c r="AS47" s="323">
        <f t="shared" ca="1" si="84"/>
        <v>38100.584891694714</v>
      </c>
      <c r="AT47" s="163">
        <f t="shared" ca="1" si="85"/>
        <v>966.26621084031649</v>
      </c>
      <c r="AU47" s="163">
        <f t="shared" ca="1" si="86"/>
        <v>0.77392513809900265</v>
      </c>
      <c r="AV47" s="163">
        <f t="shared" ca="1" si="87"/>
        <v>0</v>
      </c>
      <c r="AW47" s="327">
        <f t="shared" ca="1" si="88"/>
        <v>0</v>
      </c>
      <c r="AX47" s="323">
        <f ca="1">IF($G47="","",Reserve!$P48-$R47)</f>
        <v>16845.384079370466</v>
      </c>
      <c r="AY47" s="220">
        <f t="shared" si="89"/>
        <v>2.2499999999999999E-2</v>
      </c>
      <c r="AZ47" s="331">
        <f>IF($G47="","",VLOOKUP($H47,Life!$A$3:$R$113,18,FALSE))</f>
        <v>6.5016100125244017E-2</v>
      </c>
      <c r="BA47" s="162">
        <f t="shared" ca="1" si="90"/>
        <v>0.96649174733283483</v>
      </c>
      <c r="BB47" s="163">
        <f t="shared" ca="1" si="91"/>
        <v>3.2339475381475739E-2</v>
      </c>
      <c r="BC47" s="163">
        <f t="shared" si="92"/>
        <v>-88.933523529879764</v>
      </c>
      <c r="BD47" s="163">
        <f t="shared" ca="1" si="93"/>
        <v>1.5745869332169384E-3</v>
      </c>
      <c r="BE47" s="163">
        <f t="shared" ca="1" si="94"/>
        <v>2.7993603313596353E-3</v>
      </c>
      <c r="BF47" s="163">
        <f t="shared" ca="1" si="95"/>
        <v>4.0132533320525549E-2</v>
      </c>
      <c r="BG47" s="163">
        <f t="shared" si="96"/>
        <v>-0.30441792895313369</v>
      </c>
      <c r="BH47" s="163">
        <f t="shared" ca="1" si="97"/>
        <v>-3.2952343501664866E-6</v>
      </c>
      <c r="BI47" s="163">
        <f t="shared" ca="1" si="98"/>
        <v>-6.4445997756258525E-5</v>
      </c>
      <c r="BJ47" s="163">
        <f t="shared" ca="1" si="99"/>
        <v>5.3436034104467698E-4</v>
      </c>
      <c r="BK47" s="164">
        <f t="shared" ca="1" si="100"/>
        <v>-0.12243222464935216</v>
      </c>
      <c r="BL47" s="163">
        <f t="shared" ca="1" si="51"/>
        <v>0</v>
      </c>
      <c r="BM47" s="163">
        <f t="shared" si="52"/>
        <v>5.6969696969696972</v>
      </c>
      <c r="BN47" s="163">
        <f t="shared" si="53"/>
        <v>0</v>
      </c>
      <c r="BO47" s="163">
        <f t="shared" si="54"/>
        <v>0</v>
      </c>
      <c r="BP47" s="163">
        <f t="shared" ca="1" si="55"/>
        <v>0</v>
      </c>
      <c r="BQ47" s="163">
        <f t="shared" si="56"/>
        <v>86.97655112946677</v>
      </c>
      <c r="BR47" s="163">
        <f t="shared" si="57"/>
        <v>0</v>
      </c>
      <c r="BS47" s="163">
        <f t="shared" si="58"/>
        <v>0</v>
      </c>
      <c r="BT47" s="163">
        <f t="shared" si="59"/>
        <v>0</v>
      </c>
      <c r="BU47" s="164">
        <f t="shared" ca="1" si="60"/>
        <v>0.12243222464935216</v>
      </c>
    </row>
    <row r="48" spans="1:73" x14ac:dyDescent="0.3">
      <c r="A48" s="446"/>
      <c r="B48" s="381" t="s">
        <v>198</v>
      </c>
      <c r="C48" s="62">
        <f>AssetShare_Table!C20</f>
        <v>0.2</v>
      </c>
      <c r="F48" s="36">
        <v>44</v>
      </c>
      <c r="G48" s="363">
        <f t="shared" si="62"/>
        <v>44</v>
      </c>
      <c r="H48" s="153">
        <f t="shared" si="63"/>
        <v>78</v>
      </c>
      <c r="I48" s="323">
        <f t="shared" si="64"/>
        <v>0</v>
      </c>
      <c r="J48" s="163">
        <f t="shared" si="65"/>
        <v>0</v>
      </c>
      <c r="K48" s="327">
        <f>IF($G48="","",Reserve!N48)</f>
        <v>0</v>
      </c>
      <c r="L48" s="163">
        <f t="shared" si="41"/>
        <v>0</v>
      </c>
      <c r="M48" s="163">
        <f t="shared" si="42"/>
        <v>5.6969696969696972</v>
      </c>
      <c r="N48" s="163">
        <f t="shared" si="43"/>
        <v>0</v>
      </c>
      <c r="O48" s="163">
        <f t="shared" si="7"/>
        <v>0</v>
      </c>
      <c r="P48" s="327">
        <f t="shared" si="44"/>
        <v>5.6969696969696972</v>
      </c>
      <c r="Q48" s="218">
        <f ca="1">IF($G48="","",Reserve!$I48)</f>
        <v>17058</v>
      </c>
      <c r="R48" s="323">
        <f>IF($G48="","",Reserve!$J49+Reserve!$K49)</f>
        <v>0</v>
      </c>
      <c r="S48" s="163">
        <f ca="1">IF($G48="","",Change!$G49)</f>
        <v>17171</v>
      </c>
      <c r="T48" s="163">
        <f t="shared" si="61"/>
        <v>0</v>
      </c>
      <c r="U48" s="331">
        <f t="shared" si="66"/>
        <v>6.5227009294326207E-4</v>
      </c>
      <c r="V48" s="323">
        <f ca="1">IF($G48="","",Reserve!$Q49-$R48)</f>
        <v>17184</v>
      </c>
      <c r="W48" s="163">
        <f>IF($G48="","",Reserve!$S49)</f>
        <v>0</v>
      </c>
      <c r="X48" s="327">
        <f t="shared" ca="1" si="67"/>
        <v>17184</v>
      </c>
      <c r="Y48" s="334">
        <f t="shared" si="68"/>
        <v>2.5999999999999999E-2</v>
      </c>
      <c r="Z48" s="220">
        <f>IF($G48="","",VLOOKUP(H48,Life!$A$3:$Q$113,$B$6+1,FALSE))</f>
        <v>7.1077000000000001E-2</v>
      </c>
      <c r="AA48" s="220">
        <f t="shared" si="69"/>
        <v>6.3969300000000007E-2</v>
      </c>
      <c r="AB48" s="220">
        <f t="shared" si="70"/>
        <v>1.4040460499999999E-2</v>
      </c>
      <c r="AC48" s="331">
        <f>IF($G48="","",HLOOKUP($G48,AssetShare_Table!$B$84:$G$85,2)*$D$11)</f>
        <v>1.4999999999999999E-2</v>
      </c>
      <c r="AD48" s="334">
        <f t="shared" si="71"/>
        <v>0.21451825231294108</v>
      </c>
      <c r="AE48" s="220">
        <f t="shared" si="72"/>
        <v>1.3722582437682223E-2</v>
      </c>
      <c r="AF48" s="220">
        <f t="shared" si="73"/>
        <v>3.0119350481288827E-3</v>
      </c>
      <c r="AG48" s="331">
        <f t="shared" si="74"/>
        <v>0.19778373482712996</v>
      </c>
      <c r="AH48" s="323">
        <f t="shared" ca="1" si="75"/>
        <v>38286.190441301878</v>
      </c>
      <c r="AI48" s="163">
        <f t="shared" si="76"/>
        <v>0</v>
      </c>
      <c r="AJ48" s="163">
        <f t="shared" si="77"/>
        <v>80.658862869665853</v>
      </c>
      <c r="AK48" s="163">
        <f t="shared" ca="1" si="78"/>
        <v>105.64850048793221</v>
      </c>
      <c r="AL48" s="163">
        <f t="shared" si="79"/>
        <v>0</v>
      </c>
      <c r="AM48" s="163">
        <f t="shared" ca="1" si="80"/>
        <v>1.2427379270417223</v>
      </c>
      <c r="AN48" s="163">
        <f t="shared" si="46"/>
        <v>0</v>
      </c>
      <c r="AO48" s="163">
        <f t="shared" ca="1" si="47"/>
        <v>5.3269750937505189E-2</v>
      </c>
      <c r="AP48" s="163">
        <f t="shared" ca="1" si="81"/>
        <v>994.0745967046347</v>
      </c>
      <c r="AQ48" s="163">
        <f t="shared" ca="1" si="82"/>
        <v>39173.253708359494</v>
      </c>
      <c r="AR48" s="327">
        <f t="shared" ca="1" si="83"/>
        <v>81.668240677928608</v>
      </c>
      <c r="AS48" s="323">
        <f t="shared" ca="1" si="84"/>
        <v>39091.585467681565</v>
      </c>
      <c r="AT48" s="163">
        <f t="shared" ca="1" si="85"/>
        <v>991.00057598685089</v>
      </c>
      <c r="AU48" s="163">
        <f t="shared" ca="1" si="86"/>
        <v>0.38536880278843455</v>
      </c>
      <c r="AV48" s="163">
        <f t="shared" ca="1" si="87"/>
        <v>0</v>
      </c>
      <c r="AW48" s="327">
        <f t="shared" ca="1" si="88"/>
        <v>0</v>
      </c>
      <c r="AX48" s="323">
        <f ca="1">IF($G48="","",Reserve!$P49-$R48)</f>
        <v>17183.724994901862</v>
      </c>
      <c r="AY48" s="220">
        <f t="shared" si="89"/>
        <v>2.2499999999999999E-2</v>
      </c>
      <c r="AZ48" s="331">
        <f>IF($G48="","",VLOOKUP($H48,Life!$A$3:$R$113,18,FALSE))</f>
        <v>7.1076903887402745E-2</v>
      </c>
      <c r="BA48" s="162">
        <f t="shared" ca="1" si="90"/>
        <v>0.4465768722305436</v>
      </c>
      <c r="BB48" s="163">
        <f t="shared" ca="1" si="91"/>
        <v>4.4974341064774888E-2</v>
      </c>
      <c r="BC48" s="163">
        <f t="shared" si="92"/>
        <v>-82.473687284233321</v>
      </c>
      <c r="BD48" s="163">
        <f t="shared" ca="1" si="93"/>
        <v>9.2096172534837401E-4</v>
      </c>
      <c r="BE48" s="163">
        <f t="shared" ca="1" si="94"/>
        <v>-5.4641002883173409E-3</v>
      </c>
      <c r="BF48" s="163">
        <f t="shared" ca="1" si="95"/>
        <v>2.0374185202961411E-2</v>
      </c>
      <c r="BG48" s="163">
        <f t="shared" si="96"/>
        <v>-0.28230602004383043</v>
      </c>
      <c r="BH48" s="163">
        <f t="shared" ca="1" si="97"/>
        <v>-1.4811838484313419E-5</v>
      </c>
      <c r="BI48" s="163">
        <f t="shared" ca="1" si="98"/>
        <v>1.9903282603544287E-5</v>
      </c>
      <c r="BJ48" s="163">
        <f t="shared" ca="1" si="99"/>
        <v>-1.8995803293146073E-4</v>
      </c>
      <c r="BK48" s="164">
        <f t="shared" ca="1" si="100"/>
        <v>-5.3269750937505189E-2</v>
      </c>
      <c r="BL48" s="163">
        <f t="shared" ca="1" si="51"/>
        <v>0</v>
      </c>
      <c r="BM48" s="163">
        <f t="shared" si="52"/>
        <v>5.6969696969696972</v>
      </c>
      <c r="BN48" s="163">
        <f t="shared" si="53"/>
        <v>0</v>
      </c>
      <c r="BO48" s="163">
        <f t="shared" si="54"/>
        <v>0</v>
      </c>
      <c r="BP48" s="163">
        <f t="shared" ca="1" si="55"/>
        <v>0</v>
      </c>
      <c r="BQ48" s="163">
        <f t="shared" si="56"/>
        <v>80.658862869665853</v>
      </c>
      <c r="BR48" s="163">
        <f t="shared" si="57"/>
        <v>0</v>
      </c>
      <c r="BS48" s="163">
        <f t="shared" si="58"/>
        <v>0</v>
      </c>
      <c r="BT48" s="163">
        <f t="shared" si="59"/>
        <v>0</v>
      </c>
      <c r="BU48" s="164">
        <f t="shared" ca="1" si="60"/>
        <v>5.3269750937505189E-2</v>
      </c>
    </row>
    <row r="49" spans="1:73" x14ac:dyDescent="0.3">
      <c r="A49" s="494"/>
      <c r="B49" s="381" t="s">
        <v>199</v>
      </c>
      <c r="C49" s="150">
        <f>AssetShare_Table!C21</f>
        <v>0.93</v>
      </c>
      <c r="F49" s="320">
        <v>45</v>
      </c>
      <c r="G49" s="367">
        <f t="shared" si="62"/>
        <v>45</v>
      </c>
      <c r="H49" s="155">
        <f t="shared" si="63"/>
        <v>79</v>
      </c>
      <c r="I49" s="324">
        <f t="shared" si="64"/>
        <v>0</v>
      </c>
      <c r="J49" s="166">
        <f t="shared" si="65"/>
        <v>0</v>
      </c>
      <c r="K49" s="328">
        <f>IF($G49="","",Reserve!N49)</f>
        <v>0</v>
      </c>
      <c r="L49" s="166">
        <f t="shared" si="41"/>
        <v>0</v>
      </c>
      <c r="M49" s="166">
        <f t="shared" si="42"/>
        <v>5.6969696969696972</v>
      </c>
      <c r="N49" s="166">
        <f t="shared" si="43"/>
        <v>0</v>
      </c>
      <c r="O49" s="166">
        <f t="shared" si="7"/>
        <v>0</v>
      </c>
      <c r="P49" s="328">
        <f t="shared" si="44"/>
        <v>5.6969696969696972</v>
      </c>
      <c r="Q49" s="330">
        <f ca="1">IF($G49="","",Reserve!$I49)</f>
        <v>17441</v>
      </c>
      <c r="R49" s="324">
        <f>IF($G49="","",Reserve!$J50+Reserve!$K50)</f>
        <v>0</v>
      </c>
      <c r="S49" s="166">
        <f ca="1">IF($G49="","",Change!$G50)</f>
        <v>0</v>
      </c>
      <c r="T49" s="163">
        <f t="shared" si="61"/>
        <v>0</v>
      </c>
      <c r="U49" s="332">
        <f t="shared" si="66"/>
        <v>6.4541918643723376E-4</v>
      </c>
      <c r="V49" s="324">
        <f ca="1">IF($G49="","",Reserve!$Q50-$R49)</f>
        <v>0</v>
      </c>
      <c r="W49" s="166">
        <f>IF($G49="","",Reserve!$S50)</f>
        <v>0</v>
      </c>
      <c r="X49" s="328">
        <f t="shared" ca="1" si="67"/>
        <v>0</v>
      </c>
      <c r="Y49" s="335">
        <f t="shared" si="68"/>
        <v>2.5999999999999999E-2</v>
      </c>
      <c r="Z49" s="235">
        <f>IF($G49="","",VLOOKUP(H49,Life!$A$3:$Q$113,$B$6+1,FALSE))</f>
        <v>7.7686000000000005E-2</v>
      </c>
      <c r="AA49" s="235">
        <f t="shared" si="69"/>
        <v>6.9917400000000005E-2</v>
      </c>
      <c r="AB49" s="235">
        <f t="shared" si="70"/>
        <v>1.3951238999999999E-2</v>
      </c>
      <c r="AC49" s="332">
        <f>IF($G49="","",HLOOKUP($G49,AssetShare_Table!$B$84:$G$85,2)*$D$11)</f>
        <v>1.4999999999999999E-2</v>
      </c>
      <c r="AD49" s="335">
        <f t="shared" si="71"/>
        <v>0.19778373482712996</v>
      </c>
      <c r="AE49" s="235">
        <f t="shared" si="72"/>
        <v>1.3828524501402378E-2</v>
      </c>
      <c r="AF49" s="235">
        <f t="shared" si="73"/>
        <v>2.7593281548859137E-3</v>
      </c>
      <c r="AG49" s="332">
        <f t="shared" si="74"/>
        <v>0.18119588217084168</v>
      </c>
      <c r="AH49" s="324">
        <f t="shared" ca="1" si="75"/>
        <v>39173.253708359494</v>
      </c>
      <c r="AI49" s="166">
        <f t="shared" si="76"/>
        <v>0</v>
      </c>
      <c r="AJ49" s="166">
        <f t="shared" si="77"/>
        <v>74.366684295000866</v>
      </c>
      <c r="AK49" s="166">
        <f t="shared" ca="1" si="78"/>
        <v>49.429520063095737</v>
      </c>
      <c r="AL49" s="166">
        <f t="shared" si="79"/>
        <v>0</v>
      </c>
      <c r="AM49" s="166">
        <f t="shared" ca="1" si="80"/>
        <v>0</v>
      </c>
      <c r="AN49" s="163">
        <f t="shared" si="46"/>
        <v>0</v>
      </c>
      <c r="AO49" s="166">
        <f t="shared" ca="1" si="47"/>
        <v>0</v>
      </c>
      <c r="AP49" s="166">
        <f t="shared" ca="1" si="81"/>
        <v>1017.8653866455534</v>
      </c>
      <c r="AQ49" s="166">
        <f t="shared" ca="1" si="82"/>
        <v>40108.20062060871</v>
      </c>
      <c r="AR49" s="328">
        <f t="shared" ca="1" si="83"/>
        <v>0</v>
      </c>
      <c r="AS49" s="324">
        <f t="shared" ca="1" si="84"/>
        <v>40108.20062060871</v>
      </c>
      <c r="AT49" s="166">
        <f t="shared" ca="1" si="85"/>
        <v>1016.6151529271447</v>
      </c>
      <c r="AU49" s="166">
        <f t="shared" ca="1" si="86"/>
        <v>0.2339307674265001</v>
      </c>
      <c r="AV49" s="166">
        <f t="shared" ca="1" si="87"/>
        <v>0</v>
      </c>
      <c r="AW49" s="328">
        <f t="shared" ca="1" si="88"/>
        <v>0</v>
      </c>
      <c r="AX49" s="324">
        <f ca="1">IF($G49="","",Reserve!$P50-$R49)</f>
        <v>0</v>
      </c>
      <c r="AY49" s="235">
        <f t="shared" si="89"/>
        <v>2.2499999999999999E-2</v>
      </c>
      <c r="AZ49" s="332">
        <f>IF($G49="","",VLOOKUP($H49,Life!$A$3:$R$113,18,FALSE))</f>
        <v>7.7685977363499664E-2</v>
      </c>
      <c r="BA49" s="165">
        <f t="shared" ca="1" si="90"/>
        <v>0.19081095115635288</v>
      </c>
      <c r="BB49" s="166">
        <f t="shared" ca="1" si="91"/>
        <v>6.1798531125922762E-2</v>
      </c>
      <c r="BC49" s="166">
        <f t="shared" si="92"/>
        <v>-76.039934691638379</v>
      </c>
      <c r="BD49" s="166">
        <f t="shared" ca="1" si="93"/>
        <v>0</v>
      </c>
      <c r="BE49" s="166">
        <f t="shared" ca="1" si="94"/>
        <v>1.3363893243461451E-3</v>
      </c>
      <c r="BF49" s="166">
        <f t="shared" ca="1" si="95"/>
        <v>9.5517599470158338E-3</v>
      </c>
      <c r="BG49" s="166">
        <f t="shared" si="96"/>
        <v>-0.26028339503250303</v>
      </c>
      <c r="BH49" s="166">
        <f t="shared" ca="1" si="97"/>
        <v>4.5744377850479284E-6</v>
      </c>
      <c r="BI49" s="166">
        <f t="shared" ca="1" si="98"/>
        <v>0</v>
      </c>
      <c r="BJ49" s="166">
        <f t="shared" ca="1" si="99"/>
        <v>0</v>
      </c>
      <c r="BK49" s="167">
        <f t="shared" ca="1" si="100"/>
        <v>0</v>
      </c>
      <c r="BL49" s="166">
        <f t="shared" ca="1" si="51"/>
        <v>0</v>
      </c>
      <c r="BM49" s="163">
        <f t="shared" si="52"/>
        <v>5.6969696969696972</v>
      </c>
      <c r="BN49" s="166">
        <f t="shared" si="53"/>
        <v>0</v>
      </c>
      <c r="BO49" s="166">
        <f t="shared" si="54"/>
        <v>0</v>
      </c>
      <c r="BP49" s="166">
        <f t="shared" ca="1" si="55"/>
        <v>0</v>
      </c>
      <c r="BQ49" s="166">
        <f t="shared" si="56"/>
        <v>74.366684295000866</v>
      </c>
      <c r="BR49" s="166">
        <f t="shared" si="57"/>
        <v>0</v>
      </c>
      <c r="BS49" s="166">
        <f t="shared" si="58"/>
        <v>0</v>
      </c>
      <c r="BT49" s="166">
        <f t="shared" si="59"/>
        <v>0</v>
      </c>
      <c r="BU49" s="167">
        <f t="shared" ca="1" si="60"/>
        <v>0</v>
      </c>
    </row>
    <row r="50" spans="1:73" x14ac:dyDescent="0.3">
      <c r="A50" s="242" t="s">
        <v>267</v>
      </c>
      <c r="B50" s="277">
        <f>AssetShare_Table!B22</f>
        <v>0.02</v>
      </c>
      <c r="C50" s="62"/>
      <c r="F50" s="36">
        <v>46</v>
      </c>
      <c r="G50" s="363">
        <f t="shared" si="62"/>
        <v>46</v>
      </c>
      <c r="H50" s="153">
        <f t="shared" si="63"/>
        <v>80</v>
      </c>
      <c r="I50" s="323">
        <f t="shared" si="64"/>
        <v>0</v>
      </c>
      <c r="J50" s="163">
        <f t="shared" si="65"/>
        <v>0</v>
      </c>
      <c r="K50" s="327">
        <f>IF($G50="","",Reserve!N50)</f>
        <v>0</v>
      </c>
      <c r="L50" s="163">
        <f t="shared" si="41"/>
        <v>0</v>
      </c>
      <c r="M50" s="163">
        <f t="shared" si="42"/>
        <v>5.6969696969696972</v>
      </c>
      <c r="N50" s="163">
        <f t="shared" si="43"/>
        <v>0</v>
      </c>
      <c r="O50" s="163">
        <f t="shared" si="7"/>
        <v>0</v>
      </c>
      <c r="P50" s="327">
        <f t="shared" si="44"/>
        <v>5.6969696969696972</v>
      </c>
      <c r="Q50" s="330">
        <f ca="1">IF($G50="","",Reserve!$I50)</f>
        <v>17441</v>
      </c>
      <c r="R50" s="323">
        <f>IF($G50="","",Reserve!$J51+Reserve!$K51)</f>
        <v>0</v>
      </c>
      <c r="S50" s="163" t="str">
        <f ca="1">IF($G50="","",Change!$G51)</f>
        <v/>
      </c>
      <c r="T50" s="163">
        <f t="shared" si="61"/>
        <v>0</v>
      </c>
      <c r="U50" s="331">
        <f t="shared" si="66"/>
        <v>6.3904784338662736E-4</v>
      </c>
      <c r="V50" s="323" t="str">
        <f ca="1">IF($G50="","",Reserve!$Q51-$R50)</f>
        <v/>
      </c>
      <c r="W50" s="163">
        <f>IF($G50="","",Reserve!$S51)</f>
        <v>0</v>
      </c>
      <c r="X50" s="327" t="str">
        <f t="shared" ca="1" si="67"/>
        <v/>
      </c>
      <c r="Y50" s="334">
        <f t="shared" si="68"/>
        <v>2.5999999999999999E-2</v>
      </c>
      <c r="Z50" s="220">
        <f>IF($G50="","",VLOOKUP(H50,Life!$A$3:$Q$113,$B$6+1,FALSE))</f>
        <v>8.4889000000000006E-2</v>
      </c>
      <c r="AA50" s="220">
        <f t="shared" si="69"/>
        <v>7.6400100000000012E-2</v>
      </c>
      <c r="AB50" s="220">
        <f t="shared" si="70"/>
        <v>1.3853998500000001E-2</v>
      </c>
      <c r="AC50" s="331">
        <f>IF($G50="","",HLOOKUP($G50,AssetShare_Table!$B$84:$G$85,2)*$D$11)</f>
        <v>1.4999999999999999E-2</v>
      </c>
      <c r="AD50" s="334">
        <f t="shared" si="71"/>
        <v>0.18119588217084168</v>
      </c>
      <c r="AE50" s="220">
        <f t="shared" si="72"/>
        <v>1.3843383517440523E-2</v>
      </c>
      <c r="AF50" s="220">
        <f t="shared" si="73"/>
        <v>2.5102874798010174E-3</v>
      </c>
      <c r="AG50" s="331">
        <f t="shared" si="74"/>
        <v>0.16484221117360015</v>
      </c>
      <c r="AH50" s="323" t="str">
        <f t="shared" ca="1" si="75"/>
        <v/>
      </c>
      <c r="AI50" s="163">
        <f t="shared" si="76"/>
        <v>0</v>
      </c>
      <c r="AJ50" s="163">
        <f t="shared" si="77"/>
        <v>68.129651696236479</v>
      </c>
      <c r="AK50" s="163" t="str">
        <f t="shared" ca="1" si="78"/>
        <v/>
      </c>
      <c r="AL50" s="163">
        <f t="shared" si="79"/>
        <v>0</v>
      </c>
      <c r="AM50" s="163" t="str">
        <f t="shared" ca="1" si="80"/>
        <v/>
      </c>
      <c r="AN50" s="163">
        <f t="shared" si="46"/>
        <v>0</v>
      </c>
      <c r="AO50" s="163" t="str">
        <f t="shared" ca="1" si="47"/>
        <v/>
      </c>
      <c r="AP50" s="163" t="str">
        <f t="shared" ca="1" si="81"/>
        <v/>
      </c>
      <c r="AQ50" s="163" t="str">
        <f t="shared" ca="1" si="82"/>
        <v/>
      </c>
      <c r="AR50" s="327" t="str">
        <f t="shared" ca="1" si="83"/>
        <v/>
      </c>
      <c r="AS50" s="323" t="str">
        <f t="shared" ca="1" si="84"/>
        <v/>
      </c>
      <c r="AT50" s="163" t="str">
        <f t="shared" ca="1" si="85"/>
        <v/>
      </c>
      <c r="AU50" s="163" t="str">
        <f t="shared" ca="1" si="86"/>
        <v/>
      </c>
      <c r="AV50" s="163" t="str">
        <f t="shared" ca="1" si="87"/>
        <v/>
      </c>
      <c r="AW50" s="327" t="str">
        <f t="shared" ca="1" si="88"/>
        <v/>
      </c>
      <c r="AX50" s="323" t="str">
        <f ca="1">IF($G50="","",Reserve!$P51-$R50)</f>
        <v/>
      </c>
      <c r="AY50" s="220">
        <f t="shared" si="89"/>
        <v>2.2499999999999999E-2</v>
      </c>
      <c r="AZ50" s="331">
        <f>IF($G50="","",VLOOKUP($H50,Life!$A$3:$R$113,18,FALSE))</f>
        <v>8.4888977857965495E-2</v>
      </c>
      <c r="BA50" s="162" t="str">
        <f t="shared" ca="1" si="90"/>
        <v/>
      </c>
      <c r="BB50" s="163" t="str">
        <f t="shared" ca="1" si="91"/>
        <v/>
      </c>
      <c r="BC50" s="163">
        <f t="shared" si="92"/>
        <v>-69.662568859401787</v>
      </c>
      <c r="BD50" s="163" t="str">
        <f t="shared" ca="1" si="93"/>
        <v/>
      </c>
      <c r="BE50" s="163" t="str">
        <f t="shared" ca="1" si="94"/>
        <v/>
      </c>
      <c r="BF50" s="163" t="str">
        <f t="shared" ca="1" si="95"/>
        <v/>
      </c>
      <c r="BG50" s="163">
        <f t="shared" si="96"/>
        <v>-0.23845378093682762</v>
      </c>
      <c r="BH50" s="163" t="str">
        <f t="shared" ca="1" si="97"/>
        <v/>
      </c>
      <c r="BI50" s="163" t="str">
        <f t="shared" ca="1" si="98"/>
        <v/>
      </c>
      <c r="BJ50" s="163" t="str">
        <f t="shared" ca="1" si="99"/>
        <v/>
      </c>
      <c r="BK50" s="164" t="str">
        <f t="shared" ca="1" si="100"/>
        <v/>
      </c>
      <c r="BL50" s="163" t="str">
        <f t="shared" ca="1" si="51"/>
        <v/>
      </c>
      <c r="BM50" s="163">
        <f t="shared" si="52"/>
        <v>5.6969696969696972</v>
      </c>
      <c r="BN50" s="163">
        <f t="shared" si="53"/>
        <v>0</v>
      </c>
      <c r="BO50" s="163">
        <f t="shared" si="54"/>
        <v>0</v>
      </c>
      <c r="BP50" s="163" t="str">
        <f t="shared" ca="1" si="55"/>
        <v/>
      </c>
      <c r="BQ50" s="163">
        <f t="shared" si="56"/>
        <v>68.129651696236479</v>
      </c>
      <c r="BR50" s="163">
        <f t="shared" si="57"/>
        <v>0</v>
      </c>
      <c r="BS50" s="163">
        <f t="shared" si="58"/>
        <v>0</v>
      </c>
      <c r="BT50" s="163">
        <f t="shared" si="59"/>
        <v>0</v>
      </c>
      <c r="BU50" s="164" t="str">
        <f t="shared" ca="1" si="60"/>
        <v/>
      </c>
    </row>
    <row r="51" spans="1:73" ht="15" thickBot="1" x14ac:dyDescent="0.35">
      <c r="A51" s="243" t="s">
        <v>200</v>
      </c>
      <c r="B51" s="304">
        <f>AssetShare_Table!B23</f>
        <v>1.1000000000000001</v>
      </c>
      <c r="C51" s="64"/>
      <c r="F51" s="36">
        <v>47</v>
      </c>
      <c r="G51" s="363">
        <f t="shared" si="62"/>
        <v>47</v>
      </c>
      <c r="H51" s="153">
        <f t="shared" si="63"/>
        <v>81</v>
      </c>
      <c r="I51" s="323">
        <f t="shared" si="64"/>
        <v>0</v>
      </c>
      <c r="J51" s="163">
        <f t="shared" si="65"/>
        <v>0</v>
      </c>
      <c r="K51" s="327">
        <f>IF($G51="","",Reserve!N51)</f>
        <v>0</v>
      </c>
      <c r="L51" s="163">
        <f t="shared" si="41"/>
        <v>0</v>
      </c>
      <c r="M51" s="163">
        <f t="shared" si="42"/>
        <v>5.6969696969696972</v>
      </c>
      <c r="N51" s="163">
        <f t="shared" si="43"/>
        <v>0</v>
      </c>
      <c r="O51" s="163">
        <f t="shared" si="7"/>
        <v>0</v>
      </c>
      <c r="P51" s="327">
        <f t="shared" si="44"/>
        <v>5.6969696969696972</v>
      </c>
      <c r="Q51" s="330">
        <f ca="1">IF($G51="","",Reserve!$I51)</f>
        <v>17441</v>
      </c>
      <c r="R51" s="323">
        <f>IF($G51="","",Reserve!$J52+Reserve!$K52)</f>
        <v>0</v>
      </c>
      <c r="S51" s="163" t="str">
        <f ca="1">IF($G51="","",Change!$G52)</f>
        <v/>
      </c>
      <c r="T51" s="163">
        <f t="shared" si="61"/>
        <v>0</v>
      </c>
      <c r="U51" s="331">
        <f t="shared" si="66"/>
        <v>6.3312249434956352E-4</v>
      </c>
      <c r="V51" s="323" t="str">
        <f ca="1">IF($G51="","",Reserve!$Q52-$R51)</f>
        <v/>
      </c>
      <c r="W51" s="163">
        <f>IF($G51="","",Reserve!$S52)</f>
        <v>0</v>
      </c>
      <c r="X51" s="327" t="str">
        <f t="shared" ca="1" si="67"/>
        <v/>
      </c>
      <c r="Y51" s="334">
        <f t="shared" si="68"/>
        <v>2.5999999999999999E-2</v>
      </c>
      <c r="Z51" s="220">
        <f>IF($G51="","",VLOOKUP(H51,Life!$A$3:$Q$113,$B$6+1,FALSE))</f>
        <v>9.2733999999999997E-2</v>
      </c>
      <c r="AA51" s="220">
        <f t="shared" si="69"/>
        <v>8.3460599999999996E-2</v>
      </c>
      <c r="AB51" s="220">
        <f t="shared" si="70"/>
        <v>1.3748091000000002E-2</v>
      </c>
      <c r="AC51" s="331">
        <f>IF($G51="","",HLOOKUP($G51,AssetShare_Table!$B$84:$G$85,2)*$D$11)</f>
        <v>1.4999999999999999E-2</v>
      </c>
      <c r="AD51" s="334">
        <f t="shared" si="71"/>
        <v>0.16484221117360015</v>
      </c>
      <c r="AE51" s="220">
        <f t="shared" si="72"/>
        <v>1.3757829849875372E-2</v>
      </c>
      <c r="AF51" s="220">
        <f t="shared" si="73"/>
        <v>2.2662657198558719E-3</v>
      </c>
      <c r="AG51" s="331">
        <f t="shared" si="74"/>
        <v>0.14881811560386893</v>
      </c>
      <c r="AH51" s="323" t="str">
        <f t="shared" ca="1" si="75"/>
        <v/>
      </c>
      <c r="AI51" s="163">
        <f t="shared" si="76"/>
        <v>0</v>
      </c>
      <c r="AJ51" s="163">
        <f t="shared" si="77"/>
        <v>61.980671401273653</v>
      </c>
      <c r="AK51" s="163" t="str">
        <f t="shared" ca="1" si="78"/>
        <v/>
      </c>
      <c r="AL51" s="163">
        <f t="shared" si="79"/>
        <v>0</v>
      </c>
      <c r="AM51" s="163" t="str">
        <f t="shared" ca="1" si="80"/>
        <v/>
      </c>
      <c r="AN51" s="163">
        <f t="shared" si="46"/>
        <v>0</v>
      </c>
      <c r="AO51" s="163" t="str">
        <f t="shared" ca="1" si="47"/>
        <v/>
      </c>
      <c r="AP51" s="163" t="str">
        <f t="shared" ca="1" si="81"/>
        <v/>
      </c>
      <c r="AQ51" s="163" t="str">
        <f t="shared" ca="1" si="82"/>
        <v/>
      </c>
      <c r="AR51" s="327" t="str">
        <f t="shared" ca="1" si="83"/>
        <v/>
      </c>
      <c r="AS51" s="323" t="str">
        <f t="shared" ca="1" si="84"/>
        <v/>
      </c>
      <c r="AT51" s="163" t="str">
        <f t="shared" ca="1" si="85"/>
        <v/>
      </c>
      <c r="AU51" s="163" t="str">
        <f t="shared" ca="1" si="86"/>
        <v/>
      </c>
      <c r="AV51" s="163" t="str">
        <f t="shared" ca="1" si="87"/>
        <v/>
      </c>
      <c r="AW51" s="327" t="str">
        <f t="shared" ca="1" si="88"/>
        <v/>
      </c>
      <c r="AX51" s="323" t="str">
        <f ca="1">IF($G51="","",Reserve!$P52-$R51)</f>
        <v/>
      </c>
      <c r="AY51" s="220">
        <f t="shared" si="89"/>
        <v>2.2499999999999999E-2</v>
      </c>
      <c r="AZ51" s="331">
        <f>IF($G51="","",VLOOKUP($H51,Life!$A$3:$R$113,18,FALSE))</f>
        <v>9.2734038219296461E-2</v>
      </c>
      <c r="BA51" s="162" t="str">
        <f t="shared" ca="1" si="90"/>
        <v/>
      </c>
      <c r="BB51" s="163" t="str">
        <f t="shared" ca="1" si="91"/>
        <v/>
      </c>
      <c r="BC51" s="163">
        <f t="shared" si="92"/>
        <v>-63.375236507802313</v>
      </c>
      <c r="BD51" s="163" t="str">
        <f t="shared" ca="1" si="93"/>
        <v/>
      </c>
      <c r="BE51" s="163" t="str">
        <f t="shared" ca="1" si="94"/>
        <v/>
      </c>
      <c r="BF51" s="163" t="str">
        <f t="shared" ca="1" si="95"/>
        <v/>
      </c>
      <c r="BG51" s="163">
        <f t="shared" si="96"/>
        <v>-0.21693234990445778</v>
      </c>
      <c r="BH51" s="163" t="str">
        <f t="shared" ca="1" si="97"/>
        <v/>
      </c>
      <c r="BI51" s="163" t="str">
        <f t="shared" ca="1" si="98"/>
        <v/>
      </c>
      <c r="BJ51" s="163" t="str">
        <f t="shared" ca="1" si="99"/>
        <v/>
      </c>
      <c r="BK51" s="164" t="str">
        <f t="shared" ca="1" si="100"/>
        <v/>
      </c>
      <c r="BL51" s="163" t="str">
        <f t="shared" ca="1" si="51"/>
        <v/>
      </c>
      <c r="BM51" s="163">
        <f t="shared" si="52"/>
        <v>5.6969696969696972</v>
      </c>
      <c r="BN51" s="163">
        <f t="shared" si="53"/>
        <v>0</v>
      </c>
      <c r="BO51" s="163">
        <f t="shared" si="54"/>
        <v>0</v>
      </c>
      <c r="BP51" s="163" t="str">
        <f t="shared" ca="1" si="55"/>
        <v/>
      </c>
      <c r="BQ51" s="163">
        <f t="shared" si="56"/>
        <v>61.980671401273653</v>
      </c>
      <c r="BR51" s="163">
        <f t="shared" si="57"/>
        <v>0</v>
      </c>
      <c r="BS51" s="163">
        <f t="shared" si="58"/>
        <v>0</v>
      </c>
      <c r="BT51" s="163">
        <f t="shared" si="59"/>
        <v>0</v>
      </c>
      <c r="BU51" s="164" t="str">
        <f t="shared" ca="1" si="60"/>
        <v/>
      </c>
    </row>
    <row r="52" spans="1:73" ht="15" thickBot="1" x14ac:dyDescent="0.35">
      <c r="F52" s="36">
        <v>48</v>
      </c>
      <c r="G52" s="363">
        <f t="shared" si="62"/>
        <v>48</v>
      </c>
      <c r="H52" s="153">
        <f t="shared" si="63"/>
        <v>82</v>
      </c>
      <c r="I52" s="323">
        <f t="shared" si="64"/>
        <v>0</v>
      </c>
      <c r="J52" s="163">
        <f t="shared" si="65"/>
        <v>0</v>
      </c>
      <c r="K52" s="327">
        <f>IF($G52="","",Reserve!N52)</f>
        <v>0</v>
      </c>
      <c r="L52" s="163">
        <f t="shared" si="41"/>
        <v>0</v>
      </c>
      <c r="M52" s="163">
        <f t="shared" si="42"/>
        <v>5.6969696969696972</v>
      </c>
      <c r="N52" s="163">
        <f t="shared" si="43"/>
        <v>0</v>
      </c>
      <c r="O52" s="163">
        <f t="shared" si="7"/>
        <v>0</v>
      </c>
      <c r="P52" s="327">
        <f t="shared" si="44"/>
        <v>5.6969696969696972</v>
      </c>
      <c r="Q52" s="330">
        <f ca="1">IF($G52="","",Reserve!$I52)</f>
        <v>17441</v>
      </c>
      <c r="R52" s="323">
        <f>IF($G52="","",Reserve!$J53+Reserve!$K53)</f>
        <v>0</v>
      </c>
      <c r="S52" s="163" t="str">
        <f ca="1">IF($G52="","",Change!$G53)</f>
        <v/>
      </c>
      <c r="T52" s="163">
        <f t="shared" si="61"/>
        <v>0</v>
      </c>
      <c r="U52" s="331">
        <f t="shared" si="66"/>
        <v>6.2761191974509414E-4</v>
      </c>
      <c r="V52" s="323" t="str">
        <f ca="1">IF($G52="","",Reserve!$Q53-$R52)</f>
        <v/>
      </c>
      <c r="W52" s="163">
        <f>IF($G52="","",Reserve!$S53)</f>
        <v>0</v>
      </c>
      <c r="X52" s="327" t="str">
        <f t="shared" ca="1" si="67"/>
        <v/>
      </c>
      <c r="Y52" s="334">
        <f t="shared" si="68"/>
        <v>2.5999999999999999E-2</v>
      </c>
      <c r="Z52" s="220">
        <f>IF($G52="","",VLOOKUP(H52,Life!$A$3:$Q$113,$B$6+1,FALSE))</f>
        <v>0.101268</v>
      </c>
      <c r="AA52" s="220">
        <f t="shared" si="69"/>
        <v>9.1141200000000006E-2</v>
      </c>
      <c r="AB52" s="220">
        <f t="shared" si="70"/>
        <v>1.3632881999999999E-2</v>
      </c>
      <c r="AC52" s="331">
        <f>IF($G52="","",HLOOKUP($G52,AssetShare_Table!$B$84:$G$85,2)*$D$11)</f>
        <v>1.4999999999999999E-2</v>
      </c>
      <c r="AD52" s="334">
        <f t="shared" si="71"/>
        <v>0.14881811560386893</v>
      </c>
      <c r="AE52" s="220">
        <f t="shared" si="72"/>
        <v>1.356346163787534E-2</v>
      </c>
      <c r="AF52" s="220">
        <f t="shared" si="73"/>
        <v>2.0288198094899038E-3</v>
      </c>
      <c r="AG52" s="331">
        <f t="shared" si="74"/>
        <v>0.13322583415650369</v>
      </c>
      <c r="AH52" s="323" t="str">
        <f t="shared" ca="1" si="75"/>
        <v/>
      </c>
      <c r="AI52" s="163">
        <f t="shared" si="76"/>
        <v>0</v>
      </c>
      <c r="AJ52" s="163">
        <f t="shared" si="77"/>
        <v>55.955611467054723</v>
      </c>
      <c r="AK52" s="163" t="str">
        <f t="shared" ca="1" si="78"/>
        <v/>
      </c>
      <c r="AL52" s="163">
        <f t="shared" si="79"/>
        <v>0</v>
      </c>
      <c r="AM52" s="163" t="str">
        <f t="shared" ca="1" si="80"/>
        <v/>
      </c>
      <c r="AN52" s="163">
        <f t="shared" si="46"/>
        <v>0</v>
      </c>
      <c r="AO52" s="163" t="str">
        <f t="shared" ca="1" si="47"/>
        <v/>
      </c>
      <c r="AP52" s="163" t="str">
        <f t="shared" ca="1" si="81"/>
        <v/>
      </c>
      <c r="AQ52" s="163" t="str">
        <f t="shared" ca="1" si="82"/>
        <v/>
      </c>
      <c r="AR52" s="327" t="str">
        <f t="shared" ca="1" si="83"/>
        <v/>
      </c>
      <c r="AS52" s="323" t="str">
        <f t="shared" ca="1" si="84"/>
        <v/>
      </c>
      <c r="AT52" s="163" t="str">
        <f t="shared" ca="1" si="85"/>
        <v/>
      </c>
      <c r="AU52" s="163" t="str">
        <f t="shared" ca="1" si="86"/>
        <v/>
      </c>
      <c r="AV52" s="163" t="str">
        <f t="shared" ca="1" si="87"/>
        <v/>
      </c>
      <c r="AW52" s="327" t="str">
        <f t="shared" ca="1" si="88"/>
        <v/>
      </c>
      <c r="AX52" s="323" t="str">
        <f ca="1">IF($G52="","",Reserve!$P53-$R52)</f>
        <v/>
      </c>
      <c r="AY52" s="220">
        <f t="shared" si="89"/>
        <v>2.2499999999999999E-2</v>
      </c>
      <c r="AZ52" s="331">
        <f>IF($G52="","",VLOOKUP($H52,Life!$A$3:$R$113,18,FALSE))</f>
        <v>0.10126791955605907</v>
      </c>
      <c r="BA52" s="162" t="str">
        <f t="shared" ca="1" si="90"/>
        <v/>
      </c>
      <c r="BB52" s="163" t="str">
        <f t="shared" ca="1" si="91"/>
        <v/>
      </c>
      <c r="BC52" s="163">
        <f t="shared" si="92"/>
        <v>-57.214612725063446</v>
      </c>
      <c r="BD52" s="163" t="str">
        <f t="shared" ca="1" si="93"/>
        <v/>
      </c>
      <c r="BE52" s="163" t="str">
        <f t="shared" ca="1" si="94"/>
        <v/>
      </c>
      <c r="BF52" s="163" t="str">
        <f t="shared" ca="1" si="95"/>
        <v/>
      </c>
      <c r="BG52" s="163">
        <f t="shared" si="96"/>
        <v>-0.19584464013469147</v>
      </c>
      <c r="BH52" s="163" t="str">
        <f t="shared" ca="1" si="97"/>
        <v/>
      </c>
      <c r="BI52" s="163" t="str">
        <f t="shared" ca="1" si="98"/>
        <v/>
      </c>
      <c r="BJ52" s="163" t="str">
        <f t="shared" ca="1" si="99"/>
        <v/>
      </c>
      <c r="BK52" s="164" t="str">
        <f t="shared" ca="1" si="100"/>
        <v/>
      </c>
      <c r="BL52" s="163" t="str">
        <f t="shared" ca="1" si="51"/>
        <v/>
      </c>
      <c r="BM52" s="163">
        <f t="shared" si="52"/>
        <v>5.6969696969696972</v>
      </c>
      <c r="BN52" s="163">
        <f t="shared" si="53"/>
        <v>0</v>
      </c>
      <c r="BO52" s="163">
        <f t="shared" si="54"/>
        <v>0</v>
      </c>
      <c r="BP52" s="163" t="str">
        <f t="shared" ca="1" si="55"/>
        <v/>
      </c>
      <c r="BQ52" s="163">
        <f t="shared" si="56"/>
        <v>55.955611467054723</v>
      </c>
      <c r="BR52" s="163">
        <f t="shared" si="57"/>
        <v>0</v>
      </c>
      <c r="BS52" s="163">
        <f t="shared" si="58"/>
        <v>0</v>
      </c>
      <c r="BT52" s="163">
        <f t="shared" si="59"/>
        <v>0</v>
      </c>
      <c r="BU52" s="164" t="str">
        <f t="shared" ca="1" si="60"/>
        <v/>
      </c>
    </row>
    <row r="53" spans="1:73" ht="15" thickBot="1" x14ac:dyDescent="0.35">
      <c r="A53" s="364" t="s">
        <v>382</v>
      </c>
      <c r="B53" s="365" t="s">
        <v>383</v>
      </c>
      <c r="F53" s="36">
        <v>49</v>
      </c>
      <c r="G53" s="363">
        <f t="shared" si="62"/>
        <v>49</v>
      </c>
      <c r="H53" s="153">
        <f t="shared" si="63"/>
        <v>83</v>
      </c>
      <c r="I53" s="323">
        <f t="shared" si="64"/>
        <v>0</v>
      </c>
      <c r="J53" s="163">
        <f t="shared" si="65"/>
        <v>0</v>
      </c>
      <c r="K53" s="327">
        <f>IF($G53="","",Reserve!N53)</f>
        <v>0</v>
      </c>
      <c r="L53" s="163">
        <f t="shared" si="41"/>
        <v>0</v>
      </c>
      <c r="M53" s="163">
        <f t="shared" si="42"/>
        <v>5.6969696969696972</v>
      </c>
      <c r="N53" s="163">
        <f t="shared" si="43"/>
        <v>0</v>
      </c>
      <c r="O53" s="163">
        <f t="shared" si="7"/>
        <v>0</v>
      </c>
      <c r="P53" s="327">
        <f t="shared" si="44"/>
        <v>5.6969696969696972</v>
      </c>
      <c r="Q53" s="330">
        <f ca="1">IF($G53="","",Reserve!$I53)</f>
        <v>17441</v>
      </c>
      <c r="R53" s="323">
        <f>IF($G53="","",Reserve!$J54+Reserve!$K54)</f>
        <v>0</v>
      </c>
      <c r="S53" s="163" t="str">
        <f ca="1">IF($G53="","",Change!$G54)</f>
        <v/>
      </c>
      <c r="T53" s="163">
        <f t="shared" si="61"/>
        <v>0</v>
      </c>
      <c r="U53" s="331">
        <f t="shared" si="66"/>
        <v>6.2248708536293755E-4</v>
      </c>
      <c r="V53" s="323" t="str">
        <f ca="1">IF($G53="","",Reserve!$Q54-$R53)</f>
        <v/>
      </c>
      <c r="W53" s="163">
        <f>IF($G53="","",Reserve!$S54)</f>
        <v>0</v>
      </c>
      <c r="X53" s="327" t="str">
        <f t="shared" ca="1" si="67"/>
        <v/>
      </c>
      <c r="Y53" s="334">
        <f t="shared" si="68"/>
        <v>2.5999999999999999E-2</v>
      </c>
      <c r="Z53" s="220">
        <f>IF($G53="","",VLOOKUP(H53,Life!$A$3:$Q$113,$B$6+1,FALSE))</f>
        <v>0.110542</v>
      </c>
      <c r="AA53" s="220">
        <f t="shared" si="69"/>
        <v>9.9487800000000001E-2</v>
      </c>
      <c r="AB53" s="220">
        <f t="shared" si="70"/>
        <v>1.3507682999999999E-2</v>
      </c>
      <c r="AC53" s="331">
        <f>IF($G53="","",HLOOKUP($G53,AssetShare_Table!$B$84:$G$85,2)*$D$11)</f>
        <v>1.4999999999999999E-2</v>
      </c>
      <c r="AD53" s="334">
        <f t="shared" si="71"/>
        <v>0.13322583415650369</v>
      </c>
      <c r="AE53" s="220">
        <f t="shared" si="72"/>
        <v>1.3254345143395407E-2</v>
      </c>
      <c r="AF53" s="220">
        <f t="shared" si="73"/>
        <v>1.7995723351966241E-3</v>
      </c>
      <c r="AG53" s="331">
        <f t="shared" si="74"/>
        <v>0.11817191667791166</v>
      </c>
      <c r="AH53" s="323" t="str">
        <f t="shared" ca="1" si="75"/>
        <v/>
      </c>
      <c r="AI53" s="163">
        <f t="shared" si="76"/>
        <v>0</v>
      </c>
      <c r="AJ53" s="163">
        <f t="shared" si="77"/>
        <v>50.092913642845389</v>
      </c>
      <c r="AK53" s="163" t="str">
        <f t="shared" ca="1" si="78"/>
        <v/>
      </c>
      <c r="AL53" s="163">
        <f t="shared" si="79"/>
        <v>0</v>
      </c>
      <c r="AM53" s="163" t="str">
        <f t="shared" ca="1" si="80"/>
        <v/>
      </c>
      <c r="AN53" s="163">
        <f t="shared" si="46"/>
        <v>0</v>
      </c>
      <c r="AO53" s="163" t="str">
        <f t="shared" ca="1" si="47"/>
        <v/>
      </c>
      <c r="AP53" s="163" t="str">
        <f t="shared" ca="1" si="81"/>
        <v/>
      </c>
      <c r="AQ53" s="163" t="str">
        <f t="shared" ca="1" si="82"/>
        <v/>
      </c>
      <c r="AR53" s="327" t="str">
        <f t="shared" ca="1" si="83"/>
        <v/>
      </c>
      <c r="AS53" s="323" t="str">
        <f t="shared" ca="1" si="84"/>
        <v/>
      </c>
      <c r="AT53" s="163" t="str">
        <f t="shared" ca="1" si="85"/>
        <v/>
      </c>
      <c r="AU53" s="163" t="str">
        <f t="shared" ca="1" si="86"/>
        <v/>
      </c>
      <c r="AV53" s="163" t="str">
        <f t="shared" ca="1" si="87"/>
        <v/>
      </c>
      <c r="AW53" s="327" t="str">
        <f t="shared" ca="1" si="88"/>
        <v/>
      </c>
      <c r="AX53" s="323" t="str">
        <f ca="1">IF($G53="","",Reserve!$P54-$R53)</f>
        <v/>
      </c>
      <c r="AY53" s="220">
        <f t="shared" si="89"/>
        <v>2.2499999999999999E-2</v>
      </c>
      <c r="AZ53" s="331">
        <f>IF($G53="","",VLOOKUP($H53,Life!$A$3:$R$113,18,FALSE))</f>
        <v>0.11054184576459034</v>
      </c>
      <c r="BA53" s="162" t="str">
        <f t="shared" ca="1" si="90"/>
        <v/>
      </c>
      <c r="BB53" s="163" t="str">
        <f t="shared" ca="1" si="91"/>
        <v/>
      </c>
      <c r="BC53" s="163">
        <f t="shared" si="92"/>
        <v>-51.220004199809409</v>
      </c>
      <c r="BD53" s="163" t="str">
        <f t="shared" ca="1" si="93"/>
        <v/>
      </c>
      <c r="BE53" s="163" t="str">
        <f t="shared" ca="1" si="94"/>
        <v/>
      </c>
      <c r="BF53" s="163" t="str">
        <f t="shared" ca="1" si="95"/>
        <v/>
      </c>
      <c r="BG53" s="163">
        <f t="shared" si="96"/>
        <v>-0.17532519774995883</v>
      </c>
      <c r="BH53" s="163" t="str">
        <f t="shared" ca="1" si="97"/>
        <v/>
      </c>
      <c r="BI53" s="163" t="str">
        <f t="shared" ca="1" si="98"/>
        <v/>
      </c>
      <c r="BJ53" s="163" t="str">
        <f t="shared" ca="1" si="99"/>
        <v/>
      </c>
      <c r="BK53" s="164" t="str">
        <f t="shared" ca="1" si="100"/>
        <v/>
      </c>
      <c r="BL53" s="163" t="str">
        <f t="shared" ca="1" si="51"/>
        <v/>
      </c>
      <c r="BM53" s="163">
        <f t="shared" si="52"/>
        <v>5.6969696969696972</v>
      </c>
      <c r="BN53" s="163">
        <f t="shared" si="53"/>
        <v>0</v>
      </c>
      <c r="BO53" s="163">
        <f t="shared" si="54"/>
        <v>0</v>
      </c>
      <c r="BP53" s="163" t="str">
        <f t="shared" ca="1" si="55"/>
        <v/>
      </c>
      <c r="BQ53" s="163">
        <f t="shared" si="56"/>
        <v>50.092913642845389</v>
      </c>
      <c r="BR53" s="163">
        <f t="shared" si="57"/>
        <v>0</v>
      </c>
      <c r="BS53" s="163">
        <f t="shared" si="58"/>
        <v>0</v>
      </c>
      <c r="BT53" s="163">
        <f t="shared" si="59"/>
        <v>0</v>
      </c>
      <c r="BU53" s="164" t="str">
        <f t="shared" ca="1" si="60"/>
        <v/>
      </c>
    </row>
    <row r="54" spans="1:73" ht="15" thickTop="1" x14ac:dyDescent="0.3">
      <c r="A54" s="363">
        <v>1</v>
      </c>
      <c r="B54" s="305">
        <f>INDEX(AssetShare_Table!$F$16:$I$21,A54,$B$8)</f>
        <v>0.32</v>
      </c>
      <c r="F54" s="320">
        <v>50</v>
      </c>
      <c r="G54" s="367">
        <f t="shared" si="62"/>
        <v>50</v>
      </c>
      <c r="H54" s="155">
        <f t="shared" si="63"/>
        <v>84</v>
      </c>
      <c r="I54" s="324">
        <f t="shared" si="64"/>
        <v>0</v>
      </c>
      <c r="J54" s="166">
        <f t="shared" si="65"/>
        <v>0</v>
      </c>
      <c r="K54" s="328">
        <f>IF($G54="","",Reserve!N54)</f>
        <v>0</v>
      </c>
      <c r="L54" s="166">
        <f t="shared" si="41"/>
        <v>0</v>
      </c>
      <c r="M54" s="166">
        <f t="shared" si="42"/>
        <v>5.6969696969696972</v>
      </c>
      <c r="N54" s="166">
        <f t="shared" si="43"/>
        <v>0</v>
      </c>
      <c r="O54" s="166">
        <f t="shared" si="7"/>
        <v>0</v>
      </c>
      <c r="P54" s="328">
        <f t="shared" si="44"/>
        <v>5.6969696969696972</v>
      </c>
      <c r="Q54" s="330">
        <f ca="1">IF($G54="","",Reserve!$I54)</f>
        <v>17441</v>
      </c>
      <c r="R54" s="324">
        <f>IF($G54="","",Reserve!$J55+Reserve!$K55)</f>
        <v>0</v>
      </c>
      <c r="S54" s="166" t="str">
        <f ca="1">IF($G54="","",Change!$G55)</f>
        <v/>
      </c>
      <c r="T54" s="163">
        <f t="shared" si="61"/>
        <v>0</v>
      </c>
      <c r="U54" s="332">
        <f t="shared" si="66"/>
        <v>6.1772098938753185E-4</v>
      </c>
      <c r="V54" s="324" t="str">
        <f ca="1">IF($G54="","",Reserve!$Q55-$R54)</f>
        <v/>
      </c>
      <c r="W54" s="166">
        <f>IF($G54="","",Reserve!$S55)</f>
        <v>0</v>
      </c>
      <c r="X54" s="328" t="str">
        <f t="shared" ca="1" si="67"/>
        <v/>
      </c>
      <c r="Y54" s="335">
        <f t="shared" si="68"/>
        <v>2.5999999999999999E-2</v>
      </c>
      <c r="Z54" s="235">
        <f>IF($G54="","",VLOOKUP(H54,Life!$A$3:$Q$113,$B$6+1,FALSE))</f>
        <v>0.120611</v>
      </c>
      <c r="AA54" s="235">
        <f t="shared" si="69"/>
        <v>0.1085499</v>
      </c>
      <c r="AB54" s="235">
        <f t="shared" si="70"/>
        <v>1.3371751500000001E-2</v>
      </c>
      <c r="AC54" s="332">
        <f>IF($G54="","",HLOOKUP($G54,AssetShare_Table!$B$84:$G$85,2)*$D$11)</f>
        <v>1.4999999999999999E-2</v>
      </c>
      <c r="AD54" s="335">
        <f t="shared" si="71"/>
        <v>0.11817191667791166</v>
      </c>
      <c r="AE54" s="235">
        <f t="shared" si="72"/>
        <v>1.2827549738195644E-2</v>
      </c>
      <c r="AF54" s="235">
        <f t="shared" si="73"/>
        <v>1.5801655040957403E-3</v>
      </c>
      <c r="AG54" s="332">
        <f t="shared" si="74"/>
        <v>0.10376420143562028</v>
      </c>
      <c r="AH54" s="324" t="str">
        <f t="shared" ca="1" si="75"/>
        <v/>
      </c>
      <c r="AI54" s="166">
        <f t="shared" si="76"/>
        <v>0</v>
      </c>
      <c r="AJ54" s="166">
        <f t="shared" si="77"/>
        <v>44.432640670894784</v>
      </c>
      <c r="AK54" s="166" t="str">
        <f t="shared" ca="1" si="78"/>
        <v/>
      </c>
      <c r="AL54" s="166">
        <f t="shared" si="79"/>
        <v>0</v>
      </c>
      <c r="AM54" s="166" t="str">
        <f t="shared" ca="1" si="80"/>
        <v/>
      </c>
      <c r="AN54" s="163">
        <f t="shared" si="46"/>
        <v>0</v>
      </c>
      <c r="AO54" s="166" t="str">
        <f t="shared" ca="1" si="47"/>
        <v/>
      </c>
      <c r="AP54" s="166" t="str">
        <f t="shared" ca="1" si="81"/>
        <v/>
      </c>
      <c r="AQ54" s="166" t="str">
        <f t="shared" ca="1" si="82"/>
        <v/>
      </c>
      <c r="AR54" s="328" t="str">
        <f t="shared" ca="1" si="83"/>
        <v/>
      </c>
      <c r="AS54" s="324" t="str">
        <f t="shared" ca="1" si="84"/>
        <v/>
      </c>
      <c r="AT54" s="166" t="str">
        <f t="shared" ca="1" si="85"/>
        <v/>
      </c>
      <c r="AU54" s="166" t="str">
        <f t="shared" ca="1" si="86"/>
        <v/>
      </c>
      <c r="AV54" s="166" t="str">
        <f t="shared" ca="1" si="87"/>
        <v/>
      </c>
      <c r="AW54" s="328" t="str">
        <f t="shared" ca="1" si="88"/>
        <v/>
      </c>
      <c r="AX54" s="324" t="str">
        <f ca="1">IF($G54="","",Reserve!$P55-$R54)</f>
        <v/>
      </c>
      <c r="AY54" s="235">
        <f t="shared" si="89"/>
        <v>2.2499999999999999E-2</v>
      </c>
      <c r="AZ54" s="332">
        <f>IF($G54="","",VLOOKUP($H54,Life!$A$3:$R$113,18,FALSE))</f>
        <v>0.12061081978630551</v>
      </c>
      <c r="BA54" s="165" t="str">
        <f t="shared" ca="1" si="90"/>
        <v/>
      </c>
      <c r="BB54" s="166" t="str">
        <f t="shared" ca="1" si="91"/>
        <v/>
      </c>
      <c r="BC54" s="166">
        <f t="shared" si="92"/>
        <v>-45.432375085989918</v>
      </c>
      <c r="BD54" s="166" t="str">
        <f t="shared" ca="1" si="93"/>
        <v/>
      </c>
      <c r="BE54" s="166" t="str">
        <f t="shared" ca="1" si="94"/>
        <v/>
      </c>
      <c r="BF54" s="166" t="str">
        <f t="shared" ca="1" si="95"/>
        <v/>
      </c>
      <c r="BG54" s="166">
        <f t="shared" si="96"/>
        <v>-0.15551424234813171</v>
      </c>
      <c r="BH54" s="166" t="str">
        <f t="shared" ca="1" si="97"/>
        <v/>
      </c>
      <c r="BI54" s="166" t="str">
        <f t="shared" ca="1" si="98"/>
        <v/>
      </c>
      <c r="BJ54" s="166" t="str">
        <f t="shared" ca="1" si="99"/>
        <v/>
      </c>
      <c r="BK54" s="167" t="str">
        <f t="shared" ca="1" si="100"/>
        <v/>
      </c>
      <c r="BL54" s="166" t="str">
        <f t="shared" ca="1" si="51"/>
        <v/>
      </c>
      <c r="BM54" s="163">
        <f t="shared" si="52"/>
        <v>5.6969696969696972</v>
      </c>
      <c r="BN54" s="166">
        <f t="shared" si="53"/>
        <v>0</v>
      </c>
      <c r="BO54" s="166">
        <f t="shared" si="54"/>
        <v>0</v>
      </c>
      <c r="BP54" s="166" t="str">
        <f t="shared" ca="1" si="55"/>
        <v/>
      </c>
      <c r="BQ54" s="166">
        <f t="shared" si="56"/>
        <v>44.432640670894784</v>
      </c>
      <c r="BR54" s="166">
        <f t="shared" si="57"/>
        <v>0</v>
      </c>
      <c r="BS54" s="166">
        <f t="shared" si="58"/>
        <v>0</v>
      </c>
      <c r="BT54" s="166">
        <f t="shared" si="59"/>
        <v>0</v>
      </c>
      <c r="BU54" s="167" t="str">
        <f t="shared" ca="1" si="60"/>
        <v/>
      </c>
    </row>
    <row r="55" spans="1:73" x14ac:dyDescent="0.3">
      <c r="A55" s="363">
        <v>2</v>
      </c>
      <c r="B55" s="305">
        <f>INDEX(AssetShare_Table!$F$16:$I$21,A55,$B$8)</f>
        <v>0.1</v>
      </c>
      <c r="F55" s="36">
        <v>51</v>
      </c>
      <c r="G55" s="363">
        <f t="shared" si="62"/>
        <v>51</v>
      </c>
      <c r="H55" s="153">
        <f t="shared" si="63"/>
        <v>85</v>
      </c>
      <c r="I55" s="323">
        <f t="shared" si="64"/>
        <v>0</v>
      </c>
      <c r="J55" s="163">
        <f t="shared" si="65"/>
        <v>0</v>
      </c>
      <c r="K55" s="327">
        <f>IF($G55="","",Reserve!N55)</f>
        <v>0</v>
      </c>
      <c r="L55" s="163">
        <f t="shared" si="41"/>
        <v>0</v>
      </c>
      <c r="M55" s="163">
        <f t="shared" si="42"/>
        <v>5.6969696969696972</v>
      </c>
      <c r="N55" s="163">
        <f t="shared" si="43"/>
        <v>0</v>
      </c>
      <c r="O55" s="163">
        <f t="shared" si="7"/>
        <v>0</v>
      </c>
      <c r="P55" s="327">
        <f t="shared" si="44"/>
        <v>5.6969696969696972</v>
      </c>
      <c r="Q55" s="330">
        <f ca="1">IF($G55="","",Reserve!$I55)</f>
        <v>17441</v>
      </c>
      <c r="R55" s="323">
        <f>IF($G55="","",Reserve!$J56+Reserve!$K56)</f>
        <v>0</v>
      </c>
      <c r="S55" s="163" t="str">
        <f ca="1">IF($G55="","",Change!$G56)</f>
        <v/>
      </c>
      <c r="T55" s="163">
        <f t="shared" si="61"/>
        <v>0</v>
      </c>
      <c r="U55" s="331">
        <f t="shared" si="66"/>
        <v>6.1328852013040459E-4</v>
      </c>
      <c r="V55" s="323" t="str">
        <f ca="1">IF($G55="","",Reserve!$Q56-$R55)</f>
        <v/>
      </c>
      <c r="W55" s="163">
        <f>IF($G55="","",Reserve!$S56)</f>
        <v>0</v>
      </c>
      <c r="X55" s="327" t="str">
        <f t="shared" ca="1" si="67"/>
        <v/>
      </c>
      <c r="Y55" s="334">
        <f t="shared" si="68"/>
        <v>2.5999999999999999E-2</v>
      </c>
      <c r="Z55" s="220">
        <f>IF($G55="","",VLOOKUP(H55,Life!$A$3:$Q$113,$B$6+1,FALSE))</f>
        <v>0.13153599999999999</v>
      </c>
      <c r="AA55" s="220">
        <f t="shared" si="69"/>
        <v>0.11838239999999998</v>
      </c>
      <c r="AB55" s="220">
        <f t="shared" si="70"/>
        <v>1.3224264000000001E-2</v>
      </c>
      <c r="AC55" s="331">
        <f>IF($G55="","",HLOOKUP($G55,AssetShare_Table!$B$84:$G$85,2)*$D$11)</f>
        <v>1.4999999999999999E-2</v>
      </c>
      <c r="AD55" s="334">
        <f t="shared" si="71"/>
        <v>0.10376420143562028</v>
      </c>
      <c r="AE55" s="220">
        <f t="shared" si="72"/>
        <v>1.2283855200032173E-2</v>
      </c>
      <c r="AF55" s="220">
        <f t="shared" si="73"/>
        <v>1.3722051935338216E-3</v>
      </c>
      <c r="AG55" s="331">
        <f t="shared" si="74"/>
        <v>9.0108141042054293E-2</v>
      </c>
      <c r="AH55" s="323" t="str">
        <f t="shared" ca="1" si="75"/>
        <v/>
      </c>
      <c r="AI55" s="163">
        <f t="shared" si="76"/>
        <v>0</v>
      </c>
      <c r="AJ55" s="163">
        <f t="shared" si="77"/>
        <v>39.015339739793227</v>
      </c>
      <c r="AK55" s="163" t="str">
        <f t="shared" ca="1" si="78"/>
        <v/>
      </c>
      <c r="AL55" s="163">
        <f t="shared" si="79"/>
        <v>0</v>
      </c>
      <c r="AM55" s="163" t="str">
        <f t="shared" ca="1" si="80"/>
        <v/>
      </c>
      <c r="AN55" s="163">
        <f t="shared" si="46"/>
        <v>0</v>
      </c>
      <c r="AO55" s="163" t="str">
        <f t="shared" ca="1" si="47"/>
        <v/>
      </c>
      <c r="AP55" s="163" t="str">
        <f t="shared" ca="1" si="81"/>
        <v/>
      </c>
      <c r="AQ55" s="163" t="str">
        <f t="shared" ca="1" si="82"/>
        <v/>
      </c>
      <c r="AR55" s="327" t="str">
        <f t="shared" ca="1" si="83"/>
        <v/>
      </c>
      <c r="AS55" s="323" t="str">
        <f t="shared" ca="1" si="84"/>
        <v/>
      </c>
      <c r="AT55" s="163" t="str">
        <f t="shared" ca="1" si="85"/>
        <v/>
      </c>
      <c r="AU55" s="163" t="str">
        <f t="shared" ca="1" si="86"/>
        <v/>
      </c>
      <c r="AV55" s="163" t="str">
        <f t="shared" ca="1" si="87"/>
        <v/>
      </c>
      <c r="AW55" s="327" t="str">
        <f t="shared" ca="1" si="88"/>
        <v/>
      </c>
      <c r="AX55" s="323" t="str">
        <f ca="1">IF($G55="","",Reserve!$P56-$R55)</f>
        <v/>
      </c>
      <c r="AY55" s="220">
        <f t="shared" si="89"/>
        <v>2.2499999999999999E-2</v>
      </c>
      <c r="AZ55" s="331">
        <f>IF($G55="","",VLOOKUP($H55,Life!$A$3:$R$113,18,FALSE))</f>
        <v>0.13153599793317564</v>
      </c>
      <c r="BA55" s="162" t="str">
        <f t="shared" ca="1" si="90"/>
        <v/>
      </c>
      <c r="BB55" s="163" t="str">
        <f t="shared" ca="1" si="91"/>
        <v/>
      </c>
      <c r="BC55" s="163">
        <f t="shared" si="92"/>
        <v>-39.893184883938574</v>
      </c>
      <c r="BD55" s="163" t="str">
        <f t="shared" ca="1" si="93"/>
        <v/>
      </c>
      <c r="BE55" s="163" t="str">
        <f t="shared" ca="1" si="94"/>
        <v/>
      </c>
      <c r="BF55" s="163" t="str">
        <f t="shared" ca="1" si="95"/>
        <v/>
      </c>
      <c r="BG55" s="163">
        <f t="shared" si="96"/>
        <v>-0.13655368908927629</v>
      </c>
      <c r="BH55" s="163" t="str">
        <f t="shared" ca="1" si="97"/>
        <v/>
      </c>
      <c r="BI55" s="163" t="str">
        <f t="shared" ca="1" si="98"/>
        <v/>
      </c>
      <c r="BJ55" s="163" t="str">
        <f t="shared" ca="1" si="99"/>
        <v/>
      </c>
      <c r="BK55" s="164" t="str">
        <f t="shared" ca="1" si="100"/>
        <v/>
      </c>
      <c r="BL55" s="163" t="str">
        <f t="shared" ca="1" si="51"/>
        <v/>
      </c>
      <c r="BM55" s="163">
        <f t="shared" si="52"/>
        <v>5.6969696969696972</v>
      </c>
      <c r="BN55" s="163">
        <f t="shared" si="53"/>
        <v>0</v>
      </c>
      <c r="BO55" s="163">
        <f t="shared" si="54"/>
        <v>0</v>
      </c>
      <c r="BP55" s="163" t="str">
        <f t="shared" ca="1" si="55"/>
        <v/>
      </c>
      <c r="BQ55" s="163">
        <f t="shared" si="56"/>
        <v>39.015339739793227</v>
      </c>
      <c r="BR55" s="163">
        <f t="shared" si="57"/>
        <v>0</v>
      </c>
      <c r="BS55" s="163">
        <f t="shared" si="58"/>
        <v>0</v>
      </c>
      <c r="BT55" s="163">
        <f t="shared" si="59"/>
        <v>0</v>
      </c>
      <c r="BU55" s="164" t="str">
        <f t="shared" ca="1" si="60"/>
        <v/>
      </c>
    </row>
    <row r="56" spans="1:73" x14ac:dyDescent="0.3">
      <c r="A56" s="363">
        <v>3</v>
      </c>
      <c r="B56" s="305">
        <f>INDEX(AssetShare_Table!$F$16:$I$21,A56,$B$8)</f>
        <v>0.05</v>
      </c>
      <c r="F56" s="36">
        <v>52</v>
      </c>
      <c r="G56" s="363">
        <f t="shared" si="62"/>
        <v>52</v>
      </c>
      <c r="H56" s="153">
        <f t="shared" si="63"/>
        <v>86</v>
      </c>
      <c r="I56" s="323">
        <f t="shared" si="64"/>
        <v>0</v>
      </c>
      <c r="J56" s="163">
        <f t="shared" si="65"/>
        <v>0</v>
      </c>
      <c r="K56" s="327">
        <f>IF($G56="","",Reserve!N56)</f>
        <v>0</v>
      </c>
      <c r="L56" s="163">
        <f t="shared" si="41"/>
        <v>0</v>
      </c>
      <c r="M56" s="163">
        <f t="shared" si="42"/>
        <v>5.6969696969696972</v>
      </c>
      <c r="N56" s="163">
        <f t="shared" si="43"/>
        <v>0</v>
      </c>
      <c r="O56" s="163">
        <f t="shared" si="7"/>
        <v>0</v>
      </c>
      <c r="P56" s="327">
        <f t="shared" si="44"/>
        <v>5.6969696969696972</v>
      </c>
      <c r="Q56" s="330">
        <f ca="1">IF($G56="","",Reserve!$I56)</f>
        <v>17441</v>
      </c>
      <c r="R56" s="323">
        <f>IF($G56="","",Reserve!$J57+Reserve!$K57)</f>
        <v>0</v>
      </c>
      <c r="S56" s="163" t="str">
        <f ca="1">IF($G56="","",Change!$G57)</f>
        <v/>
      </c>
      <c r="T56" s="163">
        <f t="shared" si="61"/>
        <v>0</v>
      </c>
      <c r="U56" s="331">
        <f t="shared" si="66"/>
        <v>6.0916632372127631E-4</v>
      </c>
      <c r="V56" s="323" t="str">
        <f ca="1">IF($G56="","",Reserve!$Q57-$R56)</f>
        <v/>
      </c>
      <c r="W56" s="163">
        <f>IF($G56="","",Reserve!$S57)</f>
        <v>0</v>
      </c>
      <c r="X56" s="327" t="str">
        <f t="shared" ca="1" si="67"/>
        <v/>
      </c>
      <c r="Y56" s="334">
        <f t="shared" si="68"/>
        <v>2.5999999999999999E-2</v>
      </c>
      <c r="Z56" s="220">
        <f>IF($G56="","",VLOOKUP(H56,Life!$A$3:$Q$113,$B$6+1,FALSE))</f>
        <v>0.143375</v>
      </c>
      <c r="AA56" s="220">
        <f t="shared" si="69"/>
        <v>0.1290375</v>
      </c>
      <c r="AB56" s="220">
        <f t="shared" si="70"/>
        <v>1.30644375E-2</v>
      </c>
      <c r="AC56" s="331">
        <f>IF($G56="","",HLOOKUP($G56,AssetShare_Table!$B$84:$G$85,2)*$D$11)</f>
        <v>1.4999999999999999E-2</v>
      </c>
      <c r="AD56" s="334">
        <f t="shared" si="71"/>
        <v>9.0108141042054293E-2</v>
      </c>
      <c r="AE56" s="220">
        <f t="shared" si="72"/>
        <v>1.1627329249714081E-2</v>
      </c>
      <c r="AF56" s="220">
        <f t="shared" si="73"/>
        <v>1.1772121768851031E-3</v>
      </c>
      <c r="AG56" s="331">
        <f t="shared" si="74"/>
        <v>7.7303599615455104E-2</v>
      </c>
      <c r="AH56" s="323" t="str">
        <f t="shared" ca="1" si="75"/>
        <v/>
      </c>
      <c r="AI56" s="163">
        <f t="shared" si="76"/>
        <v>0</v>
      </c>
      <c r="AJ56" s="163">
        <f t="shared" si="77"/>
        <v>33.880661031812416</v>
      </c>
      <c r="AK56" s="163" t="str">
        <f t="shared" ca="1" si="78"/>
        <v/>
      </c>
      <c r="AL56" s="163">
        <f t="shared" si="79"/>
        <v>0</v>
      </c>
      <c r="AM56" s="163" t="str">
        <f t="shared" ca="1" si="80"/>
        <v/>
      </c>
      <c r="AN56" s="163">
        <f t="shared" si="46"/>
        <v>0</v>
      </c>
      <c r="AO56" s="163" t="str">
        <f t="shared" ca="1" si="47"/>
        <v/>
      </c>
      <c r="AP56" s="163" t="str">
        <f t="shared" ca="1" si="81"/>
        <v/>
      </c>
      <c r="AQ56" s="163" t="str">
        <f t="shared" ca="1" si="82"/>
        <v/>
      </c>
      <c r="AR56" s="327" t="str">
        <f t="shared" ca="1" si="83"/>
        <v/>
      </c>
      <c r="AS56" s="323" t="str">
        <f t="shared" ca="1" si="84"/>
        <v/>
      </c>
      <c r="AT56" s="163" t="str">
        <f t="shared" ca="1" si="85"/>
        <v/>
      </c>
      <c r="AU56" s="163" t="str">
        <f t="shared" ca="1" si="86"/>
        <v/>
      </c>
      <c r="AV56" s="163" t="str">
        <f t="shared" ca="1" si="87"/>
        <v/>
      </c>
      <c r="AW56" s="327" t="str">
        <f t="shared" ca="1" si="88"/>
        <v/>
      </c>
      <c r="AX56" s="323" t="str">
        <f ca="1">IF($G56="","",Reserve!$P57-$R56)</f>
        <v/>
      </c>
      <c r="AY56" s="220">
        <f t="shared" si="89"/>
        <v>2.2499999999999999E-2</v>
      </c>
      <c r="AZ56" s="331">
        <f>IF($G56="","",VLOOKUP($H56,Life!$A$3:$R$113,18,FALSE))</f>
        <v>0.14337488004521737</v>
      </c>
      <c r="BA56" s="162" t="str">
        <f t="shared" ca="1" si="90"/>
        <v/>
      </c>
      <c r="BB56" s="163" t="str">
        <f t="shared" ca="1" si="91"/>
        <v/>
      </c>
      <c r="BC56" s="163">
        <f t="shared" si="92"/>
        <v>-34.642975905028187</v>
      </c>
      <c r="BD56" s="163" t="str">
        <f t="shared" ca="1" si="93"/>
        <v/>
      </c>
      <c r="BE56" s="163" t="str">
        <f t="shared" ca="1" si="94"/>
        <v/>
      </c>
      <c r="BF56" s="163" t="str">
        <f t="shared" ca="1" si="95"/>
        <v/>
      </c>
      <c r="BG56" s="163">
        <f t="shared" si="96"/>
        <v>-0.11858231361134344</v>
      </c>
      <c r="BH56" s="163" t="str">
        <f t="shared" ca="1" si="97"/>
        <v/>
      </c>
      <c r="BI56" s="163" t="str">
        <f t="shared" ca="1" si="98"/>
        <v/>
      </c>
      <c r="BJ56" s="163" t="str">
        <f t="shared" ca="1" si="99"/>
        <v/>
      </c>
      <c r="BK56" s="164" t="str">
        <f t="shared" ca="1" si="100"/>
        <v/>
      </c>
      <c r="BL56" s="163" t="str">
        <f t="shared" ca="1" si="51"/>
        <v/>
      </c>
      <c r="BM56" s="163">
        <f t="shared" si="52"/>
        <v>5.6969696969696972</v>
      </c>
      <c r="BN56" s="163">
        <f t="shared" si="53"/>
        <v>0</v>
      </c>
      <c r="BO56" s="163">
        <f t="shared" si="54"/>
        <v>0</v>
      </c>
      <c r="BP56" s="163" t="str">
        <f t="shared" ca="1" si="55"/>
        <v/>
      </c>
      <c r="BQ56" s="163">
        <f t="shared" si="56"/>
        <v>33.880661031812416</v>
      </c>
      <c r="BR56" s="163">
        <f t="shared" si="57"/>
        <v>0</v>
      </c>
      <c r="BS56" s="163">
        <f t="shared" si="58"/>
        <v>0</v>
      </c>
      <c r="BT56" s="163">
        <f t="shared" si="59"/>
        <v>0</v>
      </c>
      <c r="BU56" s="164" t="str">
        <f t="shared" ca="1" si="60"/>
        <v/>
      </c>
    </row>
    <row r="57" spans="1:73" x14ac:dyDescent="0.3">
      <c r="A57" s="363">
        <v>4</v>
      </c>
      <c r="B57" s="305">
        <f>INDEX(AssetShare_Table!$F$16:$I$21,A57,$B$8)</f>
        <v>0.05</v>
      </c>
      <c r="F57" s="36">
        <v>53</v>
      </c>
      <c r="G57" s="363">
        <f t="shared" si="62"/>
        <v>53</v>
      </c>
      <c r="H57" s="153">
        <f t="shared" si="63"/>
        <v>87</v>
      </c>
      <c r="I57" s="323">
        <f t="shared" si="64"/>
        <v>0</v>
      </c>
      <c r="J57" s="163">
        <f t="shared" si="65"/>
        <v>0</v>
      </c>
      <c r="K57" s="327">
        <f>IF($G57="","",Reserve!N57)</f>
        <v>0</v>
      </c>
      <c r="L57" s="163">
        <f t="shared" si="41"/>
        <v>0</v>
      </c>
      <c r="M57" s="163">
        <f t="shared" si="42"/>
        <v>5.6969696969696972</v>
      </c>
      <c r="N57" s="163">
        <f t="shared" si="43"/>
        <v>0</v>
      </c>
      <c r="O57" s="163">
        <f t="shared" si="7"/>
        <v>0</v>
      </c>
      <c r="P57" s="327">
        <f t="shared" si="44"/>
        <v>5.6969696969696972</v>
      </c>
      <c r="Q57" s="330">
        <f ca="1">IF($G57="","",Reserve!$I57)</f>
        <v>17441</v>
      </c>
      <c r="R57" s="323">
        <f>IF($G57="","",Reserve!$J58+Reserve!$K58)</f>
        <v>0</v>
      </c>
      <c r="S57" s="163" t="str">
        <f ca="1">IF($G57="","",Change!$G58)</f>
        <v/>
      </c>
      <c r="T57" s="163">
        <f t="shared" si="61"/>
        <v>0</v>
      </c>
      <c r="U57" s="331">
        <f t="shared" si="66"/>
        <v>6.0533268106078707E-4</v>
      </c>
      <c r="V57" s="323" t="str">
        <f ca="1">IF($G57="","",Reserve!$Q58-$R57)</f>
        <v/>
      </c>
      <c r="W57" s="163">
        <f>IF($G57="","",Reserve!$S58)</f>
        <v>0</v>
      </c>
      <c r="X57" s="327" t="str">
        <f t="shared" ca="1" si="67"/>
        <v/>
      </c>
      <c r="Y57" s="334">
        <f t="shared" si="68"/>
        <v>2.5999999999999999E-2</v>
      </c>
      <c r="Z57" s="220">
        <f>IF($G57="","",VLOOKUP(H57,Life!$A$3:$Q$113,$B$6+1,FALSE))</f>
        <v>0.15618799999999999</v>
      </c>
      <c r="AA57" s="220">
        <f t="shared" si="69"/>
        <v>0.14056920000000001</v>
      </c>
      <c r="AB57" s="220">
        <f t="shared" si="70"/>
        <v>1.2891461999999999E-2</v>
      </c>
      <c r="AC57" s="331">
        <f>IF($G57="","",HLOOKUP($G57,AssetShare_Table!$B$84:$G$85,2)*$D$11)</f>
        <v>1.4999999999999999E-2</v>
      </c>
      <c r="AD57" s="334">
        <f t="shared" si="71"/>
        <v>7.7303599615455104E-2</v>
      </c>
      <c r="AE57" s="220">
        <f t="shared" si="72"/>
        <v>1.0866505155064833E-2</v>
      </c>
      <c r="AF57" s="220">
        <f t="shared" si="73"/>
        <v>9.9655641690585403E-4</v>
      </c>
      <c r="AG57" s="331">
        <f t="shared" si="74"/>
        <v>6.5440538043484417E-2</v>
      </c>
      <c r="AH57" s="323" t="str">
        <f t="shared" ca="1" si="75"/>
        <v/>
      </c>
      <c r="AI57" s="163">
        <f t="shared" si="76"/>
        <v>0</v>
      </c>
      <c r="AJ57" s="163">
        <f t="shared" si="77"/>
        <v>29.066153455411119</v>
      </c>
      <c r="AK57" s="163" t="str">
        <f t="shared" ca="1" si="78"/>
        <v/>
      </c>
      <c r="AL57" s="163">
        <f t="shared" si="79"/>
        <v>0</v>
      </c>
      <c r="AM57" s="163" t="str">
        <f t="shared" ca="1" si="80"/>
        <v/>
      </c>
      <c r="AN57" s="163">
        <f t="shared" si="46"/>
        <v>0</v>
      </c>
      <c r="AO57" s="163" t="str">
        <f t="shared" ca="1" si="47"/>
        <v/>
      </c>
      <c r="AP57" s="163" t="str">
        <f t="shared" ca="1" si="81"/>
        <v/>
      </c>
      <c r="AQ57" s="163" t="str">
        <f t="shared" ca="1" si="82"/>
        <v/>
      </c>
      <c r="AR57" s="327" t="str">
        <f t="shared" ca="1" si="83"/>
        <v/>
      </c>
      <c r="AS57" s="323" t="str">
        <f t="shared" ca="1" si="84"/>
        <v/>
      </c>
      <c r="AT57" s="163" t="str">
        <f t="shared" ca="1" si="85"/>
        <v/>
      </c>
      <c r="AU57" s="163" t="str">
        <f t="shared" ca="1" si="86"/>
        <v/>
      </c>
      <c r="AV57" s="163" t="str">
        <f t="shared" ca="1" si="87"/>
        <v/>
      </c>
      <c r="AW57" s="327" t="str">
        <f t="shared" ca="1" si="88"/>
        <v/>
      </c>
      <c r="AX57" s="323" t="str">
        <f ca="1">IF($G57="","",Reserve!$P58-$R57)</f>
        <v/>
      </c>
      <c r="AY57" s="220">
        <f t="shared" si="89"/>
        <v>2.2499999999999999E-2</v>
      </c>
      <c r="AZ57" s="331">
        <f>IF($G57="","",VLOOKUP($H57,Life!$A$3:$R$113,18,FALSE))</f>
        <v>0.15618780521101022</v>
      </c>
      <c r="BA57" s="162" t="str">
        <f t="shared" ca="1" si="90"/>
        <v/>
      </c>
      <c r="BB57" s="163" t="str">
        <f t="shared" ca="1" si="91"/>
        <v/>
      </c>
      <c r="BC57" s="163">
        <f t="shared" si="92"/>
        <v>-29.720141908157867</v>
      </c>
      <c r="BD57" s="163" t="str">
        <f t="shared" ca="1" si="93"/>
        <v/>
      </c>
      <c r="BE57" s="163" t="str">
        <f t="shared" ca="1" si="94"/>
        <v/>
      </c>
      <c r="BF57" s="163" t="str">
        <f t="shared" ca="1" si="95"/>
        <v/>
      </c>
      <c r="BG57" s="163">
        <f t="shared" si="96"/>
        <v>-0.10173153709393891</v>
      </c>
      <c r="BH57" s="163" t="str">
        <f t="shared" ca="1" si="97"/>
        <v/>
      </c>
      <c r="BI57" s="163" t="str">
        <f t="shared" ca="1" si="98"/>
        <v/>
      </c>
      <c r="BJ57" s="163" t="str">
        <f t="shared" ca="1" si="99"/>
        <v/>
      </c>
      <c r="BK57" s="164" t="str">
        <f t="shared" ca="1" si="100"/>
        <v/>
      </c>
      <c r="BL57" s="163" t="str">
        <f t="shared" ca="1" si="51"/>
        <v/>
      </c>
      <c r="BM57" s="163">
        <f t="shared" si="52"/>
        <v>5.6969696969696972</v>
      </c>
      <c r="BN57" s="163">
        <f t="shared" si="53"/>
        <v>0</v>
      </c>
      <c r="BO57" s="163">
        <f t="shared" si="54"/>
        <v>0</v>
      </c>
      <c r="BP57" s="163" t="str">
        <f t="shared" ca="1" si="55"/>
        <v/>
      </c>
      <c r="BQ57" s="163">
        <f t="shared" si="56"/>
        <v>29.066153455411119</v>
      </c>
      <c r="BR57" s="163">
        <f t="shared" si="57"/>
        <v>0</v>
      </c>
      <c r="BS57" s="163">
        <f t="shared" si="58"/>
        <v>0</v>
      </c>
      <c r="BT57" s="163">
        <f t="shared" si="59"/>
        <v>0</v>
      </c>
      <c r="BU57" s="164" t="str">
        <f t="shared" ca="1" si="60"/>
        <v/>
      </c>
    </row>
    <row r="58" spans="1:73" x14ac:dyDescent="0.3">
      <c r="A58" s="367">
        <v>5</v>
      </c>
      <c r="B58" s="366">
        <f>INDEX(AssetShare_Table!$F$16:$I$21,A58,$B$8)</f>
        <v>0.05</v>
      </c>
      <c r="F58" s="36">
        <v>54</v>
      </c>
      <c r="G58" s="363">
        <f t="shared" si="62"/>
        <v>54</v>
      </c>
      <c r="H58" s="153">
        <f t="shared" si="63"/>
        <v>88</v>
      </c>
      <c r="I58" s="323">
        <f t="shared" si="64"/>
        <v>0</v>
      </c>
      <c r="J58" s="163">
        <f t="shared" si="65"/>
        <v>0</v>
      </c>
      <c r="K58" s="327">
        <f>IF($G58="","",Reserve!N58)</f>
        <v>0</v>
      </c>
      <c r="L58" s="163">
        <f t="shared" si="41"/>
        <v>0</v>
      </c>
      <c r="M58" s="163">
        <f t="shared" si="42"/>
        <v>5.6969696969696972</v>
      </c>
      <c r="N58" s="163">
        <f t="shared" si="43"/>
        <v>0</v>
      </c>
      <c r="O58" s="163">
        <f t="shared" si="7"/>
        <v>0</v>
      </c>
      <c r="P58" s="327">
        <f t="shared" si="44"/>
        <v>5.6969696969696972</v>
      </c>
      <c r="Q58" s="330">
        <f ca="1">IF($G58="","",Reserve!$I58)</f>
        <v>17441</v>
      </c>
      <c r="R58" s="323">
        <f>IF($G58="","",Reserve!$J59+Reserve!$K59)</f>
        <v>0</v>
      </c>
      <c r="S58" s="163" t="str">
        <f ca="1">IF($G58="","",Change!$G59)</f>
        <v/>
      </c>
      <c r="T58" s="163">
        <f t="shared" si="61"/>
        <v>0</v>
      </c>
      <c r="U58" s="331">
        <f t="shared" si="66"/>
        <v>6.0176739338653191E-4</v>
      </c>
      <c r="V58" s="323" t="str">
        <f ca="1">IF($G58="","",Reserve!$Q59-$R58)</f>
        <v/>
      </c>
      <c r="W58" s="163">
        <f>IF($G58="","",Reserve!$S59)</f>
        <v>0</v>
      </c>
      <c r="X58" s="327" t="str">
        <f t="shared" ca="1" si="67"/>
        <v/>
      </c>
      <c r="Y58" s="334">
        <f t="shared" si="68"/>
        <v>2.5999999999999999E-2</v>
      </c>
      <c r="Z58" s="220">
        <f>IF($G58="","",VLOOKUP(H58,Life!$A$3:$Q$113,$B$6+1,FALSE))</f>
        <v>0.17003299999999999</v>
      </c>
      <c r="AA58" s="220">
        <f t="shared" si="69"/>
        <v>0.15302969999999999</v>
      </c>
      <c r="AB58" s="220">
        <f t="shared" si="70"/>
        <v>1.27045545E-2</v>
      </c>
      <c r="AC58" s="331">
        <f>IF($G58="","",HLOOKUP($G58,AssetShare_Table!$B$84:$G$85,2)*$D$11)</f>
        <v>1.4999999999999999E-2</v>
      </c>
      <c r="AD58" s="334">
        <f t="shared" si="71"/>
        <v>6.5440538043484417E-2</v>
      </c>
      <c r="AE58" s="220">
        <f t="shared" si="72"/>
        <v>1.0014345904633007E-2</v>
      </c>
      <c r="AF58" s="220">
        <f t="shared" si="73"/>
        <v>8.3139288208277111E-4</v>
      </c>
      <c r="AG58" s="331">
        <f t="shared" si="74"/>
        <v>5.459479925676864E-2</v>
      </c>
      <c r="AH58" s="323" t="str">
        <f t="shared" ca="1" si="75"/>
        <v/>
      </c>
      <c r="AI58" s="163">
        <f t="shared" si="76"/>
        <v>0</v>
      </c>
      <c r="AJ58" s="163">
        <f t="shared" si="77"/>
        <v>24.605642304350141</v>
      </c>
      <c r="AK58" s="163" t="str">
        <f t="shared" ca="1" si="78"/>
        <v/>
      </c>
      <c r="AL58" s="163">
        <f t="shared" si="79"/>
        <v>0</v>
      </c>
      <c r="AM58" s="163" t="str">
        <f t="shared" ca="1" si="80"/>
        <v/>
      </c>
      <c r="AN58" s="163">
        <f t="shared" si="46"/>
        <v>0</v>
      </c>
      <c r="AO58" s="163" t="str">
        <f t="shared" ca="1" si="47"/>
        <v/>
      </c>
      <c r="AP58" s="163" t="str">
        <f t="shared" ca="1" si="81"/>
        <v/>
      </c>
      <c r="AQ58" s="163" t="str">
        <f t="shared" ca="1" si="82"/>
        <v/>
      </c>
      <c r="AR58" s="327" t="str">
        <f t="shared" ca="1" si="83"/>
        <v/>
      </c>
      <c r="AS58" s="323" t="str">
        <f t="shared" ca="1" si="84"/>
        <v/>
      </c>
      <c r="AT58" s="163" t="str">
        <f t="shared" ca="1" si="85"/>
        <v/>
      </c>
      <c r="AU58" s="163" t="str">
        <f t="shared" ca="1" si="86"/>
        <v/>
      </c>
      <c r="AV58" s="163" t="str">
        <f t="shared" ca="1" si="87"/>
        <v/>
      </c>
      <c r="AW58" s="327" t="str">
        <f t="shared" ca="1" si="88"/>
        <v/>
      </c>
      <c r="AX58" s="323" t="str">
        <f ca="1">IF($G58="","",Reserve!$P59-$R58)</f>
        <v/>
      </c>
      <c r="AY58" s="220">
        <f t="shared" si="89"/>
        <v>2.2499999999999999E-2</v>
      </c>
      <c r="AZ58" s="331">
        <f>IF($G58="","",VLOOKUP($H58,Life!$A$3:$R$113,18,FALSE))</f>
        <v>0.17003288161907559</v>
      </c>
      <c r="BA58" s="162" t="str">
        <f t="shared" ca="1" si="90"/>
        <v/>
      </c>
      <c r="BB58" s="163" t="str">
        <f t="shared" ca="1" si="91"/>
        <v/>
      </c>
      <c r="BC58" s="163">
        <f t="shared" si="92"/>
        <v>-25.159269256198019</v>
      </c>
      <c r="BD58" s="163" t="str">
        <f t="shared" ca="1" si="93"/>
        <v/>
      </c>
      <c r="BE58" s="163" t="str">
        <f t="shared" ca="1" si="94"/>
        <v/>
      </c>
      <c r="BF58" s="163" t="str">
        <f t="shared" ca="1" si="95"/>
        <v/>
      </c>
      <c r="BG58" s="163">
        <f t="shared" si="96"/>
        <v>-8.6119748065225488E-2</v>
      </c>
      <c r="BH58" s="163" t="str">
        <f t="shared" ca="1" si="97"/>
        <v/>
      </c>
      <c r="BI58" s="163" t="str">
        <f t="shared" ca="1" si="98"/>
        <v/>
      </c>
      <c r="BJ58" s="163" t="str">
        <f t="shared" ca="1" si="99"/>
        <v/>
      </c>
      <c r="BK58" s="164" t="str">
        <f t="shared" ca="1" si="100"/>
        <v/>
      </c>
      <c r="BL58" s="163" t="str">
        <f t="shared" ca="1" si="51"/>
        <v/>
      </c>
      <c r="BM58" s="163">
        <f t="shared" si="52"/>
        <v>5.6969696969696972</v>
      </c>
      <c r="BN58" s="163">
        <f t="shared" si="53"/>
        <v>0</v>
      </c>
      <c r="BO58" s="163">
        <f t="shared" si="54"/>
        <v>0</v>
      </c>
      <c r="BP58" s="163" t="str">
        <f t="shared" ca="1" si="55"/>
        <v/>
      </c>
      <c r="BQ58" s="163">
        <f t="shared" si="56"/>
        <v>24.605642304350141</v>
      </c>
      <c r="BR58" s="163">
        <f t="shared" si="57"/>
        <v>0</v>
      </c>
      <c r="BS58" s="163">
        <f t="shared" si="58"/>
        <v>0</v>
      </c>
      <c r="BT58" s="163">
        <f t="shared" si="59"/>
        <v>0</v>
      </c>
      <c r="BU58" s="164" t="str">
        <f t="shared" ca="1" si="60"/>
        <v/>
      </c>
    </row>
    <row r="59" spans="1:73" ht="15" thickBot="1" x14ac:dyDescent="0.35">
      <c r="A59" s="38">
        <v>6</v>
      </c>
      <c r="B59" s="283">
        <f>INDEX(AssetShare_Table!$F$16:$I$21,A59,$B$8)</f>
        <v>0.05</v>
      </c>
      <c r="F59" s="320">
        <v>55</v>
      </c>
      <c r="G59" s="367">
        <f t="shared" si="62"/>
        <v>55</v>
      </c>
      <c r="H59" s="155">
        <f t="shared" si="63"/>
        <v>89</v>
      </c>
      <c r="I59" s="324">
        <f t="shared" si="64"/>
        <v>0</v>
      </c>
      <c r="J59" s="166">
        <f t="shared" si="65"/>
        <v>0</v>
      </c>
      <c r="K59" s="328">
        <f>IF($G59="","",Reserve!N59)</f>
        <v>0</v>
      </c>
      <c r="L59" s="166">
        <f t="shared" si="41"/>
        <v>0</v>
      </c>
      <c r="M59" s="166">
        <f t="shared" si="42"/>
        <v>5.6969696969696972</v>
      </c>
      <c r="N59" s="166">
        <f t="shared" si="43"/>
        <v>0</v>
      </c>
      <c r="O59" s="166">
        <f t="shared" si="7"/>
        <v>0</v>
      </c>
      <c r="P59" s="328">
        <f t="shared" si="44"/>
        <v>5.6969696969696972</v>
      </c>
      <c r="Q59" s="330">
        <f ca="1">IF($G59="","",Reserve!$I59)</f>
        <v>17441</v>
      </c>
      <c r="R59" s="324">
        <f>IF($G59="","",Reserve!$J60+Reserve!$K60)</f>
        <v>0</v>
      </c>
      <c r="S59" s="166" t="str">
        <f ca="1">IF($G59="","",Change!$G60)</f>
        <v/>
      </c>
      <c r="T59" s="163">
        <f t="shared" si="61"/>
        <v>0</v>
      </c>
      <c r="U59" s="332">
        <f t="shared" si="66"/>
        <v>5.9845167584947475E-4</v>
      </c>
      <c r="V59" s="324" t="str">
        <f ca="1">IF($G59="","",Reserve!$Q60-$R59)</f>
        <v/>
      </c>
      <c r="W59" s="166">
        <f>IF($G59="","",Reserve!$S60)</f>
        <v>0</v>
      </c>
      <c r="X59" s="328" t="str">
        <f t="shared" ca="1" si="67"/>
        <v/>
      </c>
      <c r="Y59" s="335">
        <f t="shared" si="68"/>
        <v>2.5999999999999999E-2</v>
      </c>
      <c r="Z59" s="235">
        <f>IF($G59="","",VLOOKUP(H59,Life!$A$3:$Q$113,$B$6+1,FALSE))</f>
        <v>0.18497</v>
      </c>
      <c r="AA59" s="235">
        <f t="shared" si="69"/>
        <v>0.16647300000000001</v>
      </c>
      <c r="AB59" s="235">
        <f t="shared" si="70"/>
        <v>1.2502904999999998E-2</v>
      </c>
      <c r="AC59" s="332">
        <f>IF($G59="","",HLOOKUP($G59,AssetShare_Table!$B$84:$G$85,2)*$D$11)</f>
        <v>1.4999999999999999E-2</v>
      </c>
      <c r="AD59" s="335">
        <f t="shared" si="71"/>
        <v>5.459479925676864E-2</v>
      </c>
      <c r="AE59" s="235">
        <f t="shared" si="72"/>
        <v>9.0885600166720464E-3</v>
      </c>
      <c r="AF59" s="235">
        <f t="shared" si="73"/>
        <v>6.8259358860144883E-4</v>
      </c>
      <c r="AG59" s="332">
        <f t="shared" si="74"/>
        <v>4.4823645651495145E-2</v>
      </c>
      <c r="AH59" s="324" t="str">
        <f t="shared" ca="1" si="75"/>
        <v/>
      </c>
      <c r="AI59" s="166">
        <f t="shared" si="76"/>
        <v>0</v>
      </c>
      <c r="AJ59" s="166">
        <f t="shared" si="77"/>
        <v>20.52764452054501</v>
      </c>
      <c r="AK59" s="166" t="str">
        <f t="shared" ca="1" si="78"/>
        <v/>
      </c>
      <c r="AL59" s="166">
        <f t="shared" si="79"/>
        <v>0</v>
      </c>
      <c r="AM59" s="166" t="str">
        <f t="shared" ca="1" si="80"/>
        <v/>
      </c>
      <c r="AN59" s="163">
        <f t="shared" si="46"/>
        <v>0</v>
      </c>
      <c r="AO59" s="166" t="str">
        <f t="shared" ca="1" si="47"/>
        <v/>
      </c>
      <c r="AP59" s="166" t="str">
        <f t="shared" ca="1" si="81"/>
        <v/>
      </c>
      <c r="AQ59" s="166" t="str">
        <f t="shared" ca="1" si="82"/>
        <v/>
      </c>
      <c r="AR59" s="328" t="str">
        <f t="shared" ca="1" si="83"/>
        <v/>
      </c>
      <c r="AS59" s="324" t="str">
        <f t="shared" ca="1" si="84"/>
        <v/>
      </c>
      <c r="AT59" s="166" t="str">
        <f t="shared" ca="1" si="85"/>
        <v/>
      </c>
      <c r="AU59" s="166" t="str">
        <f t="shared" ca="1" si="86"/>
        <v/>
      </c>
      <c r="AV59" s="166" t="str">
        <f t="shared" ca="1" si="87"/>
        <v/>
      </c>
      <c r="AW59" s="328" t="str">
        <f t="shared" ca="1" si="88"/>
        <v/>
      </c>
      <c r="AX59" s="324" t="str">
        <f ca="1">IF($G59="","",Reserve!$P60-$R59)</f>
        <v/>
      </c>
      <c r="AY59" s="235">
        <f t="shared" si="89"/>
        <v>2.2499999999999999E-2</v>
      </c>
      <c r="AZ59" s="332">
        <f>IF($G59="","",VLOOKUP($H59,Life!$A$3:$R$113,18,FALSE))</f>
        <v>0.1849699616387856</v>
      </c>
      <c r="BA59" s="165" t="str">
        <f t="shared" ca="1" si="90"/>
        <v/>
      </c>
      <c r="BB59" s="166" t="str">
        <f t="shared" ca="1" si="91"/>
        <v/>
      </c>
      <c r="BC59" s="166">
        <f t="shared" si="92"/>
        <v>-20.989516522257272</v>
      </c>
      <c r="BD59" s="166" t="str">
        <f t="shared" ca="1" si="93"/>
        <v/>
      </c>
      <c r="BE59" s="166" t="str">
        <f t="shared" ca="1" si="94"/>
        <v/>
      </c>
      <c r="BF59" s="166" t="str">
        <f t="shared" ca="1" si="95"/>
        <v/>
      </c>
      <c r="BG59" s="166">
        <f t="shared" si="96"/>
        <v>-7.1846755821907526E-2</v>
      </c>
      <c r="BH59" s="166" t="str">
        <f t="shared" ca="1" si="97"/>
        <v/>
      </c>
      <c r="BI59" s="166" t="str">
        <f t="shared" ca="1" si="98"/>
        <v/>
      </c>
      <c r="BJ59" s="166" t="str">
        <f t="shared" ca="1" si="99"/>
        <v/>
      </c>
      <c r="BK59" s="167" t="str">
        <f t="shared" ca="1" si="100"/>
        <v/>
      </c>
      <c r="BL59" s="166" t="str">
        <f t="shared" ca="1" si="51"/>
        <v/>
      </c>
      <c r="BM59" s="163">
        <f t="shared" si="52"/>
        <v>5.6969696969696972</v>
      </c>
      <c r="BN59" s="166">
        <f t="shared" si="53"/>
        <v>0</v>
      </c>
      <c r="BO59" s="166">
        <f t="shared" si="54"/>
        <v>0</v>
      </c>
      <c r="BP59" s="166" t="str">
        <f t="shared" ca="1" si="55"/>
        <v/>
      </c>
      <c r="BQ59" s="166">
        <f t="shared" si="56"/>
        <v>20.52764452054501</v>
      </c>
      <c r="BR59" s="166">
        <f t="shared" si="57"/>
        <v>0</v>
      </c>
      <c r="BS59" s="166">
        <f t="shared" si="58"/>
        <v>0</v>
      </c>
      <c r="BT59" s="166">
        <f t="shared" si="59"/>
        <v>0</v>
      </c>
      <c r="BU59" s="167" t="str">
        <f t="shared" ca="1" si="60"/>
        <v/>
      </c>
    </row>
    <row r="60" spans="1:73" x14ac:dyDescent="0.3">
      <c r="F60" s="36">
        <v>56</v>
      </c>
      <c r="G60" s="363">
        <f t="shared" si="62"/>
        <v>56</v>
      </c>
      <c r="H60" s="153">
        <f t="shared" si="63"/>
        <v>90</v>
      </c>
      <c r="I60" s="323">
        <f t="shared" si="64"/>
        <v>0</v>
      </c>
      <c r="J60" s="163">
        <f t="shared" si="65"/>
        <v>0</v>
      </c>
      <c r="K60" s="327">
        <f>IF($G60="","",Reserve!N60)</f>
        <v>0</v>
      </c>
      <c r="L60" s="163">
        <f t="shared" si="41"/>
        <v>0</v>
      </c>
      <c r="M60" s="163">
        <f t="shared" si="42"/>
        <v>5.6969696969696972</v>
      </c>
      <c r="N60" s="163">
        <f t="shared" si="43"/>
        <v>0</v>
      </c>
      <c r="O60" s="163">
        <f t="shared" si="7"/>
        <v>0</v>
      </c>
      <c r="P60" s="327">
        <f t="shared" si="44"/>
        <v>5.6969696969696972</v>
      </c>
      <c r="Q60" s="330">
        <f ca="1">IF($G60="","",Reserve!$I60)</f>
        <v>17441</v>
      </c>
      <c r="R60" s="323">
        <f>IF($G60="","",Reserve!$J61+Reserve!$K61)</f>
        <v>0</v>
      </c>
      <c r="S60" s="163" t="str">
        <f ca="1">IF($G60="","",Change!$G61)</f>
        <v/>
      </c>
      <c r="T60" s="163">
        <f t="shared" si="61"/>
        <v>0</v>
      </c>
      <c r="U60" s="331">
        <f t="shared" si="66"/>
        <v>5.9536805854001147E-4</v>
      </c>
      <c r="V60" s="323" t="str">
        <f ca="1">IF($G60="","",Reserve!$Q61-$R60)</f>
        <v/>
      </c>
      <c r="W60" s="163">
        <f>IF($G60="","",Reserve!$S61)</f>
        <v>0</v>
      </c>
      <c r="X60" s="327" t="str">
        <f t="shared" ca="1" si="67"/>
        <v/>
      </c>
      <c r="Y60" s="334">
        <f t="shared" si="68"/>
        <v>2.5999999999999999E-2</v>
      </c>
      <c r="Z60" s="220">
        <f>IF($G60="","",VLOOKUP(H60,Life!$A$3:$Q$113,$B$6+1,FALSE))</f>
        <v>0.20105500000000001</v>
      </c>
      <c r="AA60" s="220">
        <f t="shared" si="69"/>
        <v>0.18094950000000001</v>
      </c>
      <c r="AB60" s="220">
        <f t="shared" si="70"/>
        <v>1.2285757500000001E-2</v>
      </c>
      <c r="AC60" s="331">
        <f>IF($G60="","",HLOOKUP($G60,AssetShare_Table!$B$84:$G$85,2)*$D$11)</f>
        <v>1.4999999999999999E-2</v>
      </c>
      <c r="AD60" s="334">
        <f t="shared" si="71"/>
        <v>4.4823645651495145E-2</v>
      </c>
      <c r="AE60" s="220">
        <f t="shared" si="72"/>
        <v>8.1108162688152217E-3</v>
      </c>
      <c r="AF60" s="220">
        <f t="shared" si="73"/>
        <v>5.5069244074019887E-4</v>
      </c>
      <c r="AG60" s="331">
        <f t="shared" si="74"/>
        <v>3.6162136941939725E-2</v>
      </c>
      <c r="AH60" s="323" t="str">
        <f t="shared" ca="1" si="75"/>
        <v/>
      </c>
      <c r="AI60" s="163">
        <f t="shared" si="76"/>
        <v>0</v>
      </c>
      <c r="AJ60" s="163">
        <f t="shared" si="77"/>
        <v>16.853690764962174</v>
      </c>
      <c r="AK60" s="163" t="str">
        <f t="shared" ca="1" si="78"/>
        <v/>
      </c>
      <c r="AL60" s="163">
        <f t="shared" si="79"/>
        <v>0</v>
      </c>
      <c r="AM60" s="163" t="str">
        <f t="shared" ca="1" si="80"/>
        <v/>
      </c>
      <c r="AN60" s="163">
        <f t="shared" si="46"/>
        <v>0</v>
      </c>
      <c r="AO60" s="163" t="str">
        <f t="shared" ca="1" si="47"/>
        <v/>
      </c>
      <c r="AP60" s="163" t="str">
        <f t="shared" ca="1" si="81"/>
        <v/>
      </c>
      <c r="AQ60" s="163" t="str">
        <f t="shared" ca="1" si="82"/>
        <v/>
      </c>
      <c r="AR60" s="327" t="str">
        <f t="shared" ca="1" si="83"/>
        <v/>
      </c>
      <c r="AS60" s="323" t="str">
        <f t="shared" ca="1" si="84"/>
        <v/>
      </c>
      <c r="AT60" s="163" t="str">
        <f t="shared" ca="1" si="85"/>
        <v/>
      </c>
      <c r="AU60" s="163" t="str">
        <f t="shared" ca="1" si="86"/>
        <v/>
      </c>
      <c r="AV60" s="163" t="str">
        <f t="shared" ca="1" si="87"/>
        <v/>
      </c>
      <c r="AW60" s="327" t="str">
        <f t="shared" ca="1" si="88"/>
        <v/>
      </c>
      <c r="AX60" s="323" t="str">
        <f ca="1">IF($G60="","",Reserve!$P61-$R60)</f>
        <v/>
      </c>
      <c r="AY60" s="220">
        <f t="shared" si="89"/>
        <v>2.2499999999999999E-2</v>
      </c>
      <c r="AZ60" s="331">
        <f>IF($G60="","",VLOOKUP($H60,Life!$A$3:$R$113,18,FALSE))</f>
        <v>0.20105484324731437</v>
      </c>
      <c r="BA60" s="162" t="str">
        <f t="shared" ca="1" si="90"/>
        <v/>
      </c>
      <c r="BB60" s="163" t="str">
        <f t="shared" ca="1" si="91"/>
        <v/>
      </c>
      <c r="BC60" s="163">
        <f t="shared" si="92"/>
        <v>-17.232898807173825</v>
      </c>
      <c r="BD60" s="163" t="str">
        <f t="shared" ca="1" si="93"/>
        <v/>
      </c>
      <c r="BE60" s="163" t="str">
        <f t="shared" ca="1" si="94"/>
        <v/>
      </c>
      <c r="BF60" s="163" t="str">
        <f t="shared" ca="1" si="95"/>
        <v/>
      </c>
      <c r="BG60" s="163">
        <f t="shared" si="96"/>
        <v>-5.8987917677367607E-2</v>
      </c>
      <c r="BH60" s="163" t="str">
        <f t="shared" ca="1" si="97"/>
        <v/>
      </c>
      <c r="BI60" s="163" t="str">
        <f t="shared" ca="1" si="98"/>
        <v/>
      </c>
      <c r="BJ60" s="163" t="str">
        <f t="shared" ca="1" si="99"/>
        <v/>
      </c>
      <c r="BK60" s="164" t="str">
        <f t="shared" ca="1" si="100"/>
        <v/>
      </c>
      <c r="BL60" s="163" t="str">
        <f t="shared" ca="1" si="51"/>
        <v/>
      </c>
      <c r="BM60" s="163">
        <f t="shared" si="52"/>
        <v>5.6969696969696972</v>
      </c>
      <c r="BN60" s="163">
        <f t="shared" si="53"/>
        <v>0</v>
      </c>
      <c r="BO60" s="163">
        <f t="shared" si="54"/>
        <v>0</v>
      </c>
      <c r="BP60" s="163" t="str">
        <f t="shared" ca="1" si="55"/>
        <v/>
      </c>
      <c r="BQ60" s="163">
        <f t="shared" si="56"/>
        <v>16.853690764962174</v>
      </c>
      <c r="BR60" s="163">
        <f t="shared" si="57"/>
        <v>0</v>
      </c>
      <c r="BS60" s="163">
        <f t="shared" si="58"/>
        <v>0</v>
      </c>
      <c r="BT60" s="163">
        <f t="shared" si="59"/>
        <v>0</v>
      </c>
      <c r="BU60" s="164" t="str">
        <f t="shared" ca="1" si="60"/>
        <v/>
      </c>
    </row>
    <row r="61" spans="1:73" x14ac:dyDescent="0.3">
      <c r="F61" s="36">
        <v>57</v>
      </c>
      <c r="G61" s="363">
        <f t="shared" si="62"/>
        <v>57</v>
      </c>
      <c r="H61" s="153">
        <f t="shared" si="63"/>
        <v>91</v>
      </c>
      <c r="I61" s="323">
        <f t="shared" si="64"/>
        <v>0</v>
      </c>
      <c r="J61" s="163">
        <f t="shared" si="65"/>
        <v>0</v>
      </c>
      <c r="K61" s="327">
        <f>IF($G61="","",Reserve!N61)</f>
        <v>0</v>
      </c>
      <c r="L61" s="163">
        <f t="shared" si="41"/>
        <v>0</v>
      </c>
      <c r="M61" s="163">
        <f t="shared" si="42"/>
        <v>5.6969696969696972</v>
      </c>
      <c r="N61" s="163">
        <f t="shared" si="43"/>
        <v>0</v>
      </c>
      <c r="O61" s="163">
        <f t="shared" si="7"/>
        <v>0</v>
      </c>
      <c r="P61" s="327">
        <f t="shared" si="44"/>
        <v>5.6969696969696972</v>
      </c>
      <c r="Q61" s="330">
        <f ca="1">IF($G61="","",Reserve!$I61)</f>
        <v>17441</v>
      </c>
      <c r="R61" s="323">
        <f>IF($G61="","",Reserve!$J62+Reserve!$K62)</f>
        <v>0</v>
      </c>
      <c r="S61" s="163" t="str">
        <f ca="1">IF($G61="","",Change!$G62)</f>
        <v/>
      </c>
      <c r="T61" s="163">
        <f t="shared" si="61"/>
        <v>0</v>
      </c>
      <c r="U61" s="331">
        <f t="shared" si="66"/>
        <v>5.9250029444221067E-4</v>
      </c>
      <c r="V61" s="323" t="str">
        <f ca="1">IF($G61="","",Reserve!$Q62-$R61)</f>
        <v/>
      </c>
      <c r="W61" s="163">
        <f>IF($G61="","",Reserve!$S62)</f>
        <v>0</v>
      </c>
      <c r="X61" s="327" t="str">
        <f t="shared" ca="1" si="67"/>
        <v/>
      </c>
      <c r="Y61" s="334">
        <f t="shared" si="68"/>
        <v>2.5999999999999999E-2</v>
      </c>
      <c r="Z61" s="220">
        <f>IF($G61="","",VLOOKUP(H61,Life!$A$3:$Q$113,$B$6+1,FALSE))</f>
        <v>0.21834799999999999</v>
      </c>
      <c r="AA61" s="220">
        <f t="shared" si="69"/>
        <v>0.1965132</v>
      </c>
      <c r="AB61" s="220">
        <f t="shared" si="70"/>
        <v>1.2052301999999999E-2</v>
      </c>
      <c r="AC61" s="331">
        <f>IF($G61="","",HLOOKUP($G61,AssetShare_Table!$B$84:$G$85,2)*$D$11)</f>
        <v>1.4999999999999999E-2</v>
      </c>
      <c r="AD61" s="334">
        <f t="shared" si="71"/>
        <v>3.6162136941939725E-2</v>
      </c>
      <c r="AE61" s="220">
        <f t="shared" si="72"/>
        <v>7.1063372492987898E-3</v>
      </c>
      <c r="AF61" s="220">
        <f t="shared" si="73"/>
        <v>4.3583699538961399E-4</v>
      </c>
      <c r="AG61" s="331">
        <f t="shared" si="74"/>
        <v>2.8619962697251321E-2</v>
      </c>
      <c r="AH61" s="323" t="str">
        <f t="shared" ca="1" si="75"/>
        <v/>
      </c>
      <c r="AI61" s="163">
        <f t="shared" si="76"/>
        <v>0</v>
      </c>
      <c r="AJ61" s="163">
        <f t="shared" si="77"/>
        <v>13.596963490169337</v>
      </c>
      <c r="AK61" s="163" t="str">
        <f t="shared" ca="1" si="78"/>
        <v/>
      </c>
      <c r="AL61" s="163">
        <f t="shared" si="79"/>
        <v>0</v>
      </c>
      <c r="AM61" s="163" t="str">
        <f t="shared" ca="1" si="80"/>
        <v/>
      </c>
      <c r="AN61" s="163">
        <f t="shared" si="46"/>
        <v>0</v>
      </c>
      <c r="AO61" s="163" t="str">
        <f t="shared" ca="1" si="47"/>
        <v/>
      </c>
      <c r="AP61" s="163" t="str">
        <f t="shared" ca="1" si="81"/>
        <v/>
      </c>
      <c r="AQ61" s="163" t="str">
        <f t="shared" ca="1" si="82"/>
        <v/>
      </c>
      <c r="AR61" s="327" t="str">
        <f t="shared" ca="1" si="83"/>
        <v/>
      </c>
      <c r="AS61" s="323" t="str">
        <f t="shared" ca="1" si="84"/>
        <v/>
      </c>
      <c r="AT61" s="163" t="str">
        <f t="shared" ca="1" si="85"/>
        <v/>
      </c>
      <c r="AU61" s="163" t="str">
        <f t="shared" ca="1" si="86"/>
        <v/>
      </c>
      <c r="AV61" s="163" t="str">
        <f t="shared" ca="1" si="87"/>
        <v/>
      </c>
      <c r="AW61" s="327" t="str">
        <f t="shared" ca="1" si="88"/>
        <v/>
      </c>
      <c r="AX61" s="323" t="str">
        <f ca="1">IF($G61="","",Reserve!$P62-$R61)</f>
        <v/>
      </c>
      <c r="AY61" s="220">
        <f t="shared" si="89"/>
        <v>2.2499999999999999E-2</v>
      </c>
      <c r="AZ61" s="331">
        <f>IF($G61="","",VLOOKUP($H61,Life!$A$3:$R$113,18,FALSE))</f>
        <v>0.21834758313551667</v>
      </c>
      <c r="BA61" s="162" t="str">
        <f t="shared" ca="1" si="90"/>
        <v/>
      </c>
      <c r="BB61" s="163" t="str">
        <f t="shared" ca="1" si="91"/>
        <v/>
      </c>
      <c r="BC61" s="163">
        <f t="shared" si="92"/>
        <v>-13.902895168698146</v>
      </c>
      <c r="BD61" s="163" t="str">
        <f t="shared" ca="1" si="93"/>
        <v/>
      </c>
      <c r="BE61" s="163" t="str">
        <f t="shared" ca="1" si="94"/>
        <v/>
      </c>
      <c r="BF61" s="163" t="str">
        <f t="shared" ca="1" si="95"/>
        <v/>
      </c>
      <c r="BG61" s="163">
        <f t="shared" si="96"/>
        <v>-4.7589372215592673E-2</v>
      </c>
      <c r="BH61" s="163" t="str">
        <f t="shared" ca="1" si="97"/>
        <v/>
      </c>
      <c r="BI61" s="163" t="str">
        <f t="shared" ca="1" si="98"/>
        <v/>
      </c>
      <c r="BJ61" s="163" t="str">
        <f t="shared" ca="1" si="99"/>
        <v/>
      </c>
      <c r="BK61" s="164" t="str">
        <f t="shared" ca="1" si="100"/>
        <v/>
      </c>
      <c r="BL61" s="163" t="str">
        <f t="shared" ca="1" si="51"/>
        <v/>
      </c>
      <c r="BM61" s="163">
        <f t="shared" si="52"/>
        <v>5.6969696969696972</v>
      </c>
      <c r="BN61" s="163">
        <f t="shared" si="53"/>
        <v>0</v>
      </c>
      <c r="BO61" s="163">
        <f t="shared" si="54"/>
        <v>0</v>
      </c>
      <c r="BP61" s="163" t="str">
        <f t="shared" ca="1" si="55"/>
        <v/>
      </c>
      <c r="BQ61" s="163">
        <f t="shared" si="56"/>
        <v>13.596963490169337</v>
      </c>
      <c r="BR61" s="163">
        <f t="shared" si="57"/>
        <v>0</v>
      </c>
      <c r="BS61" s="163">
        <f t="shared" si="58"/>
        <v>0</v>
      </c>
      <c r="BT61" s="163">
        <f t="shared" si="59"/>
        <v>0</v>
      </c>
      <c r="BU61" s="164" t="str">
        <f t="shared" ca="1" si="60"/>
        <v/>
      </c>
    </row>
    <row r="62" spans="1:73" x14ac:dyDescent="0.3">
      <c r="F62" s="36">
        <v>58</v>
      </c>
      <c r="G62" s="363">
        <f t="shared" si="62"/>
        <v>58</v>
      </c>
      <c r="H62" s="153">
        <f t="shared" si="63"/>
        <v>92</v>
      </c>
      <c r="I62" s="323">
        <f t="shared" si="64"/>
        <v>0</v>
      </c>
      <c r="J62" s="163">
        <f t="shared" si="65"/>
        <v>0</v>
      </c>
      <c r="K62" s="327">
        <f>IF($G62="","",Reserve!N62)</f>
        <v>0</v>
      </c>
      <c r="L62" s="163">
        <f t="shared" si="41"/>
        <v>0</v>
      </c>
      <c r="M62" s="163">
        <f t="shared" si="42"/>
        <v>5.6969696969696972</v>
      </c>
      <c r="N62" s="163">
        <f t="shared" si="43"/>
        <v>0</v>
      </c>
      <c r="O62" s="163">
        <f t="shared" si="7"/>
        <v>0</v>
      </c>
      <c r="P62" s="327">
        <f t="shared" si="44"/>
        <v>5.6969696969696972</v>
      </c>
      <c r="Q62" s="330">
        <f ca="1">IF($G62="","",Reserve!$I62)</f>
        <v>17441</v>
      </c>
      <c r="R62" s="323">
        <f>IF($G62="","",Reserve!$J63+Reserve!$K63)</f>
        <v>0</v>
      </c>
      <c r="S62" s="163" t="str">
        <f ca="1">IF($G62="","",Change!$G63)</f>
        <v/>
      </c>
      <c r="T62" s="163">
        <f t="shared" si="61"/>
        <v>0</v>
      </c>
      <c r="U62" s="331">
        <f t="shared" si="66"/>
        <v>5.8983327383125596E-4</v>
      </c>
      <c r="V62" s="323" t="str">
        <f ca="1">IF($G62="","",Reserve!$Q63-$R62)</f>
        <v/>
      </c>
      <c r="W62" s="163">
        <f>IF($G62="","",Reserve!$S63)</f>
        <v>0</v>
      </c>
      <c r="X62" s="327" t="str">
        <f t="shared" ca="1" si="67"/>
        <v/>
      </c>
      <c r="Y62" s="334">
        <f t="shared" si="68"/>
        <v>2.5999999999999999E-2</v>
      </c>
      <c r="Z62" s="220">
        <f>IF($G62="","",VLOOKUP(H62,Life!$A$3:$Q$113,$B$6+1,FALSE))</f>
        <v>0.23690700000000001</v>
      </c>
      <c r="AA62" s="220">
        <f t="shared" si="69"/>
        <v>0.2132163</v>
      </c>
      <c r="AB62" s="220">
        <f t="shared" si="70"/>
        <v>1.18017555E-2</v>
      </c>
      <c r="AC62" s="331">
        <f>IF($G62="","",HLOOKUP($G62,AssetShare_Table!$B$84:$G$85,2)*$D$11)</f>
        <v>1.4999999999999999E-2</v>
      </c>
      <c r="AD62" s="334">
        <f t="shared" si="71"/>
        <v>2.8619962697251321E-2</v>
      </c>
      <c r="AE62" s="220">
        <f t="shared" si="72"/>
        <v>6.1022425524459465E-3</v>
      </c>
      <c r="AF62" s="220">
        <f t="shared" si="73"/>
        <v>3.3776580217208062E-4</v>
      </c>
      <c r="AG62" s="331">
        <f t="shared" si="74"/>
        <v>2.2179954342633295E-2</v>
      </c>
      <c r="AH62" s="323" t="str">
        <f t="shared" ca="1" si="75"/>
        <v/>
      </c>
      <c r="AI62" s="163">
        <f t="shared" si="76"/>
        <v>0</v>
      </c>
      <c r="AJ62" s="163">
        <f t="shared" si="77"/>
        <v>10.761105974166497</v>
      </c>
      <c r="AK62" s="163" t="str">
        <f t="shared" ca="1" si="78"/>
        <v/>
      </c>
      <c r="AL62" s="163">
        <f t="shared" si="79"/>
        <v>0</v>
      </c>
      <c r="AM62" s="163" t="str">
        <f t="shared" ca="1" si="80"/>
        <v/>
      </c>
      <c r="AN62" s="163">
        <f t="shared" si="46"/>
        <v>0</v>
      </c>
      <c r="AO62" s="163" t="str">
        <f t="shared" ca="1" si="47"/>
        <v/>
      </c>
      <c r="AP62" s="163" t="str">
        <f t="shared" ca="1" si="81"/>
        <v/>
      </c>
      <c r="AQ62" s="163" t="str">
        <f t="shared" ca="1" si="82"/>
        <v/>
      </c>
      <c r="AR62" s="327" t="str">
        <f t="shared" ca="1" si="83"/>
        <v/>
      </c>
      <c r="AS62" s="323" t="str">
        <f t="shared" ca="1" si="84"/>
        <v/>
      </c>
      <c r="AT62" s="163" t="str">
        <f t="shared" ca="1" si="85"/>
        <v/>
      </c>
      <c r="AU62" s="163" t="str">
        <f t="shared" ca="1" si="86"/>
        <v/>
      </c>
      <c r="AV62" s="163" t="str">
        <f t="shared" ca="1" si="87"/>
        <v/>
      </c>
      <c r="AW62" s="327" t="str">
        <f t="shared" ca="1" si="88"/>
        <v/>
      </c>
      <c r="AX62" s="323" t="str">
        <f ca="1">IF($G62="","",Reserve!$P63-$R62)</f>
        <v/>
      </c>
      <c r="AY62" s="220">
        <f t="shared" si="89"/>
        <v>2.2499999999999999E-2</v>
      </c>
      <c r="AZ62" s="331">
        <f>IF($G62="","",VLOOKUP($H62,Life!$A$3:$R$113,18,FALSE))</f>
        <v>0.23690672955467762</v>
      </c>
      <c r="BA62" s="162" t="str">
        <f t="shared" ca="1" si="90"/>
        <v/>
      </c>
      <c r="BB62" s="163" t="str">
        <f t="shared" ca="1" si="91"/>
        <v/>
      </c>
      <c r="BC62" s="163">
        <f t="shared" si="92"/>
        <v>-11.003230858585242</v>
      </c>
      <c r="BD62" s="163" t="str">
        <f t="shared" ca="1" si="93"/>
        <v/>
      </c>
      <c r="BE62" s="163" t="str">
        <f t="shared" ca="1" si="94"/>
        <v/>
      </c>
      <c r="BF62" s="163" t="str">
        <f t="shared" ca="1" si="95"/>
        <v/>
      </c>
      <c r="BG62" s="163">
        <f t="shared" si="96"/>
        <v>-3.7663870909582738E-2</v>
      </c>
      <c r="BH62" s="163" t="str">
        <f t="shared" ca="1" si="97"/>
        <v/>
      </c>
      <c r="BI62" s="163" t="str">
        <f t="shared" ca="1" si="98"/>
        <v/>
      </c>
      <c r="BJ62" s="163" t="str">
        <f t="shared" ca="1" si="99"/>
        <v/>
      </c>
      <c r="BK62" s="164" t="str">
        <f t="shared" ca="1" si="100"/>
        <v/>
      </c>
      <c r="BL62" s="163" t="str">
        <f t="shared" ca="1" si="51"/>
        <v/>
      </c>
      <c r="BM62" s="163">
        <f t="shared" si="52"/>
        <v>5.6969696969696972</v>
      </c>
      <c r="BN62" s="163">
        <f t="shared" si="53"/>
        <v>0</v>
      </c>
      <c r="BO62" s="163">
        <f t="shared" si="54"/>
        <v>0</v>
      </c>
      <c r="BP62" s="163" t="str">
        <f t="shared" ca="1" si="55"/>
        <v/>
      </c>
      <c r="BQ62" s="163">
        <f t="shared" si="56"/>
        <v>10.761105974166497</v>
      </c>
      <c r="BR62" s="163">
        <f t="shared" si="57"/>
        <v>0</v>
      </c>
      <c r="BS62" s="163">
        <f t="shared" si="58"/>
        <v>0</v>
      </c>
      <c r="BT62" s="163">
        <f t="shared" si="59"/>
        <v>0</v>
      </c>
      <c r="BU62" s="164" t="str">
        <f t="shared" ca="1" si="60"/>
        <v/>
      </c>
    </row>
    <row r="63" spans="1:73" x14ac:dyDescent="0.3">
      <c r="B63" s="368"/>
      <c r="C63" s="368"/>
      <c r="F63" s="36">
        <v>59</v>
      </c>
      <c r="G63" s="363">
        <f t="shared" si="62"/>
        <v>59</v>
      </c>
      <c r="H63" s="153">
        <f t="shared" si="63"/>
        <v>93</v>
      </c>
      <c r="I63" s="323">
        <f t="shared" si="64"/>
        <v>0</v>
      </c>
      <c r="J63" s="163">
        <f t="shared" si="65"/>
        <v>0</v>
      </c>
      <c r="K63" s="327">
        <f>IF($G63="","",Reserve!N63)</f>
        <v>0</v>
      </c>
      <c r="L63" s="163">
        <f t="shared" si="41"/>
        <v>0</v>
      </c>
      <c r="M63" s="163">
        <f t="shared" si="42"/>
        <v>5.6969696969696972</v>
      </c>
      <c r="N63" s="163">
        <f t="shared" si="43"/>
        <v>0</v>
      </c>
      <c r="O63" s="163">
        <f t="shared" si="7"/>
        <v>0</v>
      </c>
      <c r="P63" s="327">
        <f t="shared" si="44"/>
        <v>5.6969696969696972</v>
      </c>
      <c r="Q63" s="330">
        <f ca="1">IF($G63="","",Reserve!$I63)</f>
        <v>17441</v>
      </c>
      <c r="R63" s="323">
        <f>IF($G63="","",Reserve!$J64+Reserve!$K64)</f>
        <v>0</v>
      </c>
      <c r="S63" s="163" t="str">
        <f ca="1">IF($G63="","",Change!$G64)</f>
        <v/>
      </c>
      <c r="T63" s="163">
        <f t="shared" si="61"/>
        <v>0</v>
      </c>
      <c r="U63" s="331">
        <f t="shared" si="66"/>
        <v>5.8735294466306801E-4</v>
      </c>
      <c r="V63" s="323" t="str">
        <f ca="1">IF($G63="","",Reserve!$Q64-$R63)</f>
        <v/>
      </c>
      <c r="W63" s="163">
        <f>IF($G63="","",Reserve!$S64)</f>
        <v>0</v>
      </c>
      <c r="X63" s="327" t="str">
        <f t="shared" ca="1" si="67"/>
        <v/>
      </c>
      <c r="Y63" s="334">
        <f t="shared" si="68"/>
        <v>2.5999999999999999E-2</v>
      </c>
      <c r="Z63" s="220">
        <f>IF($G63="","",VLOOKUP(H63,Life!$A$3:$Q$113,$B$6+1,FALSE))</f>
        <v>0.25678299999999998</v>
      </c>
      <c r="AA63" s="220">
        <f t="shared" si="69"/>
        <v>0.2311047</v>
      </c>
      <c r="AB63" s="220">
        <f t="shared" si="70"/>
        <v>1.1533429500000001E-2</v>
      </c>
      <c r="AC63" s="331">
        <f>IF($G63="","",HLOOKUP($G63,AssetShare_Table!$B$84:$G$85,2)*$D$11)</f>
        <v>1.4999999999999999E-2</v>
      </c>
      <c r="AD63" s="334">
        <f t="shared" si="71"/>
        <v>2.2179954342633295E-2</v>
      </c>
      <c r="AE63" s="220">
        <f t="shared" si="72"/>
        <v>5.1258916943679646E-3</v>
      </c>
      <c r="AF63" s="220">
        <f t="shared" si="73"/>
        <v>2.5581093972397998E-4</v>
      </c>
      <c r="AG63" s="331">
        <f t="shared" si="74"/>
        <v>1.6798251708541351E-2</v>
      </c>
      <c r="AH63" s="323" t="str">
        <f t="shared" ca="1" si="75"/>
        <v/>
      </c>
      <c r="AI63" s="163">
        <f t="shared" si="76"/>
        <v>0</v>
      </c>
      <c r="AJ63" s="163">
        <f t="shared" si="77"/>
        <v>8.3396628328301201</v>
      </c>
      <c r="AK63" s="163" t="str">
        <f t="shared" ca="1" si="78"/>
        <v/>
      </c>
      <c r="AL63" s="163">
        <f t="shared" si="79"/>
        <v>0</v>
      </c>
      <c r="AM63" s="163" t="str">
        <f t="shared" ca="1" si="80"/>
        <v/>
      </c>
      <c r="AN63" s="163">
        <f t="shared" si="46"/>
        <v>0</v>
      </c>
      <c r="AO63" s="163" t="str">
        <f t="shared" ca="1" si="47"/>
        <v/>
      </c>
      <c r="AP63" s="163" t="str">
        <f t="shared" ca="1" si="81"/>
        <v/>
      </c>
      <c r="AQ63" s="163" t="str">
        <f t="shared" ca="1" si="82"/>
        <v/>
      </c>
      <c r="AR63" s="327" t="str">
        <f t="shared" ca="1" si="83"/>
        <v/>
      </c>
      <c r="AS63" s="323" t="str">
        <f t="shared" ca="1" si="84"/>
        <v/>
      </c>
      <c r="AT63" s="163" t="str">
        <f t="shared" ca="1" si="85"/>
        <v/>
      </c>
      <c r="AU63" s="163" t="str">
        <f t="shared" ca="1" si="86"/>
        <v/>
      </c>
      <c r="AV63" s="163" t="str">
        <f t="shared" ca="1" si="87"/>
        <v/>
      </c>
      <c r="AW63" s="327" t="str">
        <f t="shared" ca="1" si="88"/>
        <v/>
      </c>
      <c r="AX63" s="323" t="str">
        <f ca="1">IF($G63="","",Reserve!$P64-$R63)</f>
        <v/>
      </c>
      <c r="AY63" s="220">
        <f t="shared" si="89"/>
        <v>2.2499999999999999E-2</v>
      </c>
      <c r="AZ63" s="331">
        <f>IF($G63="","",VLOOKUP($H63,Life!$A$3:$R$113,18,FALSE))</f>
        <v>0.25678236771493917</v>
      </c>
      <c r="BA63" s="162" t="str">
        <f t="shared" ca="1" si="90"/>
        <v/>
      </c>
      <c r="BB63" s="163" t="str">
        <f t="shared" ca="1" si="91"/>
        <v/>
      </c>
      <c r="BC63" s="163">
        <f t="shared" si="92"/>
        <v>-8.5273052465687957</v>
      </c>
      <c r="BD63" s="163" t="str">
        <f t="shared" ca="1" si="93"/>
        <v/>
      </c>
      <c r="BE63" s="163" t="str">
        <f t="shared" ca="1" si="94"/>
        <v/>
      </c>
      <c r="BF63" s="163" t="str">
        <f t="shared" ca="1" si="95"/>
        <v/>
      </c>
      <c r="BG63" s="163">
        <f t="shared" si="96"/>
        <v>-2.9188819914905413E-2</v>
      </c>
      <c r="BH63" s="163" t="str">
        <f t="shared" ca="1" si="97"/>
        <v/>
      </c>
      <c r="BI63" s="163" t="str">
        <f t="shared" ca="1" si="98"/>
        <v/>
      </c>
      <c r="BJ63" s="163" t="str">
        <f t="shared" ca="1" si="99"/>
        <v/>
      </c>
      <c r="BK63" s="164" t="str">
        <f t="shared" ca="1" si="100"/>
        <v/>
      </c>
      <c r="BL63" s="163" t="str">
        <f t="shared" ca="1" si="51"/>
        <v/>
      </c>
      <c r="BM63" s="163">
        <f t="shared" si="52"/>
        <v>5.6969696969696972</v>
      </c>
      <c r="BN63" s="163">
        <f t="shared" si="53"/>
        <v>0</v>
      </c>
      <c r="BO63" s="163">
        <f t="shared" si="54"/>
        <v>0</v>
      </c>
      <c r="BP63" s="163" t="str">
        <f t="shared" ca="1" si="55"/>
        <v/>
      </c>
      <c r="BQ63" s="163">
        <f t="shared" si="56"/>
        <v>8.3396628328301201</v>
      </c>
      <c r="BR63" s="163">
        <f t="shared" si="57"/>
        <v>0</v>
      </c>
      <c r="BS63" s="163">
        <f t="shared" si="58"/>
        <v>0</v>
      </c>
      <c r="BT63" s="163">
        <f t="shared" si="59"/>
        <v>0</v>
      </c>
      <c r="BU63" s="164" t="str">
        <f t="shared" ca="1" si="60"/>
        <v/>
      </c>
    </row>
    <row r="64" spans="1:73" x14ac:dyDescent="0.3">
      <c r="B64" s="368"/>
      <c r="F64" s="320">
        <v>60</v>
      </c>
      <c r="G64" s="367">
        <f t="shared" si="62"/>
        <v>60</v>
      </c>
      <c r="H64" s="155">
        <f t="shared" si="63"/>
        <v>94</v>
      </c>
      <c r="I64" s="324">
        <f t="shared" si="64"/>
        <v>0</v>
      </c>
      <c r="J64" s="166">
        <f t="shared" si="65"/>
        <v>0</v>
      </c>
      <c r="K64" s="328">
        <f>IF($G64="","",Reserve!N64)</f>
        <v>0</v>
      </c>
      <c r="L64" s="166">
        <f t="shared" si="41"/>
        <v>0</v>
      </c>
      <c r="M64" s="166">
        <f t="shared" si="42"/>
        <v>5.6969696969696972</v>
      </c>
      <c r="N64" s="166">
        <f t="shared" si="43"/>
        <v>0</v>
      </c>
      <c r="O64" s="166">
        <f t="shared" si="7"/>
        <v>0</v>
      </c>
      <c r="P64" s="328">
        <f t="shared" si="44"/>
        <v>5.6969696969696972</v>
      </c>
      <c r="Q64" s="330">
        <f ca="1">IF($G64="","",Reserve!$I64)</f>
        <v>17441</v>
      </c>
      <c r="R64" s="324">
        <f>IF($G64="","",Reserve!$J65+Reserve!$K65)</f>
        <v>0</v>
      </c>
      <c r="S64" s="166" t="str">
        <f ca="1">IF($G64="","",Change!$G65)</f>
        <v/>
      </c>
      <c r="T64" s="163">
        <f t="shared" si="61"/>
        <v>0</v>
      </c>
      <c r="U64" s="332">
        <f t="shared" si="66"/>
        <v>5.850462385366533E-4</v>
      </c>
      <c r="V64" s="324" t="str">
        <f ca="1">IF($G64="","",Reserve!$Q65-$R64)</f>
        <v/>
      </c>
      <c r="W64" s="166">
        <f>IF($G64="","",Reserve!$S65)</f>
        <v>0</v>
      </c>
      <c r="X64" s="328" t="str">
        <f t="shared" ca="1" si="67"/>
        <v/>
      </c>
      <c r="Y64" s="335">
        <f t="shared" si="68"/>
        <v>2.5999999999999999E-2</v>
      </c>
      <c r="Z64" s="235">
        <f>IF($G64="","",VLOOKUP(H64,Life!$A$3:$Q$113,$B$6+1,FALSE))</f>
        <v>0.278003</v>
      </c>
      <c r="AA64" s="235">
        <f t="shared" si="69"/>
        <v>0.2502027</v>
      </c>
      <c r="AB64" s="235">
        <f t="shared" si="70"/>
        <v>1.1246959500000001E-2</v>
      </c>
      <c r="AC64" s="332">
        <f>IF($G64="","",HLOOKUP($G64,AssetShare_Table!$B$84:$G$85,2)*$D$11)</f>
        <v>1.4999999999999999E-2</v>
      </c>
      <c r="AD64" s="335">
        <f t="shared" si="71"/>
        <v>1.6798251708541351E-2</v>
      </c>
      <c r="AE64" s="235">
        <f t="shared" si="72"/>
        <v>4.2029679327566594E-3</v>
      </c>
      <c r="AF64" s="235">
        <f t="shared" si="73"/>
        <v>1.8892925663677038E-4</v>
      </c>
      <c r="AG64" s="332">
        <f t="shared" si="74"/>
        <v>1.2406354519147922E-2</v>
      </c>
      <c r="AH64" s="324" t="str">
        <f t="shared" ca="1" si="75"/>
        <v/>
      </c>
      <c r="AI64" s="166">
        <f t="shared" si="76"/>
        <v>0</v>
      </c>
      <c r="AJ64" s="166">
        <f t="shared" si="77"/>
        <v>6.3161426424115481</v>
      </c>
      <c r="AK64" s="166" t="str">
        <f t="shared" ca="1" si="78"/>
        <v/>
      </c>
      <c r="AL64" s="166">
        <f t="shared" si="79"/>
        <v>0</v>
      </c>
      <c r="AM64" s="166" t="str">
        <f t="shared" ca="1" si="80"/>
        <v/>
      </c>
      <c r="AN64" s="163">
        <f t="shared" si="46"/>
        <v>0</v>
      </c>
      <c r="AO64" s="166" t="str">
        <f t="shared" ca="1" si="47"/>
        <v/>
      </c>
      <c r="AP64" s="166" t="str">
        <f t="shared" ca="1" si="81"/>
        <v/>
      </c>
      <c r="AQ64" s="166" t="str">
        <f t="shared" ca="1" si="82"/>
        <v/>
      </c>
      <c r="AR64" s="328" t="str">
        <f t="shared" ca="1" si="83"/>
        <v/>
      </c>
      <c r="AS64" s="324" t="str">
        <f t="shared" ca="1" si="84"/>
        <v/>
      </c>
      <c r="AT64" s="166" t="str">
        <f t="shared" ca="1" si="85"/>
        <v/>
      </c>
      <c r="AU64" s="166" t="str">
        <f t="shared" ca="1" si="86"/>
        <v/>
      </c>
      <c r="AV64" s="166" t="str">
        <f t="shared" ca="1" si="87"/>
        <v/>
      </c>
      <c r="AW64" s="328" t="str">
        <f t="shared" ca="1" si="88"/>
        <v/>
      </c>
      <c r="AX64" s="324" t="str">
        <f ca="1">IF($G64="","",Reserve!$P65-$R64)</f>
        <v/>
      </c>
      <c r="AY64" s="235">
        <f t="shared" si="89"/>
        <v>2.2499999999999999E-2</v>
      </c>
      <c r="AZ64" s="332">
        <f>IF($G64="","",VLOOKUP($H64,Life!$A$3:$R$113,18,FALSE))</f>
        <v>0.27800418189464704</v>
      </c>
      <c r="BA64" s="165" t="str">
        <f t="shared" ca="1" si="90"/>
        <v/>
      </c>
      <c r="BB64" s="166" t="str">
        <f t="shared" ca="1" si="91"/>
        <v/>
      </c>
      <c r="BC64" s="166">
        <f t="shared" si="92"/>
        <v>-6.4582558518658075</v>
      </c>
      <c r="BD64" s="166" t="str">
        <f t="shared" ca="1" si="93"/>
        <v/>
      </c>
      <c r="BE64" s="166" t="str">
        <f t="shared" ca="1" si="94"/>
        <v/>
      </c>
      <c r="BF64" s="166" t="str">
        <f t="shared" ca="1" si="95"/>
        <v/>
      </c>
      <c r="BG64" s="166">
        <f t="shared" si="96"/>
        <v>-2.2106499248440416E-2</v>
      </c>
      <c r="BH64" s="166" t="str">
        <f t="shared" ca="1" si="97"/>
        <v/>
      </c>
      <c r="BI64" s="166" t="str">
        <f t="shared" ca="1" si="98"/>
        <v/>
      </c>
      <c r="BJ64" s="166" t="str">
        <f t="shared" ca="1" si="99"/>
        <v/>
      </c>
      <c r="BK64" s="167" t="str">
        <f t="shared" ca="1" si="100"/>
        <v/>
      </c>
      <c r="BL64" s="166" t="str">
        <f t="shared" ca="1" si="51"/>
        <v/>
      </c>
      <c r="BM64" s="163">
        <f t="shared" si="52"/>
        <v>5.6969696969696972</v>
      </c>
      <c r="BN64" s="166">
        <f t="shared" si="53"/>
        <v>0</v>
      </c>
      <c r="BO64" s="166">
        <f t="shared" si="54"/>
        <v>0</v>
      </c>
      <c r="BP64" s="166" t="str">
        <f t="shared" ca="1" si="55"/>
        <v/>
      </c>
      <c r="BQ64" s="166">
        <f t="shared" si="56"/>
        <v>6.3161426424115481</v>
      </c>
      <c r="BR64" s="166">
        <f t="shared" si="57"/>
        <v>0</v>
      </c>
      <c r="BS64" s="166">
        <f t="shared" si="58"/>
        <v>0</v>
      </c>
      <c r="BT64" s="166">
        <f t="shared" si="59"/>
        <v>0</v>
      </c>
      <c r="BU64" s="167" t="str">
        <f t="shared" ca="1" si="60"/>
        <v/>
      </c>
    </row>
    <row r="65" spans="2:73" x14ac:dyDescent="0.3">
      <c r="B65" s="368"/>
      <c r="F65" s="36">
        <v>61</v>
      </c>
      <c r="G65" s="363">
        <f t="shared" si="62"/>
        <v>61</v>
      </c>
      <c r="H65" s="153">
        <f t="shared" si="63"/>
        <v>95</v>
      </c>
      <c r="I65" s="323">
        <f t="shared" si="64"/>
        <v>0</v>
      </c>
      <c r="J65" s="163">
        <f t="shared" si="65"/>
        <v>0</v>
      </c>
      <c r="K65" s="327">
        <f>IF($G65="","",Reserve!N65)</f>
        <v>0</v>
      </c>
      <c r="L65" s="163">
        <f t="shared" si="41"/>
        <v>0</v>
      </c>
      <c r="M65" s="163">
        <f t="shared" si="42"/>
        <v>5.6969696969696972</v>
      </c>
      <c r="N65" s="163">
        <f t="shared" si="43"/>
        <v>0</v>
      </c>
      <c r="O65" s="163">
        <f t="shared" si="7"/>
        <v>0</v>
      </c>
      <c r="P65" s="327">
        <f t="shared" si="44"/>
        <v>5.6969696969696972</v>
      </c>
      <c r="Q65" s="330">
        <f ca="1">IF($G65="","",Reserve!$I65)</f>
        <v>17441</v>
      </c>
      <c r="R65" s="323">
        <f>IF($G65="","",Reserve!$J66+Reserve!$K66)</f>
        <v>0</v>
      </c>
      <c r="S65" s="163" t="str">
        <f ca="1">IF($G65="","",Change!$G66)</f>
        <v/>
      </c>
      <c r="T65" s="163">
        <f t="shared" si="61"/>
        <v>0</v>
      </c>
      <c r="U65" s="331">
        <f t="shared" si="66"/>
        <v>5.8290100183908751E-4</v>
      </c>
      <c r="V65" s="323" t="str">
        <f ca="1">IF($G65="","",Reserve!$Q66-$R65)</f>
        <v/>
      </c>
      <c r="W65" s="163">
        <f>IF($G65="","",Reserve!$S66)</f>
        <v>0</v>
      </c>
      <c r="X65" s="327" t="str">
        <f t="shared" ca="1" si="67"/>
        <v/>
      </c>
      <c r="Y65" s="334">
        <f t="shared" si="68"/>
        <v>2.5999999999999999E-2</v>
      </c>
      <c r="Z65" s="220">
        <f>IF($G65="","",VLOOKUP(H65,Life!$A$3:$Q$113,$B$6+1,FALSE))</f>
        <v>0.300589</v>
      </c>
      <c r="AA65" s="220">
        <f t="shared" si="69"/>
        <v>0.2705301</v>
      </c>
      <c r="AB65" s="220">
        <f t="shared" si="70"/>
        <v>1.0942048499999999E-2</v>
      </c>
      <c r="AC65" s="331">
        <f>IF($G65="","",HLOOKUP($G65,AssetShare_Table!$B$84:$G$85,2)*$D$11)</f>
        <v>1.4999999999999999E-2</v>
      </c>
      <c r="AD65" s="334">
        <f t="shared" si="71"/>
        <v>1.2406354519147922E-2</v>
      </c>
      <c r="AE65" s="220">
        <f t="shared" si="72"/>
        <v>3.3562923287005393E-3</v>
      </c>
      <c r="AF65" s="220">
        <f t="shared" si="73"/>
        <v>1.3575093285671073E-4</v>
      </c>
      <c r="AG65" s="331">
        <f t="shared" si="74"/>
        <v>8.9143112575906722E-3</v>
      </c>
      <c r="AH65" s="323" t="str">
        <f t="shared" ca="1" si="75"/>
        <v/>
      </c>
      <c r="AI65" s="163">
        <f t="shared" si="76"/>
        <v>0</v>
      </c>
      <c r="AJ65" s="163">
        <f t="shared" si="77"/>
        <v>4.6647892991996187</v>
      </c>
      <c r="AK65" s="163" t="str">
        <f t="shared" ca="1" si="78"/>
        <v/>
      </c>
      <c r="AL65" s="163">
        <f t="shared" si="79"/>
        <v>0</v>
      </c>
      <c r="AM65" s="163" t="str">
        <f t="shared" ca="1" si="80"/>
        <v/>
      </c>
      <c r="AN65" s="163">
        <f t="shared" si="46"/>
        <v>0</v>
      </c>
      <c r="AO65" s="163" t="str">
        <f t="shared" ca="1" si="47"/>
        <v/>
      </c>
      <c r="AP65" s="163" t="str">
        <f t="shared" ca="1" si="81"/>
        <v/>
      </c>
      <c r="AQ65" s="163" t="str">
        <f t="shared" ca="1" si="82"/>
        <v/>
      </c>
      <c r="AR65" s="327" t="str">
        <f t="shared" ca="1" si="83"/>
        <v/>
      </c>
      <c r="AS65" s="323" t="str">
        <f t="shared" ca="1" si="84"/>
        <v/>
      </c>
      <c r="AT65" s="163" t="str">
        <f t="shared" ca="1" si="85"/>
        <v/>
      </c>
      <c r="AU65" s="163" t="str">
        <f t="shared" ca="1" si="86"/>
        <v/>
      </c>
      <c r="AV65" s="163" t="str">
        <f t="shared" ca="1" si="87"/>
        <v/>
      </c>
      <c r="AW65" s="327" t="str">
        <f t="shared" ca="1" si="88"/>
        <v/>
      </c>
      <c r="AX65" s="323" t="str">
        <f ca="1">IF($G65="","",Reserve!$P66-$R65)</f>
        <v/>
      </c>
      <c r="AY65" s="220">
        <f t="shared" si="89"/>
        <v>2.2499999999999999E-2</v>
      </c>
      <c r="AZ65" s="331">
        <f>IF($G65="","",VLOOKUP($H65,Life!$A$3:$R$113,18,FALSE))</f>
        <v>0.30058782749949747</v>
      </c>
      <c r="BA65" s="162" t="str">
        <f t="shared" ca="1" si="90"/>
        <v/>
      </c>
      <c r="BB65" s="163" t="str">
        <f t="shared" ca="1" si="91"/>
        <v/>
      </c>
      <c r="BC65" s="163">
        <f t="shared" si="92"/>
        <v>-4.7697470584316095</v>
      </c>
      <c r="BD65" s="163" t="str">
        <f t="shared" ca="1" si="93"/>
        <v/>
      </c>
      <c r="BE65" s="163" t="str">
        <f t="shared" ca="1" si="94"/>
        <v/>
      </c>
      <c r="BF65" s="163" t="str">
        <f t="shared" ca="1" si="95"/>
        <v/>
      </c>
      <c r="BG65" s="163">
        <f t="shared" si="96"/>
        <v>-1.6326762547198663E-2</v>
      </c>
      <c r="BH65" s="163" t="str">
        <f t="shared" ca="1" si="97"/>
        <v/>
      </c>
      <c r="BI65" s="163" t="str">
        <f t="shared" ca="1" si="98"/>
        <v/>
      </c>
      <c r="BJ65" s="163" t="str">
        <f t="shared" ca="1" si="99"/>
        <v/>
      </c>
      <c r="BK65" s="164" t="str">
        <f t="shared" ca="1" si="100"/>
        <v/>
      </c>
      <c r="BL65" s="163" t="str">
        <f t="shared" ca="1" si="51"/>
        <v/>
      </c>
      <c r="BM65" s="163">
        <f t="shared" si="52"/>
        <v>5.6969696969696972</v>
      </c>
      <c r="BN65" s="163">
        <f t="shared" si="53"/>
        <v>0</v>
      </c>
      <c r="BO65" s="163">
        <f t="shared" si="54"/>
        <v>0</v>
      </c>
      <c r="BP65" s="163" t="str">
        <f t="shared" ca="1" si="55"/>
        <v/>
      </c>
      <c r="BQ65" s="163">
        <f t="shared" si="56"/>
        <v>4.6647892991996187</v>
      </c>
      <c r="BR65" s="163">
        <f t="shared" si="57"/>
        <v>0</v>
      </c>
      <c r="BS65" s="163">
        <f t="shared" si="58"/>
        <v>0</v>
      </c>
      <c r="BT65" s="163">
        <f t="shared" si="59"/>
        <v>0</v>
      </c>
      <c r="BU65" s="164" t="str">
        <f t="shared" ca="1" si="60"/>
        <v/>
      </c>
    </row>
    <row r="66" spans="2:73" x14ac:dyDescent="0.3">
      <c r="B66" s="368"/>
      <c r="F66" s="36">
        <v>62</v>
      </c>
      <c r="G66" s="363">
        <f t="shared" si="62"/>
        <v>62</v>
      </c>
      <c r="H66" s="153">
        <f t="shared" si="63"/>
        <v>96</v>
      </c>
      <c r="I66" s="323">
        <f t="shared" si="64"/>
        <v>0</v>
      </c>
      <c r="J66" s="163">
        <f t="shared" si="65"/>
        <v>0</v>
      </c>
      <c r="K66" s="327">
        <f>IF($G66="","",Reserve!N66)</f>
        <v>0</v>
      </c>
      <c r="L66" s="163">
        <f t="shared" si="41"/>
        <v>0</v>
      </c>
      <c r="M66" s="163">
        <f t="shared" si="42"/>
        <v>5.6969696969696972</v>
      </c>
      <c r="N66" s="163">
        <f t="shared" si="43"/>
        <v>0</v>
      </c>
      <c r="O66" s="163">
        <f t="shared" si="7"/>
        <v>0</v>
      </c>
      <c r="P66" s="327">
        <f t="shared" si="44"/>
        <v>5.6969696969696972</v>
      </c>
      <c r="Q66" s="330">
        <f ca="1">IF($G66="","",Reserve!$I66)</f>
        <v>17441</v>
      </c>
      <c r="R66" s="323">
        <f>IF($G66="","",Reserve!$J67+Reserve!$K67)</f>
        <v>0</v>
      </c>
      <c r="S66" s="163" t="str">
        <f ca="1">IF($G66="","",Change!$G67)</f>
        <v/>
      </c>
      <c r="T66" s="163">
        <f t="shared" si="61"/>
        <v>0</v>
      </c>
      <c r="U66" s="331">
        <f t="shared" si="66"/>
        <v>5.8090593171035139E-4</v>
      </c>
      <c r="V66" s="323" t="str">
        <f ca="1">IF($G66="","",Reserve!$Q67-$R66)</f>
        <v/>
      </c>
      <c r="W66" s="163">
        <f>IF($G66="","",Reserve!$S67)</f>
        <v>0</v>
      </c>
      <c r="X66" s="327" t="str">
        <f t="shared" ca="1" si="67"/>
        <v/>
      </c>
      <c r="Y66" s="334">
        <f t="shared" si="68"/>
        <v>2.5999999999999999E-2</v>
      </c>
      <c r="Z66" s="220">
        <f>IF($G66="","",VLOOKUP(H66,Life!$A$3:$Q$113,$B$6+1,FALSE))</f>
        <v>0.32455899999999999</v>
      </c>
      <c r="AA66" s="220">
        <f t="shared" si="69"/>
        <v>0.2921031</v>
      </c>
      <c r="AB66" s="220">
        <f t="shared" si="70"/>
        <v>1.0618453499999998E-2</v>
      </c>
      <c r="AC66" s="331">
        <f>IF($G66="","",HLOOKUP($G66,AssetShare_Table!$B$84:$G$85,2)*$D$11)</f>
        <v>1.4999999999999999E-2</v>
      </c>
      <c r="AD66" s="334">
        <f t="shared" si="71"/>
        <v>8.9143112575906722E-3</v>
      </c>
      <c r="AE66" s="220">
        <f t="shared" si="72"/>
        <v>2.6038979527071341E-3</v>
      </c>
      <c r="AF66" s="220">
        <f t="shared" si="73"/>
        <v>9.4656199573253061E-5</v>
      </c>
      <c r="AG66" s="331">
        <f t="shared" si="74"/>
        <v>6.2157571053102845E-3</v>
      </c>
      <c r="AH66" s="323" t="str">
        <f t="shared" ca="1" si="75"/>
        <v/>
      </c>
      <c r="AI66" s="163">
        <f t="shared" si="76"/>
        <v>0</v>
      </c>
      <c r="AJ66" s="163">
        <f t="shared" si="77"/>
        <v>3.3517810328540931</v>
      </c>
      <c r="AK66" s="163" t="str">
        <f t="shared" ca="1" si="78"/>
        <v/>
      </c>
      <c r="AL66" s="163">
        <f t="shared" si="79"/>
        <v>0</v>
      </c>
      <c r="AM66" s="163" t="str">
        <f t="shared" ca="1" si="80"/>
        <v/>
      </c>
      <c r="AN66" s="163">
        <f t="shared" si="46"/>
        <v>0</v>
      </c>
      <c r="AO66" s="163" t="str">
        <f t="shared" ca="1" si="47"/>
        <v/>
      </c>
      <c r="AP66" s="163" t="str">
        <f t="shared" ca="1" si="81"/>
        <v/>
      </c>
      <c r="AQ66" s="163" t="str">
        <f t="shared" ca="1" si="82"/>
        <v/>
      </c>
      <c r="AR66" s="327" t="str">
        <f t="shared" ca="1" si="83"/>
        <v/>
      </c>
      <c r="AS66" s="323" t="str">
        <f t="shared" ca="1" si="84"/>
        <v/>
      </c>
      <c r="AT66" s="163" t="str">
        <f t="shared" ca="1" si="85"/>
        <v/>
      </c>
      <c r="AU66" s="163" t="str">
        <f t="shared" ca="1" si="86"/>
        <v/>
      </c>
      <c r="AV66" s="163" t="str">
        <f t="shared" ca="1" si="87"/>
        <v/>
      </c>
      <c r="AW66" s="327" t="str">
        <f t="shared" ca="1" si="88"/>
        <v/>
      </c>
      <c r="AX66" s="323" t="str">
        <f ca="1">IF($G66="","",Reserve!$P67-$R66)</f>
        <v/>
      </c>
      <c r="AY66" s="220">
        <f t="shared" si="89"/>
        <v>2.2499999999999999E-2</v>
      </c>
      <c r="AZ66" s="331">
        <f>IF($G66="","",VLOOKUP($H66,Life!$A$3:$R$113,18,FALSE))</f>
        <v>0.3245592427068304</v>
      </c>
      <c r="BA66" s="162" t="str">
        <f t="shared" ca="1" si="90"/>
        <v/>
      </c>
      <c r="BB66" s="163" t="str">
        <f t="shared" ca="1" si="91"/>
        <v/>
      </c>
      <c r="BC66" s="163">
        <f t="shared" si="92"/>
        <v>-3.42719610609331</v>
      </c>
      <c r="BD66" s="163" t="str">
        <f t="shared" ca="1" si="93"/>
        <v/>
      </c>
      <c r="BE66" s="163" t="str">
        <f t="shared" ca="1" si="94"/>
        <v/>
      </c>
      <c r="BF66" s="163" t="str">
        <f t="shared" ca="1" si="95"/>
        <v/>
      </c>
      <c r="BG66" s="163">
        <f t="shared" si="96"/>
        <v>-1.1731233614989322E-2</v>
      </c>
      <c r="BH66" s="163" t="str">
        <f t="shared" ca="1" si="97"/>
        <v/>
      </c>
      <c r="BI66" s="163" t="str">
        <f t="shared" ca="1" si="98"/>
        <v/>
      </c>
      <c r="BJ66" s="163" t="str">
        <f t="shared" ca="1" si="99"/>
        <v/>
      </c>
      <c r="BK66" s="164" t="str">
        <f t="shared" ca="1" si="100"/>
        <v/>
      </c>
      <c r="BL66" s="163" t="str">
        <f t="shared" ca="1" si="51"/>
        <v/>
      </c>
      <c r="BM66" s="163">
        <f t="shared" si="52"/>
        <v>5.6969696969696972</v>
      </c>
      <c r="BN66" s="163">
        <f t="shared" si="53"/>
        <v>0</v>
      </c>
      <c r="BO66" s="163">
        <f t="shared" si="54"/>
        <v>0</v>
      </c>
      <c r="BP66" s="163" t="str">
        <f t="shared" ca="1" si="55"/>
        <v/>
      </c>
      <c r="BQ66" s="163">
        <f t="shared" si="56"/>
        <v>3.3517810328540931</v>
      </c>
      <c r="BR66" s="163">
        <f t="shared" si="57"/>
        <v>0</v>
      </c>
      <c r="BS66" s="163">
        <f t="shared" si="58"/>
        <v>0</v>
      </c>
      <c r="BT66" s="163">
        <f t="shared" si="59"/>
        <v>0</v>
      </c>
      <c r="BU66" s="164" t="str">
        <f t="shared" ca="1" si="60"/>
        <v/>
      </c>
    </row>
    <row r="67" spans="2:73" x14ac:dyDescent="0.3">
      <c r="B67" s="368"/>
      <c r="F67" s="36">
        <v>63</v>
      </c>
      <c r="G67" s="363">
        <f t="shared" si="62"/>
        <v>63</v>
      </c>
      <c r="H67" s="153">
        <f t="shared" si="63"/>
        <v>97</v>
      </c>
      <c r="I67" s="323">
        <f t="shared" si="64"/>
        <v>0</v>
      </c>
      <c r="J67" s="163">
        <f t="shared" si="65"/>
        <v>0</v>
      </c>
      <c r="K67" s="327">
        <f>IF($G67="","",Reserve!N67)</f>
        <v>0</v>
      </c>
      <c r="L67" s="163">
        <f t="shared" si="41"/>
        <v>0</v>
      </c>
      <c r="M67" s="163">
        <f t="shared" si="42"/>
        <v>5.6969696969696972</v>
      </c>
      <c r="N67" s="163">
        <f t="shared" si="43"/>
        <v>0</v>
      </c>
      <c r="O67" s="163">
        <f t="shared" si="7"/>
        <v>0</v>
      </c>
      <c r="P67" s="327">
        <f t="shared" si="44"/>
        <v>5.6969696969696972</v>
      </c>
      <c r="Q67" s="330">
        <f ca="1">IF($G67="","",Reserve!$I67)</f>
        <v>17441</v>
      </c>
      <c r="R67" s="323">
        <f>IF($G67="","",Reserve!$J68+Reserve!$K68)</f>
        <v>0</v>
      </c>
      <c r="S67" s="163" t="str">
        <f ca="1">IF($G67="","",Change!$G68)</f>
        <v/>
      </c>
      <c r="T67" s="163">
        <f t="shared" si="61"/>
        <v>0</v>
      </c>
      <c r="U67" s="331">
        <f t="shared" si="66"/>
        <v>5.7905051649062686E-4</v>
      </c>
      <c r="V67" s="323" t="str">
        <f ca="1">IF($G67="","",Reserve!$Q68-$R67)</f>
        <v/>
      </c>
      <c r="W67" s="163">
        <f>IF($G67="","",Reserve!$S68)</f>
        <v>0</v>
      </c>
      <c r="X67" s="327" t="str">
        <f t="shared" ca="1" si="67"/>
        <v/>
      </c>
      <c r="Y67" s="334">
        <f t="shared" si="68"/>
        <v>2.5999999999999999E-2</v>
      </c>
      <c r="Z67" s="220">
        <f>IF($G67="","",VLOOKUP(H67,Life!$A$3:$Q$113,$B$6+1,FALSE))</f>
        <v>0.34993600000000002</v>
      </c>
      <c r="AA67" s="220">
        <f t="shared" si="69"/>
        <v>0.31494240000000001</v>
      </c>
      <c r="AB67" s="220">
        <f t="shared" si="70"/>
        <v>1.0275863999999999E-2</v>
      </c>
      <c r="AC67" s="331">
        <f>IF($G67="","",HLOOKUP($G67,AssetShare_Table!$B$84:$G$85,2)*$D$11)</f>
        <v>1.4999999999999999E-2</v>
      </c>
      <c r="AD67" s="334">
        <f t="shared" si="71"/>
        <v>6.2157571053102845E-3</v>
      </c>
      <c r="AE67" s="220">
        <f t="shared" si="72"/>
        <v>1.9576054605634739E-3</v>
      </c>
      <c r="AF67" s="220">
        <f t="shared" si="73"/>
        <v>6.3872274671202152E-5</v>
      </c>
      <c r="AG67" s="331">
        <f t="shared" si="74"/>
        <v>4.1942793700756086E-3</v>
      </c>
      <c r="AH67" s="323" t="str">
        <f t="shared" ca="1" si="75"/>
        <v/>
      </c>
      <c r="AI67" s="163">
        <f t="shared" si="76"/>
        <v>0</v>
      </c>
      <c r="AJ67" s="163">
        <f t="shared" si="77"/>
        <v>2.3371246715966669</v>
      </c>
      <c r="AK67" s="163" t="str">
        <f t="shared" ca="1" si="78"/>
        <v/>
      </c>
      <c r="AL67" s="163">
        <f t="shared" si="79"/>
        <v>0</v>
      </c>
      <c r="AM67" s="163" t="str">
        <f t="shared" ca="1" si="80"/>
        <v/>
      </c>
      <c r="AN67" s="163">
        <f t="shared" si="46"/>
        <v>0</v>
      </c>
      <c r="AO67" s="163" t="str">
        <f t="shared" ca="1" si="47"/>
        <v/>
      </c>
      <c r="AP67" s="163" t="str">
        <f t="shared" ca="1" si="81"/>
        <v/>
      </c>
      <c r="AQ67" s="163" t="str">
        <f t="shared" ca="1" si="82"/>
        <v/>
      </c>
      <c r="AR67" s="327" t="str">
        <f t="shared" ca="1" si="83"/>
        <v/>
      </c>
      <c r="AS67" s="323" t="str">
        <f t="shared" ca="1" si="84"/>
        <v/>
      </c>
      <c r="AT67" s="163" t="str">
        <f t="shared" ca="1" si="85"/>
        <v/>
      </c>
      <c r="AU67" s="163" t="str">
        <f t="shared" ca="1" si="86"/>
        <v/>
      </c>
      <c r="AV67" s="163" t="str">
        <f t="shared" ca="1" si="87"/>
        <v/>
      </c>
      <c r="AW67" s="327" t="str">
        <f t="shared" ca="1" si="88"/>
        <v/>
      </c>
      <c r="AX67" s="323" t="str">
        <f ca="1">IF($G67="","",Reserve!$P68-$R67)</f>
        <v/>
      </c>
      <c r="AY67" s="220">
        <f t="shared" si="89"/>
        <v>2.2499999999999999E-2</v>
      </c>
      <c r="AZ67" s="331">
        <f>IF($G67="","",VLOOKUP($H67,Life!$A$3:$R$113,18,FALSE))</f>
        <v>0.34993574380882914</v>
      </c>
      <c r="BA67" s="162" t="str">
        <f t="shared" ca="1" si="90"/>
        <v/>
      </c>
      <c r="BB67" s="163" t="str">
        <f t="shared" ca="1" si="91"/>
        <v/>
      </c>
      <c r="BC67" s="163">
        <f t="shared" si="92"/>
        <v>-2.389709976707592</v>
      </c>
      <c r="BD67" s="163" t="str">
        <f t="shared" ca="1" si="93"/>
        <v/>
      </c>
      <c r="BE67" s="163" t="str">
        <f t="shared" ca="1" si="94"/>
        <v/>
      </c>
      <c r="BF67" s="163" t="str">
        <f t="shared" ca="1" si="95"/>
        <v/>
      </c>
      <c r="BG67" s="163">
        <f t="shared" si="96"/>
        <v>-8.1799363505883332E-3</v>
      </c>
      <c r="BH67" s="163" t="str">
        <f t="shared" ca="1" si="97"/>
        <v/>
      </c>
      <c r="BI67" s="163" t="str">
        <f t="shared" ca="1" si="98"/>
        <v/>
      </c>
      <c r="BJ67" s="163" t="str">
        <f t="shared" ca="1" si="99"/>
        <v/>
      </c>
      <c r="BK67" s="164" t="str">
        <f t="shared" ca="1" si="100"/>
        <v/>
      </c>
      <c r="BL67" s="163" t="str">
        <f t="shared" ca="1" si="51"/>
        <v/>
      </c>
      <c r="BM67" s="163">
        <f t="shared" si="52"/>
        <v>5.6969696969696972</v>
      </c>
      <c r="BN67" s="163">
        <f t="shared" si="53"/>
        <v>0</v>
      </c>
      <c r="BO67" s="163">
        <f t="shared" si="54"/>
        <v>0</v>
      </c>
      <c r="BP67" s="163" t="str">
        <f t="shared" ca="1" si="55"/>
        <v/>
      </c>
      <c r="BQ67" s="163">
        <f t="shared" si="56"/>
        <v>2.3371246715966669</v>
      </c>
      <c r="BR67" s="163">
        <f t="shared" si="57"/>
        <v>0</v>
      </c>
      <c r="BS67" s="163">
        <f t="shared" si="58"/>
        <v>0</v>
      </c>
      <c r="BT67" s="163">
        <f t="shared" si="59"/>
        <v>0</v>
      </c>
      <c r="BU67" s="164" t="str">
        <f t="shared" ca="1" si="60"/>
        <v/>
      </c>
    </row>
    <row r="68" spans="2:73" x14ac:dyDescent="0.3">
      <c r="B68" s="368"/>
      <c r="F68" s="36">
        <v>64</v>
      </c>
      <c r="G68" s="363">
        <f t="shared" si="62"/>
        <v>64</v>
      </c>
      <c r="H68" s="153">
        <f t="shared" si="63"/>
        <v>98</v>
      </c>
      <c r="I68" s="323">
        <f t="shared" si="64"/>
        <v>0</v>
      </c>
      <c r="J68" s="163">
        <f t="shared" si="65"/>
        <v>0</v>
      </c>
      <c r="K68" s="327">
        <f>IF($G68="","",Reserve!N68)</f>
        <v>0</v>
      </c>
      <c r="L68" s="163">
        <f t="shared" si="41"/>
        <v>0</v>
      </c>
      <c r="M68" s="163">
        <f t="shared" si="42"/>
        <v>5.6969696969696972</v>
      </c>
      <c r="N68" s="163">
        <f t="shared" si="43"/>
        <v>0</v>
      </c>
      <c r="O68" s="163">
        <f t="shared" si="7"/>
        <v>0</v>
      </c>
      <c r="P68" s="327">
        <f t="shared" si="44"/>
        <v>5.6969696969696972</v>
      </c>
      <c r="Q68" s="330">
        <f ca="1">IF($G68="","",Reserve!$I68)</f>
        <v>17441</v>
      </c>
      <c r="R68" s="323">
        <f>IF($G68="","",Reserve!$J69+Reserve!$K69)</f>
        <v>0</v>
      </c>
      <c r="S68" s="163" t="str">
        <f ca="1">IF($G68="","",Change!$G69)</f>
        <v/>
      </c>
      <c r="T68" s="163">
        <f t="shared" si="61"/>
        <v>0</v>
      </c>
      <c r="U68" s="331">
        <f t="shared" si="66"/>
        <v>5.7732498033628301E-4</v>
      </c>
      <c r="V68" s="323" t="str">
        <f ca="1">IF($G68="","",Reserve!$Q69-$R68)</f>
        <v/>
      </c>
      <c r="W68" s="163">
        <f>IF($G68="","",Reserve!$S69)</f>
        <v>0</v>
      </c>
      <c r="X68" s="327" t="str">
        <f t="shared" ca="1" si="67"/>
        <v/>
      </c>
      <c r="Y68" s="334">
        <f t="shared" si="68"/>
        <v>2.5999999999999999E-2</v>
      </c>
      <c r="Z68" s="220">
        <f>IF($G68="","",VLOOKUP(H68,Life!$A$3:$Q$113,$B$6+1,FALSE))</f>
        <v>0.37671700000000002</v>
      </c>
      <c r="AA68" s="220">
        <f t="shared" si="69"/>
        <v>0.33904530000000005</v>
      </c>
      <c r="AB68" s="220">
        <f t="shared" si="70"/>
        <v>9.9143204999999988E-3</v>
      </c>
      <c r="AC68" s="331">
        <f>IF($G68="","",HLOOKUP($G68,AssetShare_Table!$B$84:$G$85,2)*$D$11)</f>
        <v>1.4999999999999999E-2</v>
      </c>
      <c r="AD68" s="334">
        <f t="shared" si="71"/>
        <v>4.1942793700756086E-3</v>
      </c>
      <c r="AE68" s="220">
        <f t="shared" si="72"/>
        <v>1.422050707311096E-3</v>
      </c>
      <c r="AF68" s="220">
        <f t="shared" si="73"/>
        <v>4.1583429941467687E-5</v>
      </c>
      <c r="AG68" s="331">
        <f t="shared" si="74"/>
        <v>2.7306452328230446E-3</v>
      </c>
      <c r="AH68" s="323" t="str">
        <f t="shared" ca="1" si="75"/>
        <v/>
      </c>
      <c r="AI68" s="163">
        <f t="shared" si="76"/>
        <v>0</v>
      </c>
      <c r="AJ68" s="163">
        <f t="shared" si="77"/>
        <v>1.577049043148429</v>
      </c>
      <c r="AK68" s="163" t="str">
        <f t="shared" ca="1" si="78"/>
        <v/>
      </c>
      <c r="AL68" s="163">
        <f t="shared" si="79"/>
        <v>0</v>
      </c>
      <c r="AM68" s="163" t="str">
        <f t="shared" ca="1" si="80"/>
        <v/>
      </c>
      <c r="AN68" s="163">
        <f t="shared" si="46"/>
        <v>0</v>
      </c>
      <c r="AO68" s="163" t="str">
        <f t="shared" ca="1" si="47"/>
        <v/>
      </c>
      <c r="AP68" s="163" t="str">
        <f t="shared" ca="1" si="81"/>
        <v/>
      </c>
      <c r="AQ68" s="163" t="str">
        <f t="shared" ca="1" si="82"/>
        <v/>
      </c>
      <c r="AR68" s="327" t="str">
        <f t="shared" ca="1" si="83"/>
        <v/>
      </c>
      <c r="AS68" s="323" t="str">
        <f t="shared" ca="1" si="84"/>
        <v/>
      </c>
      <c r="AT68" s="163" t="str">
        <f t="shared" ca="1" si="85"/>
        <v/>
      </c>
      <c r="AU68" s="163" t="str">
        <f t="shared" ca="1" si="86"/>
        <v/>
      </c>
      <c r="AV68" s="163" t="str">
        <f t="shared" ca="1" si="87"/>
        <v/>
      </c>
      <c r="AW68" s="327" t="str">
        <f t="shared" ca="1" si="88"/>
        <v/>
      </c>
      <c r="AX68" s="323" t="str">
        <f ca="1">IF($G68="","",Reserve!$P69-$R68)</f>
        <v/>
      </c>
      <c r="AY68" s="220">
        <f t="shared" si="89"/>
        <v>2.2499999999999999E-2</v>
      </c>
      <c r="AZ68" s="331">
        <f>IF($G68="","",VLOOKUP($H68,Life!$A$3:$R$113,18,FALSE))</f>
        <v>0.37672312459927337</v>
      </c>
      <c r="BA68" s="162" t="str">
        <f t="shared" ca="1" si="90"/>
        <v/>
      </c>
      <c r="BB68" s="163" t="str">
        <f t="shared" ca="1" si="91"/>
        <v/>
      </c>
      <c r="BC68" s="163">
        <f t="shared" si="92"/>
        <v>-1.6125326466192684</v>
      </c>
      <c r="BD68" s="163" t="str">
        <f t="shared" ca="1" si="93"/>
        <v/>
      </c>
      <c r="BE68" s="163" t="str">
        <f t="shared" ca="1" si="94"/>
        <v/>
      </c>
      <c r="BF68" s="163" t="str">
        <f t="shared" ca="1" si="95"/>
        <v/>
      </c>
      <c r="BG68" s="163">
        <f t="shared" si="96"/>
        <v>-5.5196716510195008E-3</v>
      </c>
      <c r="BH68" s="163" t="str">
        <f t="shared" ca="1" si="97"/>
        <v/>
      </c>
      <c r="BI68" s="163" t="str">
        <f t="shared" ca="1" si="98"/>
        <v/>
      </c>
      <c r="BJ68" s="163" t="str">
        <f t="shared" ca="1" si="99"/>
        <v/>
      </c>
      <c r="BK68" s="164" t="str">
        <f t="shared" ca="1" si="100"/>
        <v/>
      </c>
      <c r="BL68" s="163" t="str">
        <f t="shared" ca="1" si="51"/>
        <v/>
      </c>
      <c r="BM68" s="163">
        <f t="shared" si="52"/>
        <v>5.6969696969696972</v>
      </c>
      <c r="BN68" s="163">
        <f t="shared" si="53"/>
        <v>0</v>
      </c>
      <c r="BO68" s="163">
        <f t="shared" si="54"/>
        <v>0</v>
      </c>
      <c r="BP68" s="163" t="str">
        <f t="shared" ca="1" si="55"/>
        <v/>
      </c>
      <c r="BQ68" s="163">
        <f t="shared" si="56"/>
        <v>1.577049043148429</v>
      </c>
      <c r="BR68" s="163">
        <f t="shared" si="57"/>
        <v>0</v>
      </c>
      <c r="BS68" s="163">
        <f t="shared" si="58"/>
        <v>0</v>
      </c>
      <c r="BT68" s="163">
        <f t="shared" si="59"/>
        <v>0</v>
      </c>
      <c r="BU68" s="164" t="str">
        <f t="shared" ca="1" si="60"/>
        <v/>
      </c>
    </row>
    <row r="69" spans="2:73" x14ac:dyDescent="0.3">
      <c r="F69" s="320">
        <v>65</v>
      </c>
      <c r="G69" s="367">
        <f t="shared" ref="G69:G100" si="101">IF(F69&lt;=$B$10,F69,"")</f>
        <v>65</v>
      </c>
      <c r="H69" s="155">
        <f t="shared" ref="H69:H100" si="102">IF($G69="","",$B$7+$G69-1)</f>
        <v>99</v>
      </c>
      <c r="I69" s="324">
        <f t="shared" ref="I69:I100" si="103">IF($G69="","",IF($G69&lt;=$B$9,$B$11,0))</f>
        <v>0</v>
      </c>
      <c r="J69" s="166">
        <f t="shared" ref="J69:J100" si="104">IF($G69="","",IF($G69&lt;=$B$9,$B$12,0))</f>
        <v>0</v>
      </c>
      <c r="K69" s="328">
        <f>IF($G69="","",Reserve!N69)</f>
        <v>0</v>
      </c>
      <c r="L69" s="166">
        <f t="shared" si="41"/>
        <v>0</v>
      </c>
      <c r="M69" s="166">
        <f t="shared" si="42"/>
        <v>5.6969696969696972</v>
      </c>
      <c r="N69" s="166">
        <f t="shared" si="43"/>
        <v>0</v>
      </c>
      <c r="O69" s="166">
        <f t="shared" ref="O69:O115" si="105">IF($G69="","",$J69*$B118*IF($G69=1,1+$B$51,1))</f>
        <v>0</v>
      </c>
      <c r="P69" s="328">
        <f t="shared" ref="P69:P115" si="106">IF($G69="","",SUM(L69:O69)*$D$12)</f>
        <v>5.6969696969696972</v>
      </c>
      <c r="Q69" s="330">
        <f ca="1">IF($G69="","",Reserve!$I69)</f>
        <v>17441</v>
      </c>
      <c r="R69" s="324">
        <f>IF($G69="","",Reserve!$J70+Reserve!$K70)</f>
        <v>0</v>
      </c>
      <c r="S69" s="166" t="str">
        <f ca="1">IF($G69="","",Change!$G70)</f>
        <v/>
      </c>
      <c r="T69" s="163">
        <f t="shared" si="61"/>
        <v>0</v>
      </c>
      <c r="U69" s="332">
        <f t="shared" ref="U69:U100" si="107">IF($G69="","",$C$47*($C$48+(1-$C$48)*$C$49^($G69-1)))</f>
        <v>5.7572023171274323E-4</v>
      </c>
      <c r="V69" s="324" t="str">
        <f ca="1">IF($G69="","",Reserve!$Q70-$R69)</f>
        <v/>
      </c>
      <c r="W69" s="166">
        <f>IF($G69="","",Reserve!$S70)</f>
        <v>0</v>
      </c>
      <c r="X69" s="328" t="str">
        <f t="shared" ref="X69:X100" ca="1" si="108">IF($G69="","",$V69+$W69)</f>
        <v/>
      </c>
      <c r="Y69" s="335">
        <f t="shared" ref="Y69:Y100" si="109">IF($G69="","",$D$6)</f>
        <v>2.5999999999999999E-2</v>
      </c>
      <c r="Z69" s="235">
        <f>IF($G69="","",VLOOKUP(H69,Life!$A$3:$Q$113,$B$6+1,FALSE))</f>
        <v>0.40481499999999998</v>
      </c>
      <c r="AA69" s="235">
        <f t="shared" ref="AA69:AA100" si="110">IF($G69="","",Z69*$D$10)</f>
        <v>0.36433349999999998</v>
      </c>
      <c r="AB69" s="235">
        <f t="shared" ref="AB69:AB100" si="111">IF($G69="","",AF69/AD69)</f>
        <v>9.5349974999999997E-3</v>
      </c>
      <c r="AC69" s="332">
        <f>IF($G69="","",HLOOKUP($G69,AssetShare_Table!$B$84:$G$85,2)*$D$11)</f>
        <v>1.4999999999999999E-2</v>
      </c>
      <c r="AD69" s="335">
        <f t="shared" ref="AD69:AD100" si="112">IF($G69="","",IF($G69=1,1,$AG68))</f>
        <v>2.7306452328230446E-3</v>
      </c>
      <c r="AE69" s="235">
        <f t="shared" ref="AE69:AE100" si="113">IF($G69="","",$AD69*$AA69)</f>
        <v>9.9486553493273455E-4</v>
      </c>
      <c r="AF69" s="235">
        <f t="shared" ref="AF69:AF100" si="114">IF($G69="","",IF($AC$4=1,$AD69*$AC69,IF($AC$4=2,($AD69-$AE69)*$AC69,MAX($AD69*$AC69-$AE69,0))))</f>
        <v>2.6036695468354648E-5</v>
      </c>
      <c r="AG69" s="332">
        <f t="shared" ref="AG69:AG100" si="115">IF($G69="","",$AD69-$AE69-$AF69)</f>
        <v>1.7097430024219553E-3</v>
      </c>
      <c r="AH69" s="324" t="str">
        <f t="shared" ref="AH69:AH100" ca="1" si="116">IF($G69="","",IF($G69=1,0,$AQ68))</f>
        <v/>
      </c>
      <c r="AI69" s="166">
        <f t="shared" ref="AI69:AI100" si="117">IF($G69="","",$J69*$AD69*$B$13)</f>
        <v>0</v>
      </c>
      <c r="AJ69" s="166">
        <f t="shared" ref="AJ69:AJ100" si="118">IF($G69="","",$P69*$AD69*$B$13)</f>
        <v>1.0267226075414648</v>
      </c>
      <c r="AK69" s="166" t="str">
        <f t="shared" ref="AK69:AK100" ca="1" si="119">IF($G69="","",$Q69*$AE69*$B$13)</f>
        <v/>
      </c>
      <c r="AL69" s="166">
        <f t="shared" ref="AL69:AL100" si="120">IF($G69="","",$R69*($AF69+$AG69)*$B$13)</f>
        <v>0</v>
      </c>
      <c r="AM69" s="166" t="str">
        <f t="shared" ref="AM69:AM100" ca="1" si="121">IF($G69="","",$S69*$AF69*$B$13)</f>
        <v/>
      </c>
      <c r="AN69" s="163">
        <f t="shared" si="46"/>
        <v>0</v>
      </c>
      <c r="AO69" s="166" t="str">
        <f t="shared" ca="1" si="47"/>
        <v/>
      </c>
      <c r="AP69" s="166" t="str">
        <f t="shared" ref="AP69:AP100" ca="1" si="122">IF($G69="","",($AH69+$AI69-$AJ69)*$Y69-$AK69*((1+$Y69)^0.5-1))</f>
        <v/>
      </c>
      <c r="AQ69" s="166" t="str">
        <f t="shared" ref="AQ69:AQ100" ca="1" si="123">IF($G69="","",$AH69+$AI69-SUM($AJ69:$AO69)+$AP69)</f>
        <v/>
      </c>
      <c r="AR69" s="328" t="str">
        <f t="shared" ref="AR69:AR100" ca="1" si="124">IF($G69="","",$X69*$AG69*$B$13)</f>
        <v/>
      </c>
      <c r="AS69" s="324" t="str">
        <f t="shared" ref="AS69:AS100" ca="1" si="125">IF($G69="","",$AQ69-$AR69)</f>
        <v/>
      </c>
      <c r="AT69" s="166" t="str">
        <f t="shared" ref="AT69:AT100" ca="1" si="126">IF($G69="","",$AS69-IF($G69=1,0,$AS68))</f>
        <v/>
      </c>
      <c r="AU69" s="166" t="str">
        <f t="shared" ref="AU69:AU100" ca="1" si="127">IF($G69="","",$AS69-IF($G69=1,0,$AS68*(1+$Y69)))</f>
        <v/>
      </c>
      <c r="AV69" s="166" t="str">
        <f t="shared" ref="AV69:AV100" ca="1" si="128">IF($G69="","",IF($AS69&gt;0,0,$G69))</f>
        <v/>
      </c>
      <c r="AW69" s="328" t="str">
        <f t="shared" ref="AW69:AW100" ca="1" si="129">IF($G69="","",IF($AU69&gt;0,0,$G69))</f>
        <v/>
      </c>
      <c r="AX69" s="324" t="str">
        <f ca="1">IF($G69="","",Reserve!$P70-$R69)</f>
        <v/>
      </c>
      <c r="AY69" s="235">
        <f t="shared" ref="AY69:AY100" si="130">IF($G69="","",$C$34)</f>
        <v>2.2499999999999999E-2</v>
      </c>
      <c r="AZ69" s="332">
        <f>IF($G69="","",VLOOKUP($H69,Life!$A$3:$R$113,18,FALSE))</f>
        <v>0.40481344163219818</v>
      </c>
      <c r="BA69" s="165" t="str">
        <f t="shared" ref="BA69:BA100" ca="1" si="131">IF($G69="","",(($K69+IF($G69=1,0,$AX68))*($Y69-$AY69)-$Q69*$AZ69*((1+$Y69)^0.5-(1+$AY69)^0.5))*$AD69*$B$13)</f>
        <v/>
      </c>
      <c r="BB69" s="166" t="str">
        <f t="shared" ref="BB69:BB100" ca="1" si="132">IF($G69="","",($AX69+$R69-$Q69*(1+$AY69)^0.5)*($AA69-$AZ69)*$AD69*$B$13)</f>
        <v/>
      </c>
      <c r="BC69" s="166">
        <f t="shared" ref="BC69:BC100" si="133">IF($G69="","",(($J69-$P69-$K69)*(1+$AY69)-$T69)*$AD69*$B$13)</f>
        <v>-1.0498238662111479</v>
      </c>
      <c r="BD69" s="166" t="str">
        <f t="shared" ref="BD69:BD100" ca="1" si="134">IF($G69="","",$AB69*($AX69-$S69)*$AD69*$B$13)</f>
        <v/>
      </c>
      <c r="BE69" s="166" t="str">
        <f t="shared" ref="BE69:BE100" ca="1" si="135">IF($G69="","",((IF($G69=1,0,$X68)-IF($G69=1,0,$AX68))*(1+$AY69)-(1-$AZ69)*($X69-$AX69))*$AD69*$B$13)</f>
        <v/>
      </c>
      <c r="BF69" s="166" t="str">
        <f t="shared" ref="BF69:BF100" ca="1" si="136">IF($G69="","",-$Q69*($AA69-$AZ69)*((1+$Y69)^0.5-(1+$AY69)^0.5)*$AD69*$B$13)</f>
        <v/>
      </c>
      <c r="BG69" s="166">
        <f t="shared" ref="BG69:BG100" si="137">IF($G69="","",($J69-$P69-$K69)*($Y69-$AY69)*$AD69*$B$13)</f>
        <v>-3.5935291263951264E-3</v>
      </c>
      <c r="BH69" s="166" t="str">
        <f t="shared" ref="BH69:BH100" ca="1" si="138">IF($G69="","",(IF($G69=1,0,$X68)-IF($G69=1,0,$AX68))*($Y69-$AY69)*$AD69*$B$13)</f>
        <v/>
      </c>
      <c r="BI69" s="166" t="str">
        <f t="shared" ref="BI69:BI100" ca="1" si="139">IF($G69="","",$AB69*($X69-$AX69)*$AD69*$B$13)</f>
        <v/>
      </c>
      <c r="BJ69" s="166" t="str">
        <f t="shared" ref="BJ69:BJ100" ca="1" si="140">IF($G69="","",($AA69-$AZ69)*($X69-$AX69)*$AD69*$B$13)</f>
        <v/>
      </c>
      <c r="BK69" s="167" t="str">
        <f t="shared" ref="BK69:BK100" ca="1" si="141">IF($G69="","",-(1-$AA69-$AB69)*$U69*$X69*$AD69*$B$13)</f>
        <v/>
      </c>
      <c r="BL69" s="166" t="str">
        <f t="shared" ca="1" si="51"/>
        <v/>
      </c>
      <c r="BM69" s="163">
        <f t="shared" si="52"/>
        <v>5.6969696969696972</v>
      </c>
      <c r="BN69" s="166">
        <f t="shared" si="53"/>
        <v>0</v>
      </c>
      <c r="BO69" s="166">
        <f t="shared" si="54"/>
        <v>0</v>
      </c>
      <c r="BP69" s="166" t="str">
        <f t="shared" ca="1" si="55"/>
        <v/>
      </c>
      <c r="BQ69" s="166">
        <f t="shared" si="56"/>
        <v>1.0267226075414648</v>
      </c>
      <c r="BR69" s="166">
        <f t="shared" si="57"/>
        <v>0</v>
      </c>
      <c r="BS69" s="166">
        <f t="shared" si="58"/>
        <v>0</v>
      </c>
      <c r="BT69" s="166">
        <f t="shared" si="59"/>
        <v>0</v>
      </c>
      <c r="BU69" s="167" t="str">
        <f t="shared" ca="1" si="60"/>
        <v/>
      </c>
    </row>
    <row r="70" spans="2:73" x14ac:dyDescent="0.3">
      <c r="F70" s="36">
        <v>66</v>
      </c>
      <c r="G70" s="363">
        <f t="shared" si="101"/>
        <v>66</v>
      </c>
      <c r="H70" s="153">
        <f t="shared" si="102"/>
        <v>100</v>
      </c>
      <c r="I70" s="323">
        <f t="shared" si="103"/>
        <v>0</v>
      </c>
      <c r="J70" s="163">
        <f t="shared" si="104"/>
        <v>0</v>
      </c>
      <c r="K70" s="327">
        <f>IF($G70="","",Reserve!N70)</f>
        <v>0</v>
      </c>
      <c r="L70" s="163">
        <f t="shared" ref="L70:L115" si="142">IF($G70="","",IF($G70&gt;1,0,$B$44/$B$13+$J70*$C$44))</f>
        <v>0</v>
      </c>
      <c r="M70" s="163">
        <f t="shared" ref="M70:M115" si="143">IF($G70="","",IF($G70&gt;1,$B$45/$B$13+$J70*$C$45,0))</f>
        <v>5.6969696969696972</v>
      </c>
      <c r="N70" s="163">
        <f t="shared" ref="N70:N115" si="144">IF($G70="","",IF($G70&gt;1,$B$46/$B$13+$J70*$C$46,0))</f>
        <v>0</v>
      </c>
      <c r="O70" s="163">
        <f t="shared" si="105"/>
        <v>0</v>
      </c>
      <c r="P70" s="327">
        <f t="shared" si="106"/>
        <v>5.6969696969696972</v>
      </c>
      <c r="Q70" s="330">
        <f ca="1">IF($G70="","",Reserve!$I70)</f>
        <v>17441</v>
      </c>
      <c r="R70" s="323">
        <f>IF($G70="","",Reserve!$J71+Reserve!$K71)</f>
        <v>0</v>
      </c>
      <c r="S70" s="163" t="str">
        <f ca="1">IF($G70="","",Change!$G71)</f>
        <v/>
      </c>
      <c r="T70" s="163">
        <f t="shared" si="61"/>
        <v>0</v>
      </c>
      <c r="U70" s="331">
        <f t="shared" si="107"/>
        <v>5.7422781549285105E-4</v>
      </c>
      <c r="V70" s="323" t="str">
        <f ca="1">IF($G70="","",Reserve!$Q71-$R70)</f>
        <v/>
      </c>
      <c r="W70" s="163">
        <f>IF($G70="","",Reserve!$S71)</f>
        <v>0</v>
      </c>
      <c r="X70" s="327" t="str">
        <f t="shared" ca="1" si="108"/>
        <v/>
      </c>
      <c r="Y70" s="334">
        <f t="shared" si="109"/>
        <v>2.5999999999999999E-2</v>
      </c>
      <c r="Z70" s="220">
        <f>IF($G70="","",VLOOKUP(H70,Life!$A$3:$Q$113,$B$6+1,FALSE))</f>
        <v>0.43411899999999998</v>
      </c>
      <c r="AA70" s="220">
        <f t="shared" si="110"/>
        <v>0.39070709999999997</v>
      </c>
      <c r="AB70" s="220">
        <f t="shared" si="111"/>
        <v>9.1393935000000006E-3</v>
      </c>
      <c r="AC70" s="331">
        <f>IF($G70="","",HLOOKUP($G70,AssetShare_Table!$B$84:$G$85,2)*$D$11)</f>
        <v>1.4999999999999999E-2</v>
      </c>
      <c r="AD70" s="334">
        <f t="shared" si="112"/>
        <v>1.7097430024219553E-3</v>
      </c>
      <c r="AE70" s="220">
        <f t="shared" si="113"/>
        <v>6.6800873022157515E-4</v>
      </c>
      <c r="AF70" s="220">
        <f t="shared" si="114"/>
        <v>1.5626014083005703E-5</v>
      </c>
      <c r="AG70" s="331">
        <f t="shared" si="115"/>
        <v>1.0261082581173744E-3</v>
      </c>
      <c r="AH70" s="323" t="str">
        <f t="shared" ca="1" si="116"/>
        <v/>
      </c>
      <c r="AI70" s="163">
        <f t="shared" si="117"/>
        <v>0</v>
      </c>
      <c r="AJ70" s="163">
        <f t="shared" si="118"/>
        <v>0.64286336891065521</v>
      </c>
      <c r="AK70" s="163" t="str">
        <f t="shared" ca="1" si="119"/>
        <v/>
      </c>
      <c r="AL70" s="163">
        <f t="shared" si="120"/>
        <v>0</v>
      </c>
      <c r="AM70" s="163" t="str">
        <f t="shared" ca="1" si="121"/>
        <v/>
      </c>
      <c r="AN70" s="163">
        <f t="shared" ref="AN70:AN115" si="145">IF($G70="","",$T70*$AD70*$B$13)</f>
        <v>0</v>
      </c>
      <c r="AO70" s="163" t="str">
        <f t="shared" ref="AO70:AO115" ca="1" si="146">IF($G70="","",$U70*$V70*$AG70*$B$13)</f>
        <v/>
      </c>
      <c r="AP70" s="163" t="str">
        <f t="shared" ca="1" si="122"/>
        <v/>
      </c>
      <c r="AQ70" s="163" t="str">
        <f t="shared" ca="1" si="123"/>
        <v/>
      </c>
      <c r="AR70" s="327" t="str">
        <f t="shared" ca="1" si="124"/>
        <v/>
      </c>
      <c r="AS70" s="323" t="str">
        <f t="shared" ca="1" si="125"/>
        <v/>
      </c>
      <c r="AT70" s="163" t="str">
        <f t="shared" ca="1" si="126"/>
        <v/>
      </c>
      <c r="AU70" s="163" t="str">
        <f t="shared" ca="1" si="127"/>
        <v/>
      </c>
      <c r="AV70" s="163" t="str">
        <f t="shared" ca="1" si="128"/>
        <v/>
      </c>
      <c r="AW70" s="327" t="str">
        <f t="shared" ca="1" si="129"/>
        <v/>
      </c>
      <c r="AX70" s="323" t="str">
        <f ca="1">IF($G70="","",Reserve!$P71-$R70)</f>
        <v/>
      </c>
      <c r="AY70" s="220">
        <f t="shared" si="130"/>
        <v>2.2499999999999999E-2</v>
      </c>
      <c r="AZ70" s="331">
        <f>IF($G70="","",VLOOKUP($H70,Life!$A$3:$R$113,18,FALSE))</f>
        <v>0.43410629410917473</v>
      </c>
      <c r="BA70" s="162" t="str">
        <f t="shared" ca="1" si="131"/>
        <v/>
      </c>
      <c r="BB70" s="163" t="str">
        <f t="shared" ca="1" si="132"/>
        <v/>
      </c>
      <c r="BC70" s="163">
        <f t="shared" si="133"/>
        <v>-0.657327794711145</v>
      </c>
      <c r="BD70" s="163" t="str">
        <f t="shared" ca="1" si="134"/>
        <v/>
      </c>
      <c r="BE70" s="163" t="str">
        <f t="shared" ca="1" si="135"/>
        <v/>
      </c>
      <c r="BF70" s="163" t="str">
        <f t="shared" ca="1" si="136"/>
        <v/>
      </c>
      <c r="BG70" s="163">
        <f t="shared" si="137"/>
        <v>-2.2500217911872928E-3</v>
      </c>
      <c r="BH70" s="163" t="str">
        <f t="shared" ca="1" si="138"/>
        <v/>
      </c>
      <c r="BI70" s="163" t="str">
        <f t="shared" ca="1" si="139"/>
        <v/>
      </c>
      <c r="BJ70" s="163" t="str">
        <f t="shared" ca="1" si="140"/>
        <v/>
      </c>
      <c r="BK70" s="164" t="str">
        <f t="shared" ca="1" si="141"/>
        <v/>
      </c>
      <c r="BL70" s="163" t="str">
        <f t="shared" ref="BL70:BL115" ca="1" si="147">IF($G70="","",I70*$B$36)</f>
        <v/>
      </c>
      <c r="BM70" s="163">
        <f t="shared" ref="BM70:BM115" si="148">IF($G70="","",IF($G70&gt;1,($B$45+$B$46)/$B$13,$B$44/$B$13))</f>
        <v>5.6969696969696972</v>
      </c>
      <c r="BN70" s="163">
        <f t="shared" ref="BN70:BN115" si="149">IF($G70="","",IF($G70=1,$J70*$C$44,$J70*$C$45+$J70*$C$46))</f>
        <v>0</v>
      </c>
      <c r="BO70" s="163">
        <f t="shared" ref="BO70:BO115" si="150">O70</f>
        <v>0</v>
      </c>
      <c r="BP70" s="163" t="str">
        <f t="shared" ref="BP70:BP115" ca="1" si="151">IF($G70="","",$BL70*$AD70*$B$13)</f>
        <v/>
      </c>
      <c r="BQ70" s="163">
        <f t="shared" ref="BQ70:BQ115" si="152">IF($G70="","",$BM70*$AD70*$B$13)</f>
        <v>0.64286336891065521</v>
      </c>
      <c r="BR70" s="163">
        <f t="shared" ref="BR70:BR115" si="153">IF($G70="","",$BN70*$AD70*$B$13)</f>
        <v>0</v>
      </c>
      <c r="BS70" s="163">
        <f t="shared" ref="BS70:BS115" si="154">IF($G70="","",$BO70*$AD70*$B$13)</f>
        <v>0</v>
      </c>
      <c r="BT70" s="163">
        <f t="shared" ref="BT70:BT115" si="155">AN70</f>
        <v>0</v>
      </c>
      <c r="BU70" s="164" t="str">
        <f t="shared" ref="BU70:BU115" ca="1" si="156">AO70</f>
        <v/>
      </c>
    </row>
    <row r="71" spans="2:73" x14ac:dyDescent="0.3">
      <c r="F71" s="36">
        <v>67</v>
      </c>
      <c r="G71" s="363">
        <f t="shared" si="101"/>
        <v>67</v>
      </c>
      <c r="H71" s="153">
        <f t="shared" si="102"/>
        <v>101</v>
      </c>
      <c r="I71" s="323">
        <f t="shared" si="103"/>
        <v>0</v>
      </c>
      <c r="J71" s="163">
        <f t="shared" si="104"/>
        <v>0</v>
      </c>
      <c r="K71" s="327">
        <f>IF($G71="","",Reserve!N71)</f>
        <v>0</v>
      </c>
      <c r="L71" s="163">
        <f t="shared" si="142"/>
        <v>0</v>
      </c>
      <c r="M71" s="163">
        <f t="shared" si="143"/>
        <v>5.6969696969696972</v>
      </c>
      <c r="N71" s="163">
        <f t="shared" si="144"/>
        <v>0</v>
      </c>
      <c r="O71" s="163">
        <f t="shared" si="105"/>
        <v>0</v>
      </c>
      <c r="P71" s="327">
        <f t="shared" si="106"/>
        <v>5.6969696969696972</v>
      </c>
      <c r="Q71" s="330">
        <f ca="1">IF($G71="","",Reserve!$I71)</f>
        <v>17441</v>
      </c>
      <c r="R71" s="323">
        <f>IF($G71="","",Reserve!$J72+Reserve!$K72)</f>
        <v>0</v>
      </c>
      <c r="S71" s="163" t="str">
        <f ca="1">IF($G71="","",Change!$G72)</f>
        <v/>
      </c>
      <c r="T71" s="163">
        <f t="shared" si="61"/>
        <v>0</v>
      </c>
      <c r="U71" s="331">
        <f t="shared" si="107"/>
        <v>5.7283986840835153E-4</v>
      </c>
      <c r="V71" s="323" t="str">
        <f ca="1">IF($G71="","",Reserve!$Q72-$R71)</f>
        <v/>
      </c>
      <c r="W71" s="163">
        <f>IF($G71="","",Reserve!$S72)</f>
        <v>0</v>
      </c>
      <c r="X71" s="327" t="str">
        <f t="shared" ca="1" si="108"/>
        <v/>
      </c>
      <c r="Y71" s="334">
        <f t="shared" si="109"/>
        <v>2.5999999999999999E-2</v>
      </c>
      <c r="Z71" s="220">
        <f>IF($G71="","",VLOOKUP(H71,Life!$A$3:$Q$113,$B$6+1,FALSE))</f>
        <v>0.46451999999999999</v>
      </c>
      <c r="AA71" s="220">
        <f t="shared" si="110"/>
        <v>0.418068</v>
      </c>
      <c r="AB71" s="220">
        <f t="shared" si="111"/>
        <v>8.728979999999999E-3</v>
      </c>
      <c r="AC71" s="331">
        <f>IF($G71="","",HLOOKUP($G71,AssetShare_Table!$B$84:$G$85,2)*$D$11)</f>
        <v>1.4999999999999999E-2</v>
      </c>
      <c r="AD71" s="334">
        <f t="shared" si="112"/>
        <v>1.0261082581173744E-3</v>
      </c>
      <c r="AE71" s="220">
        <f t="shared" si="113"/>
        <v>4.289830272546145E-4</v>
      </c>
      <c r="AF71" s="220">
        <f t="shared" si="114"/>
        <v>8.9568784629413989E-6</v>
      </c>
      <c r="AG71" s="331">
        <f t="shared" si="115"/>
        <v>5.8816835239981855E-4</v>
      </c>
      <c r="AH71" s="323" t="str">
        <f t="shared" ca="1" si="116"/>
        <v/>
      </c>
      <c r="AI71" s="163">
        <f t="shared" si="117"/>
        <v>0</v>
      </c>
      <c r="AJ71" s="163">
        <f t="shared" si="118"/>
        <v>0.38581670505213284</v>
      </c>
      <c r="AK71" s="163" t="str">
        <f t="shared" ca="1" si="119"/>
        <v/>
      </c>
      <c r="AL71" s="163">
        <f t="shared" si="120"/>
        <v>0</v>
      </c>
      <c r="AM71" s="163" t="str">
        <f t="shared" ca="1" si="121"/>
        <v/>
      </c>
      <c r="AN71" s="163">
        <f t="shared" si="145"/>
        <v>0</v>
      </c>
      <c r="AO71" s="163" t="str">
        <f t="shared" ca="1" si="146"/>
        <v/>
      </c>
      <c r="AP71" s="163" t="str">
        <f t="shared" ca="1" si="122"/>
        <v/>
      </c>
      <c r="AQ71" s="163" t="str">
        <f t="shared" ca="1" si="123"/>
        <v/>
      </c>
      <c r="AR71" s="327" t="str">
        <f t="shared" ca="1" si="124"/>
        <v/>
      </c>
      <c r="AS71" s="323" t="str">
        <f t="shared" ca="1" si="125"/>
        <v/>
      </c>
      <c r="AT71" s="163" t="str">
        <f t="shared" ca="1" si="126"/>
        <v/>
      </c>
      <c r="AU71" s="163" t="str">
        <f t="shared" ca="1" si="127"/>
        <v/>
      </c>
      <c r="AV71" s="163" t="str">
        <f t="shared" ca="1" si="128"/>
        <v/>
      </c>
      <c r="AW71" s="327" t="str">
        <f t="shared" ca="1" si="129"/>
        <v/>
      </c>
      <c r="AX71" s="323" t="str">
        <f ca="1">IF($G71="","",Reserve!$P72-$R71)</f>
        <v/>
      </c>
      <c r="AY71" s="220">
        <f t="shared" si="130"/>
        <v>2.2499999999999999E-2</v>
      </c>
      <c r="AZ71" s="331">
        <f>IF($G71="","",VLOOKUP($H71,Life!$A$3:$R$113,18,FALSE))</f>
        <v>0.4644947823873759</v>
      </c>
      <c r="BA71" s="162" t="str">
        <f t="shared" ca="1" si="131"/>
        <v/>
      </c>
      <c r="BB71" s="163" t="str">
        <f t="shared" ca="1" si="132"/>
        <v/>
      </c>
      <c r="BC71" s="163">
        <f t="shared" si="133"/>
        <v>-0.39449758091580578</v>
      </c>
      <c r="BD71" s="163" t="str">
        <f t="shared" ca="1" si="134"/>
        <v/>
      </c>
      <c r="BE71" s="163" t="str">
        <f t="shared" ca="1" si="135"/>
        <v/>
      </c>
      <c r="BF71" s="163" t="str">
        <f t="shared" ca="1" si="136"/>
        <v/>
      </c>
      <c r="BG71" s="163">
        <f t="shared" si="137"/>
        <v>-1.3503584676824647E-3</v>
      </c>
      <c r="BH71" s="163" t="str">
        <f t="shared" ca="1" si="138"/>
        <v/>
      </c>
      <c r="BI71" s="163" t="str">
        <f t="shared" ca="1" si="139"/>
        <v/>
      </c>
      <c r="BJ71" s="163" t="str">
        <f t="shared" ca="1" si="140"/>
        <v/>
      </c>
      <c r="BK71" s="164" t="str">
        <f t="shared" ca="1" si="141"/>
        <v/>
      </c>
      <c r="BL71" s="163" t="str">
        <f t="shared" ca="1" si="147"/>
        <v/>
      </c>
      <c r="BM71" s="163">
        <f t="shared" si="148"/>
        <v>5.6969696969696972</v>
      </c>
      <c r="BN71" s="163">
        <f t="shared" si="149"/>
        <v>0</v>
      </c>
      <c r="BO71" s="163">
        <f t="shared" si="150"/>
        <v>0</v>
      </c>
      <c r="BP71" s="163" t="str">
        <f t="shared" ca="1" si="151"/>
        <v/>
      </c>
      <c r="BQ71" s="163">
        <f t="shared" si="152"/>
        <v>0.38581670505213284</v>
      </c>
      <c r="BR71" s="163">
        <f t="shared" si="153"/>
        <v>0</v>
      </c>
      <c r="BS71" s="163">
        <f t="shared" si="154"/>
        <v>0</v>
      </c>
      <c r="BT71" s="163">
        <f t="shared" si="155"/>
        <v>0</v>
      </c>
      <c r="BU71" s="164" t="str">
        <f t="shared" ca="1" si="156"/>
        <v/>
      </c>
    </row>
    <row r="72" spans="2:73" x14ac:dyDescent="0.3">
      <c r="F72" s="36">
        <v>68</v>
      </c>
      <c r="G72" s="363">
        <f t="shared" si="101"/>
        <v>68</v>
      </c>
      <c r="H72" s="153">
        <f t="shared" si="102"/>
        <v>102</v>
      </c>
      <c r="I72" s="323">
        <f t="shared" si="103"/>
        <v>0</v>
      </c>
      <c r="J72" s="163">
        <f t="shared" si="104"/>
        <v>0</v>
      </c>
      <c r="K72" s="327">
        <f>IF($G72="","",Reserve!N72)</f>
        <v>0</v>
      </c>
      <c r="L72" s="163">
        <f t="shared" si="142"/>
        <v>0</v>
      </c>
      <c r="M72" s="163">
        <f t="shared" si="143"/>
        <v>5.6969696969696972</v>
      </c>
      <c r="N72" s="163">
        <f t="shared" si="144"/>
        <v>0</v>
      </c>
      <c r="O72" s="163">
        <f t="shared" si="105"/>
        <v>0</v>
      </c>
      <c r="P72" s="327">
        <f t="shared" si="106"/>
        <v>5.6969696969696972</v>
      </c>
      <c r="Q72" s="330">
        <f ca="1">IF($G72="","",Reserve!$I72)</f>
        <v>17441</v>
      </c>
      <c r="R72" s="323">
        <f>IF($G72="","",Reserve!$J73+Reserve!$K73)</f>
        <v>0</v>
      </c>
      <c r="S72" s="163" t="str">
        <f ca="1">IF($G72="","",Change!$G73)</f>
        <v/>
      </c>
      <c r="T72" s="163">
        <f t="shared" ref="T72:T115" si="157">IF($G72="","",MAX($J72-$K72,0)*$B$50)</f>
        <v>0</v>
      </c>
      <c r="U72" s="331">
        <f t="shared" si="107"/>
        <v>5.7154907761976703E-4</v>
      </c>
      <c r="V72" s="323" t="str">
        <f ca="1">IF($G72="","",Reserve!$Q73-$R72)</f>
        <v/>
      </c>
      <c r="W72" s="163">
        <f>IF($G72="","",Reserve!$S73)</f>
        <v>0</v>
      </c>
      <c r="X72" s="327" t="str">
        <f t="shared" ca="1" si="108"/>
        <v/>
      </c>
      <c r="Y72" s="334">
        <f t="shared" si="109"/>
        <v>2.5999999999999999E-2</v>
      </c>
      <c r="Z72" s="220">
        <f>IF($G72="","",VLOOKUP(H72,Life!$A$3:$Q$113,$B$6+1,FALSE))</f>
        <v>0.49590800000000002</v>
      </c>
      <c r="AA72" s="220">
        <f t="shared" si="110"/>
        <v>0.44631720000000003</v>
      </c>
      <c r="AB72" s="220">
        <f t="shared" si="111"/>
        <v>8.3052419999999991E-3</v>
      </c>
      <c r="AC72" s="331">
        <f>IF($G72="","",HLOOKUP($G72,AssetShare_Table!$B$84:$G$85,2)*$D$11)</f>
        <v>1.4999999999999999E-2</v>
      </c>
      <c r="AD72" s="334">
        <f t="shared" si="112"/>
        <v>5.8816835239981855E-4</v>
      </c>
      <c r="AE72" s="220">
        <f t="shared" si="113"/>
        <v>2.6250965217170029E-4</v>
      </c>
      <c r="AF72" s="220">
        <f t="shared" si="114"/>
        <v>4.8848805034217738E-6</v>
      </c>
      <c r="AG72" s="331">
        <f t="shared" si="115"/>
        <v>3.2077381972469649E-4</v>
      </c>
      <c r="AH72" s="323" t="str">
        <f t="shared" ca="1" si="116"/>
        <v/>
      </c>
      <c r="AI72" s="163">
        <f t="shared" si="117"/>
        <v>0</v>
      </c>
      <c r="AJ72" s="163">
        <f t="shared" si="118"/>
        <v>0.22115130050233178</v>
      </c>
      <c r="AK72" s="163" t="str">
        <f t="shared" ca="1" si="119"/>
        <v/>
      </c>
      <c r="AL72" s="163">
        <f t="shared" si="120"/>
        <v>0</v>
      </c>
      <c r="AM72" s="163" t="str">
        <f t="shared" ca="1" si="121"/>
        <v/>
      </c>
      <c r="AN72" s="163">
        <f t="shared" si="145"/>
        <v>0</v>
      </c>
      <c r="AO72" s="163" t="str">
        <f t="shared" ca="1" si="146"/>
        <v/>
      </c>
      <c r="AP72" s="163" t="str">
        <f t="shared" ca="1" si="122"/>
        <v/>
      </c>
      <c r="AQ72" s="163" t="str">
        <f t="shared" ca="1" si="123"/>
        <v/>
      </c>
      <c r="AR72" s="327" t="str">
        <f t="shared" ca="1" si="124"/>
        <v/>
      </c>
      <c r="AS72" s="323" t="str">
        <f t="shared" ca="1" si="125"/>
        <v/>
      </c>
      <c r="AT72" s="163" t="str">
        <f t="shared" ca="1" si="126"/>
        <v/>
      </c>
      <c r="AU72" s="163" t="str">
        <f t="shared" ca="1" si="127"/>
        <v/>
      </c>
      <c r="AV72" s="163" t="str">
        <f t="shared" ca="1" si="128"/>
        <v/>
      </c>
      <c r="AW72" s="327" t="str">
        <f t="shared" ca="1" si="129"/>
        <v/>
      </c>
      <c r="AX72" s="323" t="str">
        <f ca="1">IF($G72="","",Reserve!$P73-$R72)</f>
        <v/>
      </c>
      <c r="AY72" s="220">
        <f t="shared" si="130"/>
        <v>2.2499999999999999E-2</v>
      </c>
      <c r="AZ72" s="331">
        <f>IF($G72="","",VLOOKUP($H72,Life!$A$3:$R$113,18,FALSE))</f>
        <v>0.49596007604562736</v>
      </c>
      <c r="BA72" s="162" t="str">
        <f t="shared" ca="1" si="131"/>
        <v/>
      </c>
      <c r="BB72" s="163" t="str">
        <f t="shared" ca="1" si="132"/>
        <v/>
      </c>
      <c r="BC72" s="163">
        <f t="shared" si="133"/>
        <v>-0.22612720476363424</v>
      </c>
      <c r="BD72" s="163" t="str">
        <f t="shared" ca="1" si="134"/>
        <v/>
      </c>
      <c r="BE72" s="163" t="str">
        <f t="shared" ca="1" si="135"/>
        <v/>
      </c>
      <c r="BF72" s="163" t="str">
        <f t="shared" ca="1" si="136"/>
        <v/>
      </c>
      <c r="BG72" s="163">
        <f t="shared" si="137"/>
        <v>-7.7402955175816116E-4</v>
      </c>
      <c r="BH72" s="163" t="str">
        <f t="shared" ca="1" si="138"/>
        <v/>
      </c>
      <c r="BI72" s="163" t="str">
        <f t="shared" ca="1" si="139"/>
        <v/>
      </c>
      <c r="BJ72" s="163" t="str">
        <f t="shared" ca="1" si="140"/>
        <v/>
      </c>
      <c r="BK72" s="164" t="str">
        <f t="shared" ca="1" si="141"/>
        <v/>
      </c>
      <c r="BL72" s="163" t="str">
        <f t="shared" ca="1" si="147"/>
        <v/>
      </c>
      <c r="BM72" s="163">
        <f t="shared" si="148"/>
        <v>5.6969696969696972</v>
      </c>
      <c r="BN72" s="163">
        <f t="shared" si="149"/>
        <v>0</v>
      </c>
      <c r="BO72" s="163">
        <f t="shared" si="150"/>
        <v>0</v>
      </c>
      <c r="BP72" s="163" t="str">
        <f t="shared" ca="1" si="151"/>
        <v/>
      </c>
      <c r="BQ72" s="163">
        <f t="shared" si="152"/>
        <v>0.22115130050233178</v>
      </c>
      <c r="BR72" s="163">
        <f t="shared" si="153"/>
        <v>0</v>
      </c>
      <c r="BS72" s="163">
        <f t="shared" si="154"/>
        <v>0</v>
      </c>
      <c r="BT72" s="163">
        <f t="shared" si="155"/>
        <v>0</v>
      </c>
      <c r="BU72" s="164" t="str">
        <f t="shared" ca="1" si="156"/>
        <v/>
      </c>
    </row>
    <row r="73" spans="2:73" x14ac:dyDescent="0.3">
      <c r="F73" s="36">
        <v>69</v>
      </c>
      <c r="G73" s="363">
        <f t="shared" si="101"/>
        <v>69</v>
      </c>
      <c r="H73" s="153">
        <f t="shared" si="102"/>
        <v>103</v>
      </c>
      <c r="I73" s="323">
        <f t="shared" si="103"/>
        <v>0</v>
      </c>
      <c r="J73" s="163">
        <f t="shared" si="104"/>
        <v>0</v>
      </c>
      <c r="K73" s="327">
        <f>IF($G73="","",Reserve!N73)</f>
        <v>0</v>
      </c>
      <c r="L73" s="163">
        <f t="shared" si="142"/>
        <v>0</v>
      </c>
      <c r="M73" s="163">
        <f t="shared" si="143"/>
        <v>5.6969696969696972</v>
      </c>
      <c r="N73" s="163">
        <f t="shared" si="144"/>
        <v>0</v>
      </c>
      <c r="O73" s="163">
        <f t="shared" si="105"/>
        <v>0</v>
      </c>
      <c r="P73" s="327">
        <f t="shared" si="106"/>
        <v>5.6969696969696972</v>
      </c>
      <c r="Q73" s="330">
        <f ca="1">IF($G73="","",Reserve!$I73)</f>
        <v>17441</v>
      </c>
      <c r="R73" s="323">
        <f>IF($G73="","",Reserve!$J74+Reserve!$K74)</f>
        <v>0</v>
      </c>
      <c r="S73" s="163" t="str">
        <f ca="1">IF($G73="","",Change!$G74)</f>
        <v/>
      </c>
      <c r="T73" s="163">
        <f t="shared" si="157"/>
        <v>0</v>
      </c>
      <c r="U73" s="331">
        <f t="shared" si="107"/>
        <v>5.7034864218638321E-4</v>
      </c>
      <c r="V73" s="323" t="str">
        <f ca="1">IF($G73="","",Reserve!$Q74-$R73)</f>
        <v/>
      </c>
      <c r="W73" s="163">
        <f>IF($G73="","",Reserve!$S74)</f>
        <v>0</v>
      </c>
      <c r="X73" s="327" t="str">
        <f t="shared" ca="1" si="108"/>
        <v/>
      </c>
      <c r="Y73" s="334">
        <f t="shared" si="109"/>
        <v>2.5999999999999999E-2</v>
      </c>
      <c r="Z73" s="220">
        <f>IF($G73="","",VLOOKUP(H73,Life!$A$3:$Q$113,$B$6+1,FALSE))</f>
        <v>0.52817499999999995</v>
      </c>
      <c r="AA73" s="220">
        <f t="shared" si="110"/>
        <v>0.47535749999999999</v>
      </c>
      <c r="AB73" s="220">
        <f t="shared" si="111"/>
        <v>7.8696375000000002E-3</v>
      </c>
      <c r="AC73" s="331">
        <f>IF($G73="","",HLOOKUP($G73,AssetShare_Table!$B$84:$G$85,2)*$D$11)</f>
        <v>1.4999999999999999E-2</v>
      </c>
      <c r="AD73" s="334">
        <f t="shared" si="112"/>
        <v>3.2077381972469649E-4</v>
      </c>
      <c r="AE73" s="220">
        <f t="shared" si="113"/>
        <v>1.524822410097824E-4</v>
      </c>
      <c r="AF73" s="220">
        <f t="shared" si="114"/>
        <v>2.524373680723711E-6</v>
      </c>
      <c r="AG73" s="331">
        <f t="shared" si="115"/>
        <v>1.6576720503419038E-4</v>
      </c>
      <c r="AH73" s="323" t="str">
        <f t="shared" ca="1" si="116"/>
        <v/>
      </c>
      <c r="AI73" s="163">
        <f t="shared" si="117"/>
        <v>0</v>
      </c>
      <c r="AJ73" s="163">
        <f t="shared" si="118"/>
        <v>0.12061095621648588</v>
      </c>
      <c r="AK73" s="163" t="str">
        <f t="shared" ca="1" si="119"/>
        <v/>
      </c>
      <c r="AL73" s="163">
        <f t="shared" si="120"/>
        <v>0</v>
      </c>
      <c r="AM73" s="163" t="str">
        <f t="shared" ca="1" si="121"/>
        <v/>
      </c>
      <c r="AN73" s="163">
        <f t="shared" si="145"/>
        <v>0</v>
      </c>
      <c r="AO73" s="163" t="str">
        <f t="shared" ca="1" si="146"/>
        <v/>
      </c>
      <c r="AP73" s="163" t="str">
        <f t="shared" ca="1" si="122"/>
        <v/>
      </c>
      <c r="AQ73" s="163" t="str">
        <f t="shared" ca="1" si="123"/>
        <v/>
      </c>
      <c r="AR73" s="327" t="str">
        <f t="shared" ca="1" si="124"/>
        <v/>
      </c>
      <c r="AS73" s="323" t="str">
        <f t="shared" ca="1" si="125"/>
        <v/>
      </c>
      <c r="AT73" s="163" t="str">
        <f t="shared" ca="1" si="126"/>
        <v/>
      </c>
      <c r="AU73" s="163" t="str">
        <f t="shared" ca="1" si="127"/>
        <v/>
      </c>
      <c r="AV73" s="163" t="str">
        <f t="shared" ca="1" si="128"/>
        <v/>
      </c>
      <c r="AW73" s="327" t="str">
        <f t="shared" ca="1" si="129"/>
        <v/>
      </c>
      <c r="AX73" s="323" t="str">
        <f ca="1">IF($G73="","",Reserve!$P74-$R73)</f>
        <v/>
      </c>
      <c r="AY73" s="220">
        <f t="shared" si="130"/>
        <v>2.2499999999999999E-2</v>
      </c>
      <c r="AZ73" s="331">
        <f>IF($G73="","",VLOOKUP($H73,Life!$A$3:$R$113,18,FALSE))</f>
        <v>0.52828854314002827</v>
      </c>
      <c r="BA73" s="162" t="str">
        <f t="shared" ca="1" si="131"/>
        <v/>
      </c>
      <c r="BB73" s="163" t="str">
        <f t="shared" ca="1" si="132"/>
        <v/>
      </c>
      <c r="BC73" s="163">
        <f t="shared" si="133"/>
        <v>-0.12332470273135682</v>
      </c>
      <c r="BD73" s="163" t="str">
        <f t="shared" ca="1" si="134"/>
        <v/>
      </c>
      <c r="BE73" s="163" t="str">
        <f t="shared" ca="1" si="135"/>
        <v/>
      </c>
      <c r="BF73" s="163" t="str">
        <f t="shared" ca="1" si="136"/>
        <v/>
      </c>
      <c r="BG73" s="163">
        <f t="shared" si="137"/>
        <v>-4.2213834675770053E-4</v>
      </c>
      <c r="BH73" s="163" t="str">
        <f t="shared" ca="1" si="138"/>
        <v/>
      </c>
      <c r="BI73" s="163" t="str">
        <f t="shared" ca="1" si="139"/>
        <v/>
      </c>
      <c r="BJ73" s="163" t="str">
        <f t="shared" ca="1" si="140"/>
        <v/>
      </c>
      <c r="BK73" s="164" t="str">
        <f t="shared" ca="1" si="141"/>
        <v/>
      </c>
      <c r="BL73" s="163" t="str">
        <f t="shared" ca="1" si="147"/>
        <v/>
      </c>
      <c r="BM73" s="163">
        <f t="shared" si="148"/>
        <v>5.6969696969696972</v>
      </c>
      <c r="BN73" s="163">
        <f t="shared" si="149"/>
        <v>0</v>
      </c>
      <c r="BO73" s="163">
        <f t="shared" si="150"/>
        <v>0</v>
      </c>
      <c r="BP73" s="163" t="str">
        <f t="shared" ca="1" si="151"/>
        <v/>
      </c>
      <c r="BQ73" s="163">
        <f t="shared" si="152"/>
        <v>0.12061095621648588</v>
      </c>
      <c r="BR73" s="163">
        <f t="shared" si="153"/>
        <v>0</v>
      </c>
      <c r="BS73" s="163">
        <f t="shared" si="154"/>
        <v>0</v>
      </c>
      <c r="BT73" s="163">
        <f t="shared" si="155"/>
        <v>0</v>
      </c>
      <c r="BU73" s="164" t="str">
        <f t="shared" ca="1" si="156"/>
        <v/>
      </c>
    </row>
    <row r="74" spans="2:73" x14ac:dyDescent="0.3">
      <c r="F74" s="320">
        <v>70</v>
      </c>
      <c r="G74" s="367">
        <f t="shared" si="101"/>
        <v>70</v>
      </c>
      <c r="H74" s="155">
        <f t="shared" si="102"/>
        <v>104</v>
      </c>
      <c r="I74" s="324">
        <f t="shared" si="103"/>
        <v>0</v>
      </c>
      <c r="J74" s="166">
        <f t="shared" si="104"/>
        <v>0</v>
      </c>
      <c r="K74" s="328">
        <f>IF($G74="","",Reserve!N74)</f>
        <v>0</v>
      </c>
      <c r="L74" s="166">
        <f t="shared" si="142"/>
        <v>0</v>
      </c>
      <c r="M74" s="166">
        <f t="shared" si="143"/>
        <v>5.6969696969696972</v>
      </c>
      <c r="N74" s="166">
        <f t="shared" si="144"/>
        <v>0</v>
      </c>
      <c r="O74" s="166">
        <f t="shared" si="105"/>
        <v>0</v>
      </c>
      <c r="P74" s="328">
        <f t="shared" si="106"/>
        <v>5.6969696969696972</v>
      </c>
      <c r="Q74" s="330">
        <f ca="1">IF($G74="","",Reserve!$I74)</f>
        <v>17441</v>
      </c>
      <c r="R74" s="324">
        <f>IF($G74="","",Reserve!$J75+Reserve!$K75)</f>
        <v>0</v>
      </c>
      <c r="S74" s="166" t="str">
        <f ca="1">IF($G74="","",Change!$G75)</f>
        <v/>
      </c>
      <c r="T74" s="163">
        <f t="shared" si="157"/>
        <v>0</v>
      </c>
      <c r="U74" s="332">
        <f t="shared" si="107"/>
        <v>5.6923223723333641E-4</v>
      </c>
      <c r="V74" s="324" t="str">
        <f ca="1">IF($G74="","",Reserve!$Q75-$R74)</f>
        <v/>
      </c>
      <c r="W74" s="166">
        <f>IF($G74="","",Reserve!$S75)</f>
        <v>0</v>
      </c>
      <c r="X74" s="328" t="str">
        <f t="shared" ca="1" si="108"/>
        <v/>
      </c>
      <c r="Y74" s="335">
        <f t="shared" si="109"/>
        <v>2.5999999999999999E-2</v>
      </c>
      <c r="Z74" s="235">
        <f>IF($G74="","",VLOOKUP(H74,Life!$A$3:$Q$113,$B$6+1,FALSE))</f>
        <v>0.56122499999999997</v>
      </c>
      <c r="AA74" s="235">
        <f t="shared" si="110"/>
        <v>0.50510250000000001</v>
      </c>
      <c r="AB74" s="235">
        <f t="shared" si="111"/>
        <v>7.4234624999999993E-3</v>
      </c>
      <c r="AC74" s="332">
        <f>IF($G74="","",HLOOKUP($G74,AssetShare_Table!$B$84:$G$85,2)*$D$11)</f>
        <v>1.4999999999999999E-2</v>
      </c>
      <c r="AD74" s="335">
        <f t="shared" si="112"/>
        <v>1.6576720503419038E-4</v>
      </c>
      <c r="AE74" s="235">
        <f t="shared" si="113"/>
        <v>8.3729429680782149E-5</v>
      </c>
      <c r="AF74" s="235">
        <f t="shared" si="114"/>
        <v>1.2305666303011234E-6</v>
      </c>
      <c r="AG74" s="332">
        <f t="shared" si="115"/>
        <v>8.0807208723107104E-5</v>
      </c>
      <c r="AH74" s="324" t="str">
        <f t="shared" ca="1" si="116"/>
        <v/>
      </c>
      <c r="AI74" s="166">
        <f t="shared" si="117"/>
        <v>0</v>
      </c>
      <c r="AJ74" s="166">
        <f t="shared" si="118"/>
        <v>6.2328469092855589E-2</v>
      </c>
      <c r="AK74" s="166" t="str">
        <f t="shared" ca="1" si="119"/>
        <v/>
      </c>
      <c r="AL74" s="166">
        <f t="shared" si="120"/>
        <v>0</v>
      </c>
      <c r="AM74" s="166" t="str">
        <f t="shared" ca="1" si="121"/>
        <v/>
      </c>
      <c r="AN74" s="163">
        <f t="shared" si="145"/>
        <v>0</v>
      </c>
      <c r="AO74" s="166" t="str">
        <f t="shared" ca="1" si="146"/>
        <v/>
      </c>
      <c r="AP74" s="166" t="str">
        <f t="shared" ca="1" si="122"/>
        <v/>
      </c>
      <c r="AQ74" s="166" t="str">
        <f t="shared" ca="1" si="123"/>
        <v/>
      </c>
      <c r="AR74" s="328" t="str">
        <f t="shared" ca="1" si="124"/>
        <v/>
      </c>
      <c r="AS74" s="324" t="str">
        <f t="shared" ca="1" si="125"/>
        <v/>
      </c>
      <c r="AT74" s="166" t="str">
        <f t="shared" ca="1" si="126"/>
        <v/>
      </c>
      <c r="AU74" s="166" t="str">
        <f t="shared" ca="1" si="127"/>
        <v/>
      </c>
      <c r="AV74" s="166" t="str">
        <f t="shared" ca="1" si="128"/>
        <v/>
      </c>
      <c r="AW74" s="328" t="str">
        <f t="shared" ca="1" si="129"/>
        <v/>
      </c>
      <c r="AX74" s="324" t="str">
        <f ca="1">IF($G74="","",Reserve!$P75-$R74)</f>
        <v/>
      </c>
      <c r="AY74" s="235">
        <f t="shared" si="130"/>
        <v>2.2499999999999999E-2</v>
      </c>
      <c r="AZ74" s="332">
        <f>IF($G74="","",VLOOKUP($H74,Life!$A$3:$R$113,18,FALSE))</f>
        <v>0.56121939030484758</v>
      </c>
      <c r="BA74" s="165" t="str">
        <f t="shared" ca="1" si="131"/>
        <v/>
      </c>
      <c r="BB74" s="166" t="str">
        <f t="shared" ca="1" si="132"/>
        <v/>
      </c>
      <c r="BC74" s="166">
        <f t="shared" si="133"/>
        <v>-6.3730859647444835E-2</v>
      </c>
      <c r="BD74" s="166" t="str">
        <f t="shared" ca="1" si="134"/>
        <v/>
      </c>
      <c r="BE74" s="166" t="str">
        <f t="shared" ca="1" si="135"/>
        <v/>
      </c>
      <c r="BF74" s="166" t="str">
        <f t="shared" ca="1" si="136"/>
        <v/>
      </c>
      <c r="BG74" s="166">
        <f t="shared" si="137"/>
        <v>-2.1814964182499452E-4</v>
      </c>
      <c r="BH74" s="166" t="str">
        <f t="shared" ca="1" si="138"/>
        <v/>
      </c>
      <c r="BI74" s="166" t="str">
        <f t="shared" ca="1" si="139"/>
        <v/>
      </c>
      <c r="BJ74" s="166" t="str">
        <f t="shared" ca="1" si="140"/>
        <v/>
      </c>
      <c r="BK74" s="167" t="str">
        <f t="shared" ca="1" si="141"/>
        <v/>
      </c>
      <c r="BL74" s="166" t="str">
        <f t="shared" ca="1" si="147"/>
        <v/>
      </c>
      <c r="BM74" s="163">
        <f t="shared" si="148"/>
        <v>5.6969696969696972</v>
      </c>
      <c r="BN74" s="166">
        <f t="shared" si="149"/>
        <v>0</v>
      </c>
      <c r="BO74" s="166">
        <f t="shared" si="150"/>
        <v>0</v>
      </c>
      <c r="BP74" s="166" t="str">
        <f t="shared" ca="1" si="151"/>
        <v/>
      </c>
      <c r="BQ74" s="166">
        <f t="shared" si="152"/>
        <v>6.2328469092855589E-2</v>
      </c>
      <c r="BR74" s="166">
        <f t="shared" si="153"/>
        <v>0</v>
      </c>
      <c r="BS74" s="166">
        <f t="shared" si="154"/>
        <v>0</v>
      </c>
      <c r="BT74" s="166">
        <f t="shared" si="155"/>
        <v>0</v>
      </c>
      <c r="BU74" s="167" t="str">
        <f t="shared" ca="1" si="156"/>
        <v/>
      </c>
    </row>
    <row r="75" spans="2:73" x14ac:dyDescent="0.3">
      <c r="F75" s="36">
        <v>71</v>
      </c>
      <c r="G75" s="363">
        <f t="shared" si="101"/>
        <v>71</v>
      </c>
      <c r="H75" s="153">
        <f t="shared" si="102"/>
        <v>105</v>
      </c>
      <c r="I75" s="323">
        <f t="shared" si="103"/>
        <v>0</v>
      </c>
      <c r="J75" s="163">
        <f t="shared" si="104"/>
        <v>0</v>
      </c>
      <c r="K75" s="327">
        <f>IF($G75="","",Reserve!N75)</f>
        <v>0</v>
      </c>
      <c r="L75" s="163">
        <f t="shared" si="142"/>
        <v>0</v>
      </c>
      <c r="M75" s="163">
        <f t="shared" si="143"/>
        <v>5.6969696969696972</v>
      </c>
      <c r="N75" s="163">
        <f t="shared" si="144"/>
        <v>0</v>
      </c>
      <c r="O75" s="163">
        <f t="shared" si="105"/>
        <v>0</v>
      </c>
      <c r="P75" s="327">
        <f t="shared" si="106"/>
        <v>5.6969696969696972</v>
      </c>
      <c r="Q75" s="330">
        <f ca="1">IF($G75="","",Reserve!$I75)</f>
        <v>17441</v>
      </c>
      <c r="R75" s="323">
        <f>IF($G75="","",Reserve!$J76+Reserve!$K76)</f>
        <v>0</v>
      </c>
      <c r="S75" s="163" t="str">
        <f ca="1">IF($G75="","",Change!$G76)</f>
        <v/>
      </c>
      <c r="T75" s="163">
        <f t="shared" si="157"/>
        <v>0</v>
      </c>
      <c r="U75" s="331">
        <f t="shared" si="107"/>
        <v>5.6819398062700293E-4</v>
      </c>
      <c r="V75" s="323" t="str">
        <f ca="1">IF($G75="","",Reserve!$Q76-$R75)</f>
        <v/>
      </c>
      <c r="W75" s="163">
        <f>IF($G75="","",Reserve!$S76)</f>
        <v>0</v>
      </c>
      <c r="X75" s="327" t="str">
        <f t="shared" ca="1" si="108"/>
        <v/>
      </c>
      <c r="Y75" s="334">
        <f t="shared" si="109"/>
        <v>2.5999999999999999E-2</v>
      </c>
      <c r="Z75" s="220">
        <f>IF($G75="","",VLOOKUP(H75,Life!$A$3:$Q$113,$B$6+1,FALSE))</f>
        <v>0.59496700000000002</v>
      </c>
      <c r="AA75" s="220">
        <f t="shared" si="110"/>
        <v>0.53547030000000007</v>
      </c>
      <c r="AB75" s="220">
        <f t="shared" si="111"/>
        <v>6.9679455000000003E-3</v>
      </c>
      <c r="AC75" s="331">
        <f>IF($G75="","",HLOOKUP($G75,AssetShare_Table!$B$84:$G$85,2)*$D$11)</f>
        <v>1.4999999999999999E-2</v>
      </c>
      <c r="AD75" s="334">
        <f t="shared" si="112"/>
        <v>8.0807208723107104E-5</v>
      </c>
      <c r="AE75" s="220">
        <f t="shared" si="113"/>
        <v>4.326986029712478E-5</v>
      </c>
      <c r="AF75" s="220">
        <f t="shared" si="114"/>
        <v>5.6306022638973488E-7</v>
      </c>
      <c r="AG75" s="331">
        <f t="shared" si="115"/>
        <v>3.697428819959259E-5</v>
      </c>
      <c r="AH75" s="323" t="str">
        <f t="shared" ca="1" si="116"/>
        <v/>
      </c>
      <c r="AI75" s="163">
        <f t="shared" si="117"/>
        <v>0</v>
      </c>
      <c r="AJ75" s="163">
        <f t="shared" si="118"/>
        <v>3.038351047988827E-2</v>
      </c>
      <c r="AK75" s="163" t="str">
        <f t="shared" ca="1" si="119"/>
        <v/>
      </c>
      <c r="AL75" s="163">
        <f t="shared" si="120"/>
        <v>0</v>
      </c>
      <c r="AM75" s="163" t="str">
        <f t="shared" ca="1" si="121"/>
        <v/>
      </c>
      <c r="AN75" s="163">
        <f t="shared" si="145"/>
        <v>0</v>
      </c>
      <c r="AO75" s="163" t="str">
        <f t="shared" ca="1" si="146"/>
        <v/>
      </c>
      <c r="AP75" s="163" t="str">
        <f t="shared" ca="1" si="122"/>
        <v/>
      </c>
      <c r="AQ75" s="163" t="str">
        <f t="shared" ca="1" si="123"/>
        <v/>
      </c>
      <c r="AR75" s="327" t="str">
        <f t="shared" ca="1" si="124"/>
        <v/>
      </c>
      <c r="AS75" s="323" t="str">
        <f t="shared" ca="1" si="125"/>
        <v/>
      </c>
      <c r="AT75" s="163" t="str">
        <f t="shared" ca="1" si="126"/>
        <v/>
      </c>
      <c r="AU75" s="163" t="str">
        <f t="shared" ca="1" si="127"/>
        <v/>
      </c>
      <c r="AV75" s="163" t="str">
        <f t="shared" ca="1" si="128"/>
        <v/>
      </c>
      <c r="AW75" s="327" t="str">
        <f t="shared" ca="1" si="129"/>
        <v/>
      </c>
      <c r="AX75" s="323" t="str">
        <f ca="1">IF($G75="","",Reserve!$P76-$R75)</f>
        <v/>
      </c>
      <c r="AY75" s="220">
        <f t="shared" si="130"/>
        <v>2.2499999999999999E-2</v>
      </c>
      <c r="AZ75" s="331">
        <f>IF($G75="","",VLOOKUP($H75,Life!$A$3:$R$113,18,FALSE))</f>
        <v>0.59453302961275623</v>
      </c>
      <c r="BA75" s="162" t="str">
        <f t="shared" ca="1" si="131"/>
        <v/>
      </c>
      <c r="BB75" s="163" t="str">
        <f t="shared" ca="1" si="132"/>
        <v/>
      </c>
      <c r="BC75" s="163">
        <f t="shared" si="133"/>
        <v>-3.1067139465685758E-2</v>
      </c>
      <c r="BD75" s="163" t="str">
        <f t="shared" ca="1" si="134"/>
        <v/>
      </c>
      <c r="BE75" s="163" t="str">
        <f t="shared" ca="1" si="135"/>
        <v/>
      </c>
      <c r="BF75" s="163" t="str">
        <f t="shared" ca="1" si="136"/>
        <v/>
      </c>
      <c r="BG75" s="163">
        <f t="shared" si="137"/>
        <v>-1.0634228667960893E-4</v>
      </c>
      <c r="BH75" s="163" t="str">
        <f t="shared" ca="1" si="138"/>
        <v/>
      </c>
      <c r="BI75" s="163" t="str">
        <f t="shared" ca="1" si="139"/>
        <v/>
      </c>
      <c r="BJ75" s="163" t="str">
        <f t="shared" ca="1" si="140"/>
        <v/>
      </c>
      <c r="BK75" s="164" t="str">
        <f t="shared" ca="1" si="141"/>
        <v/>
      </c>
      <c r="BL75" s="163" t="str">
        <f t="shared" ca="1" si="147"/>
        <v/>
      </c>
      <c r="BM75" s="163">
        <f t="shared" si="148"/>
        <v>5.6969696969696972</v>
      </c>
      <c r="BN75" s="163">
        <f t="shared" si="149"/>
        <v>0</v>
      </c>
      <c r="BO75" s="163">
        <f t="shared" si="150"/>
        <v>0</v>
      </c>
      <c r="BP75" s="163" t="str">
        <f t="shared" ca="1" si="151"/>
        <v/>
      </c>
      <c r="BQ75" s="163">
        <f t="shared" si="152"/>
        <v>3.038351047988827E-2</v>
      </c>
      <c r="BR75" s="163">
        <f t="shared" si="153"/>
        <v>0</v>
      </c>
      <c r="BS75" s="163">
        <f t="shared" si="154"/>
        <v>0</v>
      </c>
      <c r="BT75" s="163">
        <f t="shared" si="155"/>
        <v>0</v>
      </c>
      <c r="BU75" s="164" t="str">
        <f t="shared" ca="1" si="156"/>
        <v/>
      </c>
    </row>
    <row r="76" spans="2:73" x14ac:dyDescent="0.3">
      <c r="F76" s="36">
        <v>72</v>
      </c>
      <c r="G76" s="363">
        <f t="shared" si="101"/>
        <v>72</v>
      </c>
      <c r="H76" s="153">
        <f t="shared" si="102"/>
        <v>106</v>
      </c>
      <c r="I76" s="323">
        <f t="shared" si="103"/>
        <v>0</v>
      </c>
      <c r="J76" s="163">
        <f t="shared" si="104"/>
        <v>0</v>
      </c>
      <c r="K76" s="327">
        <f>IF($G76="","",Reserve!N76)</f>
        <v>0</v>
      </c>
      <c r="L76" s="163">
        <f t="shared" si="142"/>
        <v>0</v>
      </c>
      <c r="M76" s="163">
        <f t="shared" si="143"/>
        <v>5.6969696969696972</v>
      </c>
      <c r="N76" s="163">
        <f t="shared" si="144"/>
        <v>0</v>
      </c>
      <c r="O76" s="163">
        <f t="shared" si="105"/>
        <v>0</v>
      </c>
      <c r="P76" s="327">
        <f t="shared" si="106"/>
        <v>5.6969696969696972</v>
      </c>
      <c r="Q76" s="330">
        <f ca="1">IF($G76="","",Reserve!$I76)</f>
        <v>17441</v>
      </c>
      <c r="R76" s="323">
        <f>IF($G76="","",Reserve!$J77+Reserve!$K77)</f>
        <v>0</v>
      </c>
      <c r="S76" s="163" t="str">
        <f ca="1">IF($G76="","",Change!$G77)</f>
        <v/>
      </c>
      <c r="T76" s="163">
        <f t="shared" si="157"/>
        <v>0</v>
      </c>
      <c r="U76" s="331">
        <f t="shared" si="107"/>
        <v>5.6722840198311273E-4</v>
      </c>
      <c r="V76" s="323" t="str">
        <f ca="1">IF($G76="","",Reserve!$Q77-$R76)</f>
        <v/>
      </c>
      <c r="W76" s="163">
        <f>IF($G76="","",Reserve!$S77)</f>
        <v>0</v>
      </c>
      <c r="X76" s="327" t="str">
        <f t="shared" ca="1" si="108"/>
        <v/>
      </c>
      <c r="Y76" s="334">
        <f t="shared" si="109"/>
        <v>2.5999999999999999E-2</v>
      </c>
      <c r="Z76" s="220">
        <f>IF($G76="","",VLOOKUP(H76,Life!$A$3:$Q$113,$B$6+1,FALSE))</f>
        <v>0.62930699999999995</v>
      </c>
      <c r="AA76" s="220">
        <f t="shared" si="110"/>
        <v>0.56637629999999994</v>
      </c>
      <c r="AB76" s="220">
        <f t="shared" si="111"/>
        <v>6.5043555000000005E-3</v>
      </c>
      <c r="AC76" s="331">
        <f>IF($G76="","",HLOOKUP($G76,AssetShare_Table!$B$84:$G$85,2)*$D$11)</f>
        <v>1.4999999999999999E-2</v>
      </c>
      <c r="AD76" s="334">
        <f t="shared" si="112"/>
        <v>3.697428819959259E-5</v>
      </c>
      <c r="AE76" s="220">
        <f t="shared" si="113"/>
        <v>2.0941360545618912E-5</v>
      </c>
      <c r="AF76" s="220">
        <f t="shared" si="114"/>
        <v>2.4049391480960517E-7</v>
      </c>
      <c r="AG76" s="331">
        <f t="shared" si="115"/>
        <v>1.5792433739164072E-5</v>
      </c>
      <c r="AH76" s="323" t="str">
        <f t="shared" ca="1" si="116"/>
        <v/>
      </c>
      <c r="AI76" s="163">
        <f t="shared" si="117"/>
        <v>0</v>
      </c>
      <c r="AJ76" s="163">
        <f t="shared" si="118"/>
        <v>1.3902332363046815E-2</v>
      </c>
      <c r="AK76" s="163" t="str">
        <f t="shared" ca="1" si="119"/>
        <v/>
      </c>
      <c r="AL76" s="163">
        <f t="shared" si="120"/>
        <v>0</v>
      </c>
      <c r="AM76" s="163" t="str">
        <f t="shared" ca="1" si="121"/>
        <v/>
      </c>
      <c r="AN76" s="163">
        <f t="shared" si="145"/>
        <v>0</v>
      </c>
      <c r="AO76" s="163" t="str">
        <f t="shared" ca="1" si="146"/>
        <v/>
      </c>
      <c r="AP76" s="163" t="str">
        <f t="shared" ca="1" si="122"/>
        <v/>
      </c>
      <c r="AQ76" s="163" t="str">
        <f t="shared" ca="1" si="123"/>
        <v/>
      </c>
      <c r="AR76" s="327" t="str">
        <f t="shared" ca="1" si="124"/>
        <v/>
      </c>
      <c r="AS76" s="323" t="str">
        <f t="shared" ca="1" si="125"/>
        <v/>
      </c>
      <c r="AT76" s="163" t="str">
        <f t="shared" ca="1" si="126"/>
        <v/>
      </c>
      <c r="AU76" s="163" t="str">
        <f t="shared" ca="1" si="127"/>
        <v/>
      </c>
      <c r="AV76" s="163" t="str">
        <f t="shared" ca="1" si="128"/>
        <v/>
      </c>
      <c r="AW76" s="327" t="str">
        <f t="shared" ca="1" si="129"/>
        <v/>
      </c>
      <c r="AX76" s="323" t="str">
        <f ca="1">IF($G76="","",Reserve!$P77-$R76)</f>
        <v/>
      </c>
      <c r="AY76" s="220">
        <f t="shared" si="130"/>
        <v>2.2499999999999999E-2</v>
      </c>
      <c r="AZ76" s="331">
        <f>IF($G76="","",VLOOKUP($H76,Life!$A$3:$R$113,18,FALSE))</f>
        <v>0.6292134831460674</v>
      </c>
      <c r="BA76" s="162" t="str">
        <f t="shared" ca="1" si="131"/>
        <v/>
      </c>
      <c r="BB76" s="163" t="str">
        <f t="shared" ca="1" si="132"/>
        <v/>
      </c>
      <c r="BC76" s="163">
        <f t="shared" si="133"/>
        <v>-1.4215134841215367E-2</v>
      </c>
      <c r="BD76" s="163" t="str">
        <f t="shared" ca="1" si="134"/>
        <v/>
      </c>
      <c r="BE76" s="163" t="str">
        <f t="shared" ca="1" si="135"/>
        <v/>
      </c>
      <c r="BF76" s="163" t="str">
        <f t="shared" ca="1" si="136"/>
        <v/>
      </c>
      <c r="BG76" s="163">
        <f t="shared" si="137"/>
        <v>-4.8658163270663842E-5</v>
      </c>
      <c r="BH76" s="163" t="str">
        <f t="shared" ca="1" si="138"/>
        <v/>
      </c>
      <c r="BI76" s="163" t="str">
        <f t="shared" ca="1" si="139"/>
        <v/>
      </c>
      <c r="BJ76" s="163" t="str">
        <f t="shared" ca="1" si="140"/>
        <v/>
      </c>
      <c r="BK76" s="164" t="str">
        <f t="shared" ca="1" si="141"/>
        <v/>
      </c>
      <c r="BL76" s="163" t="str">
        <f t="shared" ca="1" si="147"/>
        <v/>
      </c>
      <c r="BM76" s="163">
        <f t="shared" si="148"/>
        <v>5.6969696969696972</v>
      </c>
      <c r="BN76" s="163">
        <f t="shared" si="149"/>
        <v>0</v>
      </c>
      <c r="BO76" s="163">
        <f t="shared" si="150"/>
        <v>0</v>
      </c>
      <c r="BP76" s="163" t="str">
        <f t="shared" ca="1" si="151"/>
        <v/>
      </c>
      <c r="BQ76" s="163">
        <f t="shared" si="152"/>
        <v>1.3902332363046815E-2</v>
      </c>
      <c r="BR76" s="163">
        <f t="shared" si="153"/>
        <v>0</v>
      </c>
      <c r="BS76" s="163">
        <f t="shared" si="154"/>
        <v>0</v>
      </c>
      <c r="BT76" s="163">
        <f t="shared" si="155"/>
        <v>0</v>
      </c>
      <c r="BU76" s="164" t="str">
        <f t="shared" ca="1" si="156"/>
        <v/>
      </c>
    </row>
    <row r="77" spans="2:73" x14ac:dyDescent="0.3">
      <c r="F77" s="36">
        <v>73</v>
      </c>
      <c r="G77" s="363">
        <f t="shared" si="101"/>
        <v>73</v>
      </c>
      <c r="H77" s="153">
        <f t="shared" si="102"/>
        <v>107</v>
      </c>
      <c r="I77" s="323">
        <f t="shared" si="103"/>
        <v>0</v>
      </c>
      <c r="J77" s="163">
        <f t="shared" si="104"/>
        <v>0</v>
      </c>
      <c r="K77" s="327">
        <f>IF($G77="","",Reserve!N77)</f>
        <v>0</v>
      </c>
      <c r="L77" s="163">
        <f t="shared" si="142"/>
        <v>0</v>
      </c>
      <c r="M77" s="163">
        <f t="shared" si="143"/>
        <v>5.6969696969696972</v>
      </c>
      <c r="N77" s="163">
        <f t="shared" si="144"/>
        <v>0</v>
      </c>
      <c r="O77" s="163">
        <f t="shared" si="105"/>
        <v>0</v>
      </c>
      <c r="P77" s="327">
        <f t="shared" si="106"/>
        <v>5.6969696969696972</v>
      </c>
      <c r="Q77" s="330">
        <f ca="1">IF($G77="","",Reserve!$I77)</f>
        <v>17441</v>
      </c>
      <c r="R77" s="323">
        <f>IF($G77="","",Reserve!$J78+Reserve!$K78)</f>
        <v>0</v>
      </c>
      <c r="S77" s="163" t="str">
        <f ca="1">IF($G77="","",Change!$G78)</f>
        <v/>
      </c>
      <c r="T77" s="163">
        <f t="shared" si="157"/>
        <v>0</v>
      </c>
      <c r="U77" s="331">
        <f t="shared" si="107"/>
        <v>5.6633041384429475E-4</v>
      </c>
      <c r="V77" s="323" t="str">
        <f ca="1">IF($G77="","",Reserve!$Q78-$R77)</f>
        <v/>
      </c>
      <c r="W77" s="163">
        <f>IF($G77="","",Reserve!$S78)</f>
        <v>0</v>
      </c>
      <c r="X77" s="327" t="str">
        <f t="shared" ca="1" si="108"/>
        <v/>
      </c>
      <c r="Y77" s="334">
        <f t="shared" si="109"/>
        <v>2.5999999999999999E-2</v>
      </c>
      <c r="Z77" s="220">
        <f>IF($G77="","",VLOOKUP(H77,Life!$A$3:$Q$113,$B$6+1,FALSE))</f>
        <v>0.66415199999999996</v>
      </c>
      <c r="AA77" s="220">
        <f t="shared" si="110"/>
        <v>0.59773679999999996</v>
      </c>
      <c r="AB77" s="220">
        <f t="shared" si="111"/>
        <v>6.0339480000000017E-3</v>
      </c>
      <c r="AC77" s="331">
        <f>IF($G77="","",HLOOKUP($G77,AssetShare_Table!$B$84:$G$85,2)*$D$11)</f>
        <v>1.4999999999999999E-2</v>
      </c>
      <c r="AD77" s="334">
        <f t="shared" si="112"/>
        <v>1.5792433739164072E-5</v>
      </c>
      <c r="AE77" s="220">
        <f t="shared" si="113"/>
        <v>9.4397188074599657E-6</v>
      </c>
      <c r="AF77" s="220">
        <f t="shared" si="114"/>
        <v>9.5290723975561598E-8</v>
      </c>
      <c r="AG77" s="331">
        <f t="shared" si="115"/>
        <v>6.2574242077285447E-6</v>
      </c>
      <c r="AH77" s="323" t="str">
        <f t="shared" ca="1" si="116"/>
        <v/>
      </c>
      <c r="AI77" s="163">
        <f t="shared" si="117"/>
        <v>0</v>
      </c>
      <c r="AJ77" s="163">
        <f t="shared" si="118"/>
        <v>5.937955085925691E-3</v>
      </c>
      <c r="AK77" s="163" t="str">
        <f t="shared" ca="1" si="119"/>
        <v/>
      </c>
      <c r="AL77" s="163">
        <f t="shared" si="120"/>
        <v>0</v>
      </c>
      <c r="AM77" s="163" t="str">
        <f t="shared" ca="1" si="121"/>
        <v/>
      </c>
      <c r="AN77" s="163">
        <f t="shared" si="145"/>
        <v>0</v>
      </c>
      <c r="AO77" s="163" t="str">
        <f t="shared" ca="1" si="146"/>
        <v/>
      </c>
      <c r="AP77" s="163" t="str">
        <f t="shared" ca="1" si="122"/>
        <v/>
      </c>
      <c r="AQ77" s="163" t="str">
        <f t="shared" ca="1" si="123"/>
        <v/>
      </c>
      <c r="AR77" s="327" t="str">
        <f t="shared" ca="1" si="124"/>
        <v/>
      </c>
      <c r="AS77" s="323" t="str">
        <f t="shared" ca="1" si="125"/>
        <v/>
      </c>
      <c r="AT77" s="163" t="str">
        <f t="shared" ca="1" si="126"/>
        <v/>
      </c>
      <c r="AU77" s="163" t="str">
        <f t="shared" ca="1" si="127"/>
        <v/>
      </c>
      <c r="AV77" s="163" t="str">
        <f t="shared" ca="1" si="128"/>
        <v/>
      </c>
      <c r="AW77" s="327" t="str">
        <f t="shared" ca="1" si="129"/>
        <v/>
      </c>
      <c r="AX77" s="323" t="str">
        <f ca="1">IF($G77="","",Reserve!$P78-$R77)</f>
        <v/>
      </c>
      <c r="AY77" s="220">
        <f t="shared" si="130"/>
        <v>2.2499999999999999E-2</v>
      </c>
      <c r="AZ77" s="331">
        <f>IF($G77="","",VLOOKUP($H77,Life!$A$3:$R$113,18,FALSE))</f>
        <v>0.66666666666666663</v>
      </c>
      <c r="BA77" s="162" t="str">
        <f t="shared" ca="1" si="131"/>
        <v/>
      </c>
      <c r="BB77" s="163" t="str">
        <f t="shared" ca="1" si="132"/>
        <v/>
      </c>
      <c r="BC77" s="163">
        <f t="shared" si="133"/>
        <v>-6.0715590753590192E-3</v>
      </c>
      <c r="BD77" s="163" t="str">
        <f t="shared" ca="1" si="134"/>
        <v/>
      </c>
      <c r="BE77" s="163" t="str">
        <f t="shared" ca="1" si="135"/>
        <v/>
      </c>
      <c r="BF77" s="163" t="str">
        <f t="shared" ca="1" si="136"/>
        <v/>
      </c>
      <c r="BG77" s="163">
        <f t="shared" si="137"/>
        <v>-2.0782842800739919E-5</v>
      </c>
      <c r="BH77" s="163" t="str">
        <f t="shared" ca="1" si="138"/>
        <v/>
      </c>
      <c r="BI77" s="163" t="str">
        <f t="shared" ca="1" si="139"/>
        <v/>
      </c>
      <c r="BJ77" s="163" t="str">
        <f t="shared" ca="1" si="140"/>
        <v/>
      </c>
      <c r="BK77" s="164" t="str">
        <f t="shared" ca="1" si="141"/>
        <v/>
      </c>
      <c r="BL77" s="163" t="str">
        <f t="shared" ca="1" si="147"/>
        <v/>
      </c>
      <c r="BM77" s="163">
        <f t="shared" si="148"/>
        <v>5.6969696969696972</v>
      </c>
      <c r="BN77" s="163">
        <f t="shared" si="149"/>
        <v>0</v>
      </c>
      <c r="BO77" s="163">
        <f t="shared" si="150"/>
        <v>0</v>
      </c>
      <c r="BP77" s="163" t="str">
        <f t="shared" ca="1" si="151"/>
        <v/>
      </c>
      <c r="BQ77" s="163">
        <f t="shared" si="152"/>
        <v>5.937955085925691E-3</v>
      </c>
      <c r="BR77" s="163">
        <f t="shared" si="153"/>
        <v>0</v>
      </c>
      <c r="BS77" s="163">
        <f t="shared" si="154"/>
        <v>0</v>
      </c>
      <c r="BT77" s="163">
        <f t="shared" si="155"/>
        <v>0</v>
      </c>
      <c r="BU77" s="164" t="str">
        <f t="shared" ca="1" si="156"/>
        <v/>
      </c>
    </row>
    <row r="78" spans="2:73" x14ac:dyDescent="0.3">
      <c r="F78" s="36">
        <v>74</v>
      </c>
      <c r="G78" s="363">
        <f t="shared" si="101"/>
        <v>74</v>
      </c>
      <c r="H78" s="153">
        <f t="shared" si="102"/>
        <v>108</v>
      </c>
      <c r="I78" s="323">
        <f t="shared" si="103"/>
        <v>0</v>
      </c>
      <c r="J78" s="163">
        <f t="shared" si="104"/>
        <v>0</v>
      </c>
      <c r="K78" s="327">
        <f>IF($G78="","",Reserve!N78)</f>
        <v>0</v>
      </c>
      <c r="L78" s="163">
        <f t="shared" si="142"/>
        <v>0</v>
      </c>
      <c r="M78" s="163">
        <f t="shared" si="143"/>
        <v>5.6969696969696972</v>
      </c>
      <c r="N78" s="163">
        <f t="shared" si="144"/>
        <v>0</v>
      </c>
      <c r="O78" s="163">
        <f t="shared" si="105"/>
        <v>0</v>
      </c>
      <c r="P78" s="327">
        <f t="shared" si="106"/>
        <v>5.6969696969696972</v>
      </c>
      <c r="Q78" s="330">
        <f ca="1">IF($G78="","",Reserve!$I78)</f>
        <v>17441</v>
      </c>
      <c r="R78" s="323">
        <f>IF($G78="","",Reserve!$J79+Reserve!$K79)</f>
        <v>0</v>
      </c>
      <c r="S78" s="163" t="str">
        <f ca="1">IF($G78="","",Change!$G79)</f>
        <v/>
      </c>
      <c r="T78" s="163">
        <f t="shared" si="157"/>
        <v>0</v>
      </c>
      <c r="U78" s="331">
        <f t="shared" si="107"/>
        <v>5.6549528487519424E-4</v>
      </c>
      <c r="V78" s="323" t="str">
        <f ca="1">IF($G78="","",Reserve!$Q79-$R78)</f>
        <v/>
      </c>
      <c r="W78" s="163">
        <f>IF($G78="","",Reserve!$S79)</f>
        <v>0</v>
      </c>
      <c r="X78" s="327" t="str">
        <f t="shared" ca="1" si="108"/>
        <v/>
      </c>
      <c r="Y78" s="334">
        <f t="shared" si="109"/>
        <v>2.5999999999999999E-2</v>
      </c>
      <c r="Z78" s="220">
        <f>IF($G78="","",VLOOKUP(H78,Life!$A$3:$Q$113,$B$6+1,FALSE))</f>
        <v>0.69807799999999998</v>
      </c>
      <c r="AA78" s="220">
        <f t="shared" si="110"/>
        <v>0.6282702</v>
      </c>
      <c r="AB78" s="220">
        <f t="shared" si="111"/>
        <v>5.5759469999999995E-3</v>
      </c>
      <c r="AC78" s="331">
        <f>IF($G78="","",HLOOKUP($G78,AssetShare_Table!$B$84:$G$85,2)*$D$11)</f>
        <v>1.4999999999999999E-2</v>
      </c>
      <c r="AD78" s="334">
        <f t="shared" si="112"/>
        <v>6.2574242077285447E-6</v>
      </c>
      <c r="AE78" s="220">
        <f t="shared" si="113"/>
        <v>3.9313531584744544E-6</v>
      </c>
      <c r="AF78" s="220">
        <f t="shared" si="114"/>
        <v>3.4891065738811355E-8</v>
      </c>
      <c r="AG78" s="331">
        <f t="shared" si="115"/>
        <v>2.291179983515279E-6</v>
      </c>
      <c r="AH78" s="323" t="str">
        <f t="shared" ca="1" si="116"/>
        <v/>
      </c>
      <c r="AI78" s="163">
        <f t="shared" si="117"/>
        <v>0</v>
      </c>
      <c r="AJ78" s="163">
        <f t="shared" si="118"/>
        <v>2.3527915021059327E-3</v>
      </c>
      <c r="AK78" s="163" t="str">
        <f t="shared" ca="1" si="119"/>
        <v/>
      </c>
      <c r="AL78" s="163">
        <f t="shared" si="120"/>
        <v>0</v>
      </c>
      <c r="AM78" s="163" t="str">
        <f t="shared" ca="1" si="121"/>
        <v/>
      </c>
      <c r="AN78" s="163">
        <f t="shared" si="145"/>
        <v>0</v>
      </c>
      <c r="AO78" s="163" t="str">
        <f t="shared" ca="1" si="146"/>
        <v/>
      </c>
      <c r="AP78" s="163" t="str">
        <f t="shared" ca="1" si="122"/>
        <v/>
      </c>
      <c r="AQ78" s="163" t="str">
        <f t="shared" ca="1" si="123"/>
        <v/>
      </c>
      <c r="AR78" s="327" t="str">
        <f t="shared" ca="1" si="124"/>
        <v/>
      </c>
      <c r="AS78" s="323" t="str">
        <f t="shared" ca="1" si="125"/>
        <v/>
      </c>
      <c r="AT78" s="163" t="str">
        <f t="shared" ca="1" si="126"/>
        <v/>
      </c>
      <c r="AU78" s="163" t="str">
        <f t="shared" ca="1" si="127"/>
        <v/>
      </c>
      <c r="AV78" s="163" t="str">
        <f t="shared" ca="1" si="128"/>
        <v/>
      </c>
      <c r="AW78" s="327" t="str">
        <f t="shared" ca="1" si="129"/>
        <v/>
      </c>
      <c r="AX78" s="323" t="str">
        <f ca="1">IF($G78="","",Reserve!$P79-$R78)</f>
        <v/>
      </c>
      <c r="AY78" s="220">
        <f t="shared" si="130"/>
        <v>2.2499999999999999E-2</v>
      </c>
      <c r="AZ78" s="331">
        <f>IF($G78="","",VLOOKUP($H78,Life!$A$3:$R$113,18,FALSE))</f>
        <v>0.70454545454545459</v>
      </c>
      <c r="BA78" s="162" t="str">
        <f t="shared" ca="1" si="131"/>
        <v/>
      </c>
      <c r="BB78" s="163" t="str">
        <f t="shared" ca="1" si="132"/>
        <v/>
      </c>
      <c r="BC78" s="163">
        <f t="shared" si="133"/>
        <v>-2.4057293109033162E-3</v>
      </c>
      <c r="BD78" s="163" t="str">
        <f t="shared" ca="1" si="134"/>
        <v/>
      </c>
      <c r="BE78" s="163" t="str">
        <f t="shared" ca="1" si="135"/>
        <v/>
      </c>
      <c r="BF78" s="163" t="str">
        <f t="shared" ca="1" si="136"/>
        <v/>
      </c>
      <c r="BG78" s="163">
        <f t="shared" si="137"/>
        <v>-8.2347702573707636E-6</v>
      </c>
      <c r="BH78" s="163" t="str">
        <f t="shared" ca="1" si="138"/>
        <v/>
      </c>
      <c r="BI78" s="163" t="str">
        <f t="shared" ca="1" si="139"/>
        <v/>
      </c>
      <c r="BJ78" s="163" t="str">
        <f t="shared" ca="1" si="140"/>
        <v/>
      </c>
      <c r="BK78" s="164" t="str">
        <f t="shared" ca="1" si="141"/>
        <v/>
      </c>
      <c r="BL78" s="163" t="str">
        <f t="shared" ca="1" si="147"/>
        <v/>
      </c>
      <c r="BM78" s="163">
        <f t="shared" si="148"/>
        <v>5.6969696969696972</v>
      </c>
      <c r="BN78" s="163">
        <f t="shared" si="149"/>
        <v>0</v>
      </c>
      <c r="BO78" s="163">
        <f t="shared" si="150"/>
        <v>0</v>
      </c>
      <c r="BP78" s="163" t="str">
        <f t="shared" ca="1" si="151"/>
        <v/>
      </c>
      <c r="BQ78" s="163">
        <f t="shared" si="152"/>
        <v>2.3527915021059327E-3</v>
      </c>
      <c r="BR78" s="163">
        <f t="shared" si="153"/>
        <v>0</v>
      </c>
      <c r="BS78" s="163">
        <f t="shared" si="154"/>
        <v>0</v>
      </c>
      <c r="BT78" s="163">
        <f t="shared" si="155"/>
        <v>0</v>
      </c>
      <c r="BU78" s="164" t="str">
        <f t="shared" ca="1" si="156"/>
        <v/>
      </c>
    </row>
    <row r="79" spans="2:73" x14ac:dyDescent="0.3">
      <c r="F79" s="320">
        <v>75</v>
      </c>
      <c r="G79" s="367">
        <f t="shared" si="101"/>
        <v>75</v>
      </c>
      <c r="H79" s="155">
        <f t="shared" si="102"/>
        <v>109</v>
      </c>
      <c r="I79" s="324">
        <f t="shared" si="103"/>
        <v>0</v>
      </c>
      <c r="J79" s="166">
        <f t="shared" si="104"/>
        <v>0</v>
      </c>
      <c r="K79" s="328">
        <f>IF($G79="","",Reserve!N79)</f>
        <v>0</v>
      </c>
      <c r="L79" s="166">
        <f t="shared" si="142"/>
        <v>0</v>
      </c>
      <c r="M79" s="166">
        <f t="shared" si="143"/>
        <v>5.6969696969696972</v>
      </c>
      <c r="N79" s="166">
        <f t="shared" si="144"/>
        <v>0</v>
      </c>
      <c r="O79" s="166">
        <f t="shared" si="105"/>
        <v>0</v>
      </c>
      <c r="P79" s="328">
        <f t="shared" si="106"/>
        <v>5.6969696969696972</v>
      </c>
      <c r="Q79" s="330">
        <f ca="1">IF($G79="","",Reserve!$I79)</f>
        <v>17441</v>
      </c>
      <c r="R79" s="324">
        <f>IF($G79="","",Reserve!$J80+Reserve!$K80)</f>
        <v>34000</v>
      </c>
      <c r="S79" s="166">
        <f>IF($G79="","",Change!$G80)</f>
        <v>0</v>
      </c>
      <c r="T79" s="163">
        <f t="shared" si="157"/>
        <v>0</v>
      </c>
      <c r="U79" s="332">
        <f t="shared" si="107"/>
        <v>5.6471861493393057E-4</v>
      </c>
      <c r="V79" s="324">
        <f>IF($G79="","",Reserve!$Q80-$R79)</f>
        <v>0</v>
      </c>
      <c r="W79" s="166">
        <f>IF($G79="","",Reserve!$S80)</f>
        <v>0</v>
      </c>
      <c r="X79" s="328">
        <f t="shared" si="108"/>
        <v>0</v>
      </c>
      <c r="Y79" s="335">
        <f t="shared" si="109"/>
        <v>2.5999999999999999E-2</v>
      </c>
      <c r="Z79" s="235">
        <f>IF($G79="","",VLOOKUP(H79,Life!$A$3:$Q$113,$B$6+1,FALSE))</f>
        <v>0.73138400000000003</v>
      </c>
      <c r="AA79" s="235">
        <f t="shared" si="110"/>
        <v>0.6582456000000001</v>
      </c>
      <c r="AB79" s="235">
        <f t="shared" si="111"/>
        <v>5.1263159999999988E-3</v>
      </c>
      <c r="AC79" s="332">
        <f>IF($G79="","",HLOOKUP($G79,AssetShare_Table!$B$84:$G$85,2)*$D$11)</f>
        <v>1.4999999999999999E-2</v>
      </c>
      <c r="AD79" s="335">
        <f t="shared" si="112"/>
        <v>2.291179983515279E-6</v>
      </c>
      <c r="AE79" s="235">
        <f t="shared" si="113"/>
        <v>1.5081591429570052E-6</v>
      </c>
      <c r="AF79" s="235">
        <f t="shared" si="114"/>
        <v>1.1745312608374108E-8</v>
      </c>
      <c r="AG79" s="332">
        <f t="shared" si="115"/>
        <v>7.7127552794989979E-7</v>
      </c>
      <c r="AH79" s="324" t="str">
        <f t="shared" ca="1" si="116"/>
        <v/>
      </c>
      <c r="AI79" s="166">
        <f t="shared" si="117"/>
        <v>0</v>
      </c>
      <c r="AJ79" s="166">
        <f t="shared" si="118"/>
        <v>8.61483673801745E-4</v>
      </c>
      <c r="AK79" s="166" t="str">
        <f t="shared" ca="1" si="119"/>
        <v/>
      </c>
      <c r="AL79" s="166">
        <f t="shared" si="120"/>
        <v>1.7570987662127666</v>
      </c>
      <c r="AM79" s="166">
        <f t="shared" si="121"/>
        <v>0</v>
      </c>
      <c r="AN79" s="163">
        <f t="shared" si="145"/>
        <v>0</v>
      </c>
      <c r="AO79" s="166">
        <f t="shared" si="146"/>
        <v>0</v>
      </c>
      <c r="AP79" s="166" t="str">
        <f t="shared" ca="1" si="122"/>
        <v/>
      </c>
      <c r="AQ79" s="166" t="str">
        <f t="shared" ca="1" si="123"/>
        <v/>
      </c>
      <c r="AR79" s="328">
        <f t="shared" si="124"/>
        <v>0</v>
      </c>
      <c r="AS79" s="324" t="str">
        <f t="shared" ca="1" si="125"/>
        <v/>
      </c>
      <c r="AT79" s="166" t="str">
        <f t="shared" ca="1" si="126"/>
        <v/>
      </c>
      <c r="AU79" s="166" t="str">
        <f t="shared" ca="1" si="127"/>
        <v/>
      </c>
      <c r="AV79" s="166" t="str">
        <f t="shared" ca="1" si="128"/>
        <v/>
      </c>
      <c r="AW79" s="328" t="str">
        <f t="shared" ca="1" si="129"/>
        <v/>
      </c>
      <c r="AX79" s="324">
        <f>IF($G79="","",Reserve!$P80-$R79)</f>
        <v>0</v>
      </c>
      <c r="AY79" s="235">
        <f t="shared" si="130"/>
        <v>2.2499999999999999E-2</v>
      </c>
      <c r="AZ79" s="332">
        <f>IF($G79="","",VLOOKUP($H79,Life!$A$3:$R$113,18,FALSE))</f>
        <v>0.76923076923076927</v>
      </c>
      <c r="BA79" s="165" t="str">
        <f t="shared" ca="1" si="131"/>
        <v/>
      </c>
      <c r="BB79" s="166" t="str">
        <f t="shared" ca="1" si="132"/>
        <v/>
      </c>
      <c r="BC79" s="166">
        <f t="shared" si="133"/>
        <v>-8.808670564622842E-4</v>
      </c>
      <c r="BD79" s="166">
        <f t="shared" si="134"/>
        <v>0</v>
      </c>
      <c r="BE79" s="166" t="str">
        <f t="shared" ca="1" si="135"/>
        <v/>
      </c>
      <c r="BF79" s="166" t="str">
        <f t="shared" ca="1" si="136"/>
        <v/>
      </c>
      <c r="BG79" s="166">
        <f t="shared" si="137"/>
        <v>-3.0151928583061072E-6</v>
      </c>
      <c r="BH79" s="166" t="str">
        <f t="shared" ca="1" si="138"/>
        <v/>
      </c>
      <c r="BI79" s="166">
        <f t="shared" si="139"/>
        <v>0</v>
      </c>
      <c r="BJ79" s="166">
        <f t="shared" si="140"/>
        <v>0</v>
      </c>
      <c r="BK79" s="167">
        <f t="shared" si="141"/>
        <v>0</v>
      </c>
      <c r="BL79" s="166" t="str">
        <f t="shared" ca="1" si="147"/>
        <v/>
      </c>
      <c r="BM79" s="163">
        <f t="shared" si="148"/>
        <v>5.6969696969696972</v>
      </c>
      <c r="BN79" s="166">
        <f t="shared" si="149"/>
        <v>0</v>
      </c>
      <c r="BO79" s="166">
        <f t="shared" si="150"/>
        <v>0</v>
      </c>
      <c r="BP79" s="166" t="str">
        <f t="shared" ca="1" si="151"/>
        <v/>
      </c>
      <c r="BQ79" s="166">
        <f t="shared" si="152"/>
        <v>8.61483673801745E-4</v>
      </c>
      <c r="BR79" s="166">
        <f t="shared" si="153"/>
        <v>0</v>
      </c>
      <c r="BS79" s="166">
        <f t="shared" si="154"/>
        <v>0</v>
      </c>
      <c r="BT79" s="166">
        <f t="shared" si="155"/>
        <v>0</v>
      </c>
      <c r="BU79" s="167">
        <f t="shared" si="156"/>
        <v>0</v>
      </c>
    </row>
    <row r="80" spans="2:73" x14ac:dyDescent="0.3">
      <c r="F80" s="36">
        <v>76</v>
      </c>
      <c r="G80" s="363" t="str">
        <f t="shared" si="101"/>
        <v/>
      </c>
      <c r="H80" s="153" t="str">
        <f t="shared" si="102"/>
        <v/>
      </c>
      <c r="I80" s="323" t="str">
        <f t="shared" si="103"/>
        <v/>
      </c>
      <c r="J80" s="163" t="str">
        <f t="shared" si="104"/>
        <v/>
      </c>
      <c r="K80" s="327" t="str">
        <f>IF($G80="","",Reserve!N80)</f>
        <v/>
      </c>
      <c r="L80" s="163" t="str">
        <f t="shared" si="142"/>
        <v/>
      </c>
      <c r="M80" s="163" t="str">
        <f t="shared" si="143"/>
        <v/>
      </c>
      <c r="N80" s="163" t="str">
        <f t="shared" si="144"/>
        <v/>
      </c>
      <c r="O80" s="163" t="str">
        <f t="shared" si="105"/>
        <v/>
      </c>
      <c r="P80" s="327" t="str">
        <f t="shared" si="106"/>
        <v/>
      </c>
      <c r="Q80" s="330" t="str">
        <f>IF($G80="","",Reserve!$I80)</f>
        <v/>
      </c>
      <c r="R80" s="323" t="str">
        <f>IF($G80="","",Reserve!$J81+Reserve!$K81)</f>
        <v/>
      </c>
      <c r="S80" s="163" t="str">
        <f>IF($G80="","",Change!$G81)</f>
        <v/>
      </c>
      <c r="T80" s="163" t="str">
        <f t="shared" si="157"/>
        <v/>
      </c>
      <c r="U80" s="331" t="str">
        <f t="shared" si="107"/>
        <v/>
      </c>
      <c r="V80" s="323" t="str">
        <f>IF($G80="","",Reserve!$Q81-$R80)</f>
        <v/>
      </c>
      <c r="W80" s="163" t="str">
        <f>IF($G80="","",Reserve!$S81)</f>
        <v/>
      </c>
      <c r="X80" s="327" t="str">
        <f t="shared" si="108"/>
        <v/>
      </c>
      <c r="Y80" s="334" t="str">
        <f t="shared" si="109"/>
        <v/>
      </c>
      <c r="Z80" s="220" t="str">
        <f>IF($G80="","",VLOOKUP(H80,Life!$A$3:$Q$113,$B$6+1,FALSE))</f>
        <v/>
      </c>
      <c r="AA80" s="220" t="str">
        <f t="shared" si="110"/>
        <v/>
      </c>
      <c r="AB80" s="220" t="str">
        <f t="shared" si="111"/>
        <v/>
      </c>
      <c r="AC80" s="331" t="str">
        <f>IF($G80="","",HLOOKUP($G80,AssetShare_Table!$B$84:$G$85,2)*$D$11)</f>
        <v/>
      </c>
      <c r="AD80" s="334" t="str">
        <f t="shared" si="112"/>
        <v/>
      </c>
      <c r="AE80" s="220" t="str">
        <f t="shared" si="113"/>
        <v/>
      </c>
      <c r="AF80" s="220" t="str">
        <f t="shared" si="114"/>
        <v/>
      </c>
      <c r="AG80" s="331" t="str">
        <f t="shared" si="115"/>
        <v/>
      </c>
      <c r="AH80" s="323" t="str">
        <f t="shared" si="116"/>
        <v/>
      </c>
      <c r="AI80" s="163" t="str">
        <f t="shared" si="117"/>
        <v/>
      </c>
      <c r="AJ80" s="163" t="str">
        <f t="shared" si="118"/>
        <v/>
      </c>
      <c r="AK80" s="163" t="str">
        <f t="shared" si="119"/>
        <v/>
      </c>
      <c r="AL80" s="163" t="str">
        <f t="shared" si="120"/>
        <v/>
      </c>
      <c r="AM80" s="163" t="str">
        <f t="shared" si="121"/>
        <v/>
      </c>
      <c r="AN80" s="163" t="str">
        <f t="shared" si="145"/>
        <v/>
      </c>
      <c r="AO80" s="163" t="str">
        <f t="shared" si="146"/>
        <v/>
      </c>
      <c r="AP80" s="163" t="str">
        <f t="shared" si="122"/>
        <v/>
      </c>
      <c r="AQ80" s="163" t="str">
        <f t="shared" si="123"/>
        <v/>
      </c>
      <c r="AR80" s="327" t="str">
        <f t="shared" si="124"/>
        <v/>
      </c>
      <c r="AS80" s="323" t="str">
        <f t="shared" si="125"/>
        <v/>
      </c>
      <c r="AT80" s="163" t="str">
        <f t="shared" si="126"/>
        <v/>
      </c>
      <c r="AU80" s="163" t="str">
        <f t="shared" si="127"/>
        <v/>
      </c>
      <c r="AV80" s="163" t="str">
        <f t="shared" si="128"/>
        <v/>
      </c>
      <c r="AW80" s="327" t="str">
        <f t="shared" si="129"/>
        <v/>
      </c>
      <c r="AX80" s="323" t="str">
        <f>IF($G80="","",Reserve!$P81-$R80)</f>
        <v/>
      </c>
      <c r="AY80" s="220" t="str">
        <f t="shared" si="130"/>
        <v/>
      </c>
      <c r="AZ80" s="331" t="str">
        <f>IF($G80="","",VLOOKUP($H80,Life!$A$3:$R$113,18,FALSE))</f>
        <v/>
      </c>
      <c r="BA80" s="162" t="str">
        <f t="shared" si="131"/>
        <v/>
      </c>
      <c r="BB80" s="163" t="str">
        <f t="shared" si="132"/>
        <v/>
      </c>
      <c r="BC80" s="163" t="str">
        <f t="shared" si="133"/>
        <v/>
      </c>
      <c r="BD80" s="163" t="str">
        <f t="shared" si="134"/>
        <v/>
      </c>
      <c r="BE80" s="163" t="str">
        <f t="shared" si="135"/>
        <v/>
      </c>
      <c r="BF80" s="163" t="str">
        <f t="shared" si="136"/>
        <v/>
      </c>
      <c r="BG80" s="163" t="str">
        <f t="shared" si="137"/>
        <v/>
      </c>
      <c r="BH80" s="163" t="str">
        <f t="shared" si="138"/>
        <v/>
      </c>
      <c r="BI80" s="163" t="str">
        <f t="shared" si="139"/>
        <v/>
      </c>
      <c r="BJ80" s="163" t="str">
        <f t="shared" si="140"/>
        <v/>
      </c>
      <c r="BK80" s="164" t="str">
        <f t="shared" si="141"/>
        <v/>
      </c>
      <c r="BL80" s="163" t="str">
        <f t="shared" si="147"/>
        <v/>
      </c>
      <c r="BM80" s="163" t="str">
        <f t="shared" si="148"/>
        <v/>
      </c>
      <c r="BN80" s="163" t="str">
        <f t="shared" si="149"/>
        <v/>
      </c>
      <c r="BO80" s="163" t="str">
        <f t="shared" si="150"/>
        <v/>
      </c>
      <c r="BP80" s="163" t="str">
        <f t="shared" si="151"/>
        <v/>
      </c>
      <c r="BQ80" s="163" t="str">
        <f t="shared" si="152"/>
        <v/>
      </c>
      <c r="BR80" s="163" t="str">
        <f t="shared" si="153"/>
        <v/>
      </c>
      <c r="BS80" s="163" t="str">
        <f t="shared" si="154"/>
        <v/>
      </c>
      <c r="BT80" s="163" t="str">
        <f t="shared" si="155"/>
        <v/>
      </c>
      <c r="BU80" s="164" t="str">
        <f t="shared" si="156"/>
        <v/>
      </c>
    </row>
    <row r="81" spans="6:73" x14ac:dyDescent="0.3">
      <c r="F81" s="36">
        <v>77</v>
      </c>
      <c r="G81" s="363" t="str">
        <f t="shared" si="101"/>
        <v/>
      </c>
      <c r="H81" s="153" t="str">
        <f t="shared" si="102"/>
        <v/>
      </c>
      <c r="I81" s="323" t="str">
        <f t="shared" si="103"/>
        <v/>
      </c>
      <c r="J81" s="163" t="str">
        <f t="shared" si="104"/>
        <v/>
      </c>
      <c r="K81" s="327" t="str">
        <f>IF($G81="","",Reserve!N81)</f>
        <v/>
      </c>
      <c r="L81" s="163" t="str">
        <f t="shared" si="142"/>
        <v/>
      </c>
      <c r="M81" s="163" t="str">
        <f t="shared" si="143"/>
        <v/>
      </c>
      <c r="N81" s="163" t="str">
        <f t="shared" si="144"/>
        <v/>
      </c>
      <c r="O81" s="163" t="str">
        <f t="shared" si="105"/>
        <v/>
      </c>
      <c r="P81" s="327" t="str">
        <f t="shared" si="106"/>
        <v/>
      </c>
      <c r="Q81" s="330" t="str">
        <f>IF($G81="","",Reserve!$I81)</f>
        <v/>
      </c>
      <c r="R81" s="323" t="str">
        <f>IF($G81="","",Reserve!$J82+Reserve!$K82)</f>
        <v/>
      </c>
      <c r="S81" s="163" t="str">
        <f>IF($G81="","",Change!$G82)</f>
        <v/>
      </c>
      <c r="T81" s="163" t="str">
        <f t="shared" si="157"/>
        <v/>
      </c>
      <c r="U81" s="331" t="str">
        <f t="shared" si="107"/>
        <v/>
      </c>
      <c r="V81" s="323" t="str">
        <f>IF($G81="","",Reserve!$Q82-$R81)</f>
        <v/>
      </c>
      <c r="W81" s="163" t="str">
        <f>IF($G81="","",Reserve!$S82)</f>
        <v/>
      </c>
      <c r="X81" s="327" t="str">
        <f t="shared" si="108"/>
        <v/>
      </c>
      <c r="Y81" s="334" t="str">
        <f t="shared" si="109"/>
        <v/>
      </c>
      <c r="Z81" s="220" t="str">
        <f>IF($G81="","",VLOOKUP(H81,Life!$A$3:$Q$113,$B$6+1,FALSE))</f>
        <v/>
      </c>
      <c r="AA81" s="220" t="str">
        <f t="shared" si="110"/>
        <v/>
      </c>
      <c r="AB81" s="220" t="str">
        <f t="shared" si="111"/>
        <v/>
      </c>
      <c r="AC81" s="331" t="str">
        <f>IF($G81="","",HLOOKUP($G81,AssetShare_Table!$B$84:$G$85,2)*$D$11)</f>
        <v/>
      </c>
      <c r="AD81" s="334" t="str">
        <f t="shared" si="112"/>
        <v/>
      </c>
      <c r="AE81" s="220" t="str">
        <f t="shared" si="113"/>
        <v/>
      </c>
      <c r="AF81" s="220" t="str">
        <f t="shared" si="114"/>
        <v/>
      </c>
      <c r="AG81" s="331" t="str">
        <f t="shared" si="115"/>
        <v/>
      </c>
      <c r="AH81" s="323" t="str">
        <f t="shared" si="116"/>
        <v/>
      </c>
      <c r="AI81" s="163" t="str">
        <f t="shared" si="117"/>
        <v/>
      </c>
      <c r="AJ81" s="163" t="str">
        <f t="shared" si="118"/>
        <v/>
      </c>
      <c r="AK81" s="163" t="str">
        <f t="shared" si="119"/>
        <v/>
      </c>
      <c r="AL81" s="163" t="str">
        <f t="shared" si="120"/>
        <v/>
      </c>
      <c r="AM81" s="163" t="str">
        <f t="shared" si="121"/>
        <v/>
      </c>
      <c r="AN81" s="163" t="str">
        <f t="shared" si="145"/>
        <v/>
      </c>
      <c r="AO81" s="163" t="str">
        <f t="shared" si="146"/>
        <v/>
      </c>
      <c r="AP81" s="163" t="str">
        <f t="shared" si="122"/>
        <v/>
      </c>
      <c r="AQ81" s="163" t="str">
        <f t="shared" si="123"/>
        <v/>
      </c>
      <c r="AR81" s="327" t="str">
        <f t="shared" si="124"/>
        <v/>
      </c>
      <c r="AS81" s="323" t="str">
        <f t="shared" si="125"/>
        <v/>
      </c>
      <c r="AT81" s="163" t="str">
        <f t="shared" si="126"/>
        <v/>
      </c>
      <c r="AU81" s="163" t="str">
        <f t="shared" si="127"/>
        <v/>
      </c>
      <c r="AV81" s="163" t="str">
        <f t="shared" si="128"/>
        <v/>
      </c>
      <c r="AW81" s="327" t="str">
        <f t="shared" si="129"/>
        <v/>
      </c>
      <c r="AX81" s="323" t="str">
        <f>IF($G81="","",Reserve!$P82-$R81)</f>
        <v/>
      </c>
      <c r="AY81" s="220" t="str">
        <f t="shared" si="130"/>
        <v/>
      </c>
      <c r="AZ81" s="331" t="str">
        <f>IF($G81="","",VLOOKUP($H81,Life!$A$3:$R$113,18,FALSE))</f>
        <v/>
      </c>
      <c r="BA81" s="162" t="str">
        <f t="shared" si="131"/>
        <v/>
      </c>
      <c r="BB81" s="163" t="str">
        <f t="shared" si="132"/>
        <v/>
      </c>
      <c r="BC81" s="163" t="str">
        <f t="shared" si="133"/>
        <v/>
      </c>
      <c r="BD81" s="163" t="str">
        <f t="shared" si="134"/>
        <v/>
      </c>
      <c r="BE81" s="163" t="str">
        <f t="shared" si="135"/>
        <v/>
      </c>
      <c r="BF81" s="163" t="str">
        <f t="shared" si="136"/>
        <v/>
      </c>
      <c r="BG81" s="163" t="str">
        <f t="shared" si="137"/>
        <v/>
      </c>
      <c r="BH81" s="163" t="str">
        <f t="shared" si="138"/>
        <v/>
      </c>
      <c r="BI81" s="163" t="str">
        <f t="shared" si="139"/>
        <v/>
      </c>
      <c r="BJ81" s="163" t="str">
        <f t="shared" si="140"/>
        <v/>
      </c>
      <c r="BK81" s="164" t="str">
        <f t="shared" si="141"/>
        <v/>
      </c>
      <c r="BL81" s="163" t="str">
        <f t="shared" si="147"/>
        <v/>
      </c>
      <c r="BM81" s="163" t="str">
        <f t="shared" si="148"/>
        <v/>
      </c>
      <c r="BN81" s="163" t="str">
        <f t="shared" si="149"/>
        <v/>
      </c>
      <c r="BO81" s="163" t="str">
        <f t="shared" si="150"/>
        <v/>
      </c>
      <c r="BP81" s="163" t="str">
        <f t="shared" si="151"/>
        <v/>
      </c>
      <c r="BQ81" s="163" t="str">
        <f t="shared" si="152"/>
        <v/>
      </c>
      <c r="BR81" s="163" t="str">
        <f t="shared" si="153"/>
        <v/>
      </c>
      <c r="BS81" s="163" t="str">
        <f t="shared" si="154"/>
        <v/>
      </c>
      <c r="BT81" s="163" t="str">
        <f t="shared" si="155"/>
        <v/>
      </c>
      <c r="BU81" s="164" t="str">
        <f t="shared" si="156"/>
        <v/>
      </c>
    </row>
    <row r="82" spans="6:73" x14ac:dyDescent="0.3">
      <c r="F82" s="36">
        <v>78</v>
      </c>
      <c r="G82" s="363" t="str">
        <f t="shared" si="101"/>
        <v/>
      </c>
      <c r="H82" s="153" t="str">
        <f t="shared" si="102"/>
        <v/>
      </c>
      <c r="I82" s="323" t="str">
        <f t="shared" si="103"/>
        <v/>
      </c>
      <c r="J82" s="163" t="str">
        <f t="shared" si="104"/>
        <v/>
      </c>
      <c r="K82" s="327" t="str">
        <f>IF($G82="","",Reserve!N82)</f>
        <v/>
      </c>
      <c r="L82" s="163" t="str">
        <f t="shared" si="142"/>
        <v/>
      </c>
      <c r="M82" s="163" t="str">
        <f t="shared" si="143"/>
        <v/>
      </c>
      <c r="N82" s="163" t="str">
        <f t="shared" si="144"/>
        <v/>
      </c>
      <c r="O82" s="163" t="str">
        <f t="shared" si="105"/>
        <v/>
      </c>
      <c r="P82" s="327" t="str">
        <f t="shared" si="106"/>
        <v/>
      </c>
      <c r="Q82" s="330" t="str">
        <f>IF($G82="","",Reserve!$I82)</f>
        <v/>
      </c>
      <c r="R82" s="323" t="str">
        <f>IF($G82="","",Reserve!$J83+Reserve!$K83)</f>
        <v/>
      </c>
      <c r="S82" s="163" t="str">
        <f>IF($G82="","",Change!$G83)</f>
        <v/>
      </c>
      <c r="T82" s="163" t="str">
        <f t="shared" si="157"/>
        <v/>
      </c>
      <c r="U82" s="331" t="str">
        <f t="shared" si="107"/>
        <v/>
      </c>
      <c r="V82" s="323" t="str">
        <f>IF($G82="","",Reserve!$Q83-$R82)</f>
        <v/>
      </c>
      <c r="W82" s="163" t="str">
        <f>IF($G82="","",Reserve!$S83)</f>
        <v/>
      </c>
      <c r="X82" s="327" t="str">
        <f t="shared" si="108"/>
        <v/>
      </c>
      <c r="Y82" s="334" t="str">
        <f t="shared" si="109"/>
        <v/>
      </c>
      <c r="Z82" s="220" t="str">
        <f>IF($G82="","",VLOOKUP(H82,Life!$A$3:$Q$113,$B$6+1,FALSE))</f>
        <v/>
      </c>
      <c r="AA82" s="220" t="str">
        <f t="shared" si="110"/>
        <v/>
      </c>
      <c r="AB82" s="220" t="str">
        <f t="shared" si="111"/>
        <v/>
      </c>
      <c r="AC82" s="331" t="str">
        <f>IF($G82="","",HLOOKUP($G82,AssetShare_Table!$B$84:$G$85,2)*$D$11)</f>
        <v/>
      </c>
      <c r="AD82" s="334" t="str">
        <f t="shared" si="112"/>
        <v/>
      </c>
      <c r="AE82" s="220" t="str">
        <f t="shared" si="113"/>
        <v/>
      </c>
      <c r="AF82" s="220" t="str">
        <f t="shared" si="114"/>
        <v/>
      </c>
      <c r="AG82" s="331" t="str">
        <f t="shared" si="115"/>
        <v/>
      </c>
      <c r="AH82" s="323" t="str">
        <f t="shared" si="116"/>
        <v/>
      </c>
      <c r="AI82" s="163" t="str">
        <f t="shared" si="117"/>
        <v/>
      </c>
      <c r="AJ82" s="163" t="str">
        <f t="shared" si="118"/>
        <v/>
      </c>
      <c r="AK82" s="163" t="str">
        <f t="shared" si="119"/>
        <v/>
      </c>
      <c r="AL82" s="163" t="str">
        <f t="shared" si="120"/>
        <v/>
      </c>
      <c r="AM82" s="163" t="str">
        <f t="shared" si="121"/>
        <v/>
      </c>
      <c r="AN82" s="163" t="str">
        <f t="shared" si="145"/>
        <v/>
      </c>
      <c r="AO82" s="163" t="str">
        <f t="shared" si="146"/>
        <v/>
      </c>
      <c r="AP82" s="163" t="str">
        <f t="shared" si="122"/>
        <v/>
      </c>
      <c r="AQ82" s="163" t="str">
        <f t="shared" si="123"/>
        <v/>
      </c>
      <c r="AR82" s="327" t="str">
        <f t="shared" si="124"/>
        <v/>
      </c>
      <c r="AS82" s="323" t="str">
        <f t="shared" si="125"/>
        <v/>
      </c>
      <c r="AT82" s="163" t="str">
        <f t="shared" si="126"/>
        <v/>
      </c>
      <c r="AU82" s="163" t="str">
        <f t="shared" si="127"/>
        <v/>
      </c>
      <c r="AV82" s="163" t="str">
        <f t="shared" si="128"/>
        <v/>
      </c>
      <c r="AW82" s="327" t="str">
        <f t="shared" si="129"/>
        <v/>
      </c>
      <c r="AX82" s="323" t="str">
        <f>IF($G82="","",Reserve!$P83-$R82)</f>
        <v/>
      </c>
      <c r="AY82" s="220" t="str">
        <f t="shared" si="130"/>
        <v/>
      </c>
      <c r="AZ82" s="331" t="str">
        <f>IF($G82="","",VLOOKUP($H82,Life!$A$3:$R$113,18,FALSE))</f>
        <v/>
      </c>
      <c r="BA82" s="162" t="str">
        <f t="shared" si="131"/>
        <v/>
      </c>
      <c r="BB82" s="163" t="str">
        <f t="shared" si="132"/>
        <v/>
      </c>
      <c r="BC82" s="163" t="str">
        <f t="shared" si="133"/>
        <v/>
      </c>
      <c r="BD82" s="163" t="str">
        <f t="shared" si="134"/>
        <v/>
      </c>
      <c r="BE82" s="163" t="str">
        <f t="shared" si="135"/>
        <v/>
      </c>
      <c r="BF82" s="163" t="str">
        <f t="shared" si="136"/>
        <v/>
      </c>
      <c r="BG82" s="163" t="str">
        <f t="shared" si="137"/>
        <v/>
      </c>
      <c r="BH82" s="163" t="str">
        <f t="shared" si="138"/>
        <v/>
      </c>
      <c r="BI82" s="163" t="str">
        <f t="shared" si="139"/>
        <v/>
      </c>
      <c r="BJ82" s="163" t="str">
        <f t="shared" si="140"/>
        <v/>
      </c>
      <c r="BK82" s="164" t="str">
        <f t="shared" si="141"/>
        <v/>
      </c>
      <c r="BL82" s="163" t="str">
        <f t="shared" si="147"/>
        <v/>
      </c>
      <c r="BM82" s="163" t="str">
        <f t="shared" si="148"/>
        <v/>
      </c>
      <c r="BN82" s="163" t="str">
        <f t="shared" si="149"/>
        <v/>
      </c>
      <c r="BO82" s="163" t="str">
        <f t="shared" si="150"/>
        <v/>
      </c>
      <c r="BP82" s="163" t="str">
        <f t="shared" si="151"/>
        <v/>
      </c>
      <c r="BQ82" s="163" t="str">
        <f t="shared" si="152"/>
        <v/>
      </c>
      <c r="BR82" s="163" t="str">
        <f t="shared" si="153"/>
        <v/>
      </c>
      <c r="BS82" s="163" t="str">
        <f t="shared" si="154"/>
        <v/>
      </c>
      <c r="BT82" s="163" t="str">
        <f t="shared" si="155"/>
        <v/>
      </c>
      <c r="BU82" s="164" t="str">
        <f t="shared" si="156"/>
        <v/>
      </c>
    </row>
    <row r="83" spans="6:73" x14ac:dyDescent="0.3">
      <c r="F83" s="36">
        <v>79</v>
      </c>
      <c r="G83" s="363" t="str">
        <f t="shared" si="101"/>
        <v/>
      </c>
      <c r="H83" s="153" t="str">
        <f t="shared" si="102"/>
        <v/>
      </c>
      <c r="I83" s="323" t="str">
        <f t="shared" si="103"/>
        <v/>
      </c>
      <c r="J83" s="163" t="str">
        <f t="shared" si="104"/>
        <v/>
      </c>
      <c r="K83" s="327" t="str">
        <f>IF($G83="","",Reserve!N83)</f>
        <v/>
      </c>
      <c r="L83" s="163" t="str">
        <f t="shared" si="142"/>
        <v/>
      </c>
      <c r="M83" s="163" t="str">
        <f t="shared" si="143"/>
        <v/>
      </c>
      <c r="N83" s="163" t="str">
        <f t="shared" si="144"/>
        <v/>
      </c>
      <c r="O83" s="163" t="str">
        <f t="shared" si="105"/>
        <v/>
      </c>
      <c r="P83" s="327" t="str">
        <f t="shared" si="106"/>
        <v/>
      </c>
      <c r="Q83" s="330" t="str">
        <f>IF($G83="","",Reserve!$I83)</f>
        <v/>
      </c>
      <c r="R83" s="323" t="str">
        <f>IF($G83="","",Reserve!$J84+Reserve!$K84)</f>
        <v/>
      </c>
      <c r="S83" s="163" t="str">
        <f>IF($G83="","",Change!$G84)</f>
        <v/>
      </c>
      <c r="T83" s="163" t="str">
        <f t="shared" si="157"/>
        <v/>
      </c>
      <c r="U83" s="331" t="str">
        <f t="shared" si="107"/>
        <v/>
      </c>
      <c r="V83" s="323" t="str">
        <f>IF($G83="","",Reserve!$Q84-$R83)</f>
        <v/>
      </c>
      <c r="W83" s="163" t="str">
        <f>IF($G83="","",Reserve!$S84)</f>
        <v/>
      </c>
      <c r="X83" s="327" t="str">
        <f t="shared" si="108"/>
        <v/>
      </c>
      <c r="Y83" s="334" t="str">
        <f t="shared" si="109"/>
        <v/>
      </c>
      <c r="Z83" s="220" t="str">
        <f>IF($G83="","",VLOOKUP(H83,Life!$A$3:$Q$113,$B$6+1,FALSE))</f>
        <v/>
      </c>
      <c r="AA83" s="220" t="str">
        <f t="shared" si="110"/>
        <v/>
      </c>
      <c r="AB83" s="220" t="str">
        <f t="shared" si="111"/>
        <v/>
      </c>
      <c r="AC83" s="331" t="str">
        <f>IF($G83="","",HLOOKUP($G83,AssetShare_Table!$B$84:$G$85,2)*$D$11)</f>
        <v/>
      </c>
      <c r="AD83" s="334" t="str">
        <f t="shared" si="112"/>
        <v/>
      </c>
      <c r="AE83" s="220" t="str">
        <f t="shared" si="113"/>
        <v/>
      </c>
      <c r="AF83" s="220" t="str">
        <f t="shared" si="114"/>
        <v/>
      </c>
      <c r="AG83" s="331" t="str">
        <f t="shared" si="115"/>
        <v/>
      </c>
      <c r="AH83" s="323" t="str">
        <f t="shared" si="116"/>
        <v/>
      </c>
      <c r="AI83" s="163" t="str">
        <f t="shared" si="117"/>
        <v/>
      </c>
      <c r="AJ83" s="163" t="str">
        <f t="shared" si="118"/>
        <v/>
      </c>
      <c r="AK83" s="163" t="str">
        <f t="shared" si="119"/>
        <v/>
      </c>
      <c r="AL83" s="163" t="str">
        <f t="shared" si="120"/>
        <v/>
      </c>
      <c r="AM83" s="163" t="str">
        <f t="shared" si="121"/>
        <v/>
      </c>
      <c r="AN83" s="163" t="str">
        <f t="shared" si="145"/>
        <v/>
      </c>
      <c r="AO83" s="163" t="str">
        <f t="shared" si="146"/>
        <v/>
      </c>
      <c r="AP83" s="163" t="str">
        <f t="shared" si="122"/>
        <v/>
      </c>
      <c r="AQ83" s="163" t="str">
        <f t="shared" si="123"/>
        <v/>
      </c>
      <c r="AR83" s="327" t="str">
        <f t="shared" si="124"/>
        <v/>
      </c>
      <c r="AS83" s="323" t="str">
        <f t="shared" si="125"/>
        <v/>
      </c>
      <c r="AT83" s="163" t="str">
        <f t="shared" si="126"/>
        <v/>
      </c>
      <c r="AU83" s="163" t="str">
        <f t="shared" si="127"/>
        <v/>
      </c>
      <c r="AV83" s="163" t="str">
        <f t="shared" si="128"/>
        <v/>
      </c>
      <c r="AW83" s="327" t="str">
        <f t="shared" si="129"/>
        <v/>
      </c>
      <c r="AX83" s="323" t="str">
        <f>IF($G83="","",Reserve!$P84-$R83)</f>
        <v/>
      </c>
      <c r="AY83" s="220" t="str">
        <f t="shared" si="130"/>
        <v/>
      </c>
      <c r="AZ83" s="331" t="str">
        <f>IF($G83="","",VLOOKUP($H83,Life!$A$3:$R$113,18,FALSE))</f>
        <v/>
      </c>
      <c r="BA83" s="162" t="str">
        <f t="shared" si="131"/>
        <v/>
      </c>
      <c r="BB83" s="163" t="str">
        <f t="shared" si="132"/>
        <v/>
      </c>
      <c r="BC83" s="163" t="str">
        <f t="shared" si="133"/>
        <v/>
      </c>
      <c r="BD83" s="163" t="str">
        <f t="shared" si="134"/>
        <v/>
      </c>
      <c r="BE83" s="163" t="str">
        <f t="shared" si="135"/>
        <v/>
      </c>
      <c r="BF83" s="163" t="str">
        <f t="shared" si="136"/>
        <v/>
      </c>
      <c r="BG83" s="163" t="str">
        <f t="shared" si="137"/>
        <v/>
      </c>
      <c r="BH83" s="163" t="str">
        <f t="shared" si="138"/>
        <v/>
      </c>
      <c r="BI83" s="163" t="str">
        <f t="shared" si="139"/>
        <v/>
      </c>
      <c r="BJ83" s="163" t="str">
        <f t="shared" si="140"/>
        <v/>
      </c>
      <c r="BK83" s="164" t="str">
        <f t="shared" si="141"/>
        <v/>
      </c>
      <c r="BL83" s="163" t="str">
        <f t="shared" si="147"/>
        <v/>
      </c>
      <c r="BM83" s="163" t="str">
        <f t="shared" si="148"/>
        <v/>
      </c>
      <c r="BN83" s="163" t="str">
        <f t="shared" si="149"/>
        <v/>
      </c>
      <c r="BO83" s="163" t="str">
        <f t="shared" si="150"/>
        <v/>
      </c>
      <c r="BP83" s="163" t="str">
        <f t="shared" si="151"/>
        <v/>
      </c>
      <c r="BQ83" s="163" t="str">
        <f t="shared" si="152"/>
        <v/>
      </c>
      <c r="BR83" s="163" t="str">
        <f t="shared" si="153"/>
        <v/>
      </c>
      <c r="BS83" s="163" t="str">
        <f t="shared" si="154"/>
        <v/>
      </c>
      <c r="BT83" s="163" t="str">
        <f t="shared" si="155"/>
        <v/>
      </c>
      <c r="BU83" s="164" t="str">
        <f t="shared" si="156"/>
        <v/>
      </c>
    </row>
    <row r="84" spans="6:73" x14ac:dyDescent="0.3">
      <c r="F84" s="320">
        <v>80</v>
      </c>
      <c r="G84" s="367" t="str">
        <f t="shared" si="101"/>
        <v/>
      </c>
      <c r="H84" s="155" t="str">
        <f t="shared" si="102"/>
        <v/>
      </c>
      <c r="I84" s="324" t="str">
        <f t="shared" si="103"/>
        <v/>
      </c>
      <c r="J84" s="166" t="str">
        <f t="shared" si="104"/>
        <v/>
      </c>
      <c r="K84" s="328" t="str">
        <f>IF($G84="","",Reserve!N84)</f>
        <v/>
      </c>
      <c r="L84" s="166" t="str">
        <f t="shared" si="142"/>
        <v/>
      </c>
      <c r="M84" s="166" t="str">
        <f t="shared" si="143"/>
        <v/>
      </c>
      <c r="N84" s="166" t="str">
        <f t="shared" si="144"/>
        <v/>
      </c>
      <c r="O84" s="166" t="str">
        <f t="shared" si="105"/>
        <v/>
      </c>
      <c r="P84" s="328" t="str">
        <f t="shared" si="106"/>
        <v/>
      </c>
      <c r="Q84" s="330" t="str">
        <f>IF($G84="","",Reserve!$I84)</f>
        <v/>
      </c>
      <c r="R84" s="324" t="str">
        <f>IF($G84="","",Reserve!$J85+Reserve!$K85)</f>
        <v/>
      </c>
      <c r="S84" s="166" t="str">
        <f>IF($G84="","",Change!$G85)</f>
        <v/>
      </c>
      <c r="T84" s="163" t="str">
        <f t="shared" si="157"/>
        <v/>
      </c>
      <c r="U84" s="332" t="str">
        <f t="shared" si="107"/>
        <v/>
      </c>
      <c r="V84" s="324" t="str">
        <f>IF($G84="","",Reserve!$Q85-$R84)</f>
        <v/>
      </c>
      <c r="W84" s="166" t="str">
        <f>IF($G84="","",Reserve!$S85)</f>
        <v/>
      </c>
      <c r="X84" s="328" t="str">
        <f t="shared" si="108"/>
        <v/>
      </c>
      <c r="Y84" s="335" t="str">
        <f t="shared" si="109"/>
        <v/>
      </c>
      <c r="Z84" s="235" t="str">
        <f>IF($G84="","",VLOOKUP(H84,Life!$A$3:$Q$113,$B$6+1,FALSE))</f>
        <v/>
      </c>
      <c r="AA84" s="235" t="str">
        <f t="shared" si="110"/>
        <v/>
      </c>
      <c r="AB84" s="235" t="str">
        <f t="shared" si="111"/>
        <v/>
      </c>
      <c r="AC84" s="332" t="str">
        <f>IF($G84="","",HLOOKUP($G84,AssetShare_Table!$B$84:$G$85,2)*$D$11)</f>
        <v/>
      </c>
      <c r="AD84" s="335" t="str">
        <f t="shared" si="112"/>
        <v/>
      </c>
      <c r="AE84" s="235" t="str">
        <f t="shared" si="113"/>
        <v/>
      </c>
      <c r="AF84" s="235" t="str">
        <f t="shared" si="114"/>
        <v/>
      </c>
      <c r="AG84" s="332" t="str">
        <f t="shared" si="115"/>
        <v/>
      </c>
      <c r="AH84" s="324" t="str">
        <f t="shared" si="116"/>
        <v/>
      </c>
      <c r="AI84" s="166" t="str">
        <f t="shared" si="117"/>
        <v/>
      </c>
      <c r="AJ84" s="166" t="str">
        <f t="shared" si="118"/>
        <v/>
      </c>
      <c r="AK84" s="166" t="str">
        <f t="shared" si="119"/>
        <v/>
      </c>
      <c r="AL84" s="166" t="str">
        <f t="shared" si="120"/>
        <v/>
      </c>
      <c r="AM84" s="166" t="str">
        <f t="shared" si="121"/>
        <v/>
      </c>
      <c r="AN84" s="163" t="str">
        <f t="shared" si="145"/>
        <v/>
      </c>
      <c r="AO84" s="166" t="str">
        <f t="shared" si="146"/>
        <v/>
      </c>
      <c r="AP84" s="166" t="str">
        <f t="shared" si="122"/>
        <v/>
      </c>
      <c r="AQ84" s="166" t="str">
        <f t="shared" si="123"/>
        <v/>
      </c>
      <c r="AR84" s="328" t="str">
        <f t="shared" si="124"/>
        <v/>
      </c>
      <c r="AS84" s="324" t="str">
        <f t="shared" si="125"/>
        <v/>
      </c>
      <c r="AT84" s="166" t="str">
        <f t="shared" si="126"/>
        <v/>
      </c>
      <c r="AU84" s="166" t="str">
        <f t="shared" si="127"/>
        <v/>
      </c>
      <c r="AV84" s="166" t="str">
        <f t="shared" si="128"/>
        <v/>
      </c>
      <c r="AW84" s="328" t="str">
        <f t="shared" si="129"/>
        <v/>
      </c>
      <c r="AX84" s="324" t="str">
        <f>IF($G84="","",Reserve!$P85-$R84)</f>
        <v/>
      </c>
      <c r="AY84" s="235" t="str">
        <f t="shared" si="130"/>
        <v/>
      </c>
      <c r="AZ84" s="332" t="str">
        <f>IF($G84="","",VLOOKUP($H84,Life!$A$3:$R$113,18,FALSE))</f>
        <v/>
      </c>
      <c r="BA84" s="165" t="str">
        <f t="shared" si="131"/>
        <v/>
      </c>
      <c r="BB84" s="166" t="str">
        <f t="shared" si="132"/>
        <v/>
      </c>
      <c r="BC84" s="166" t="str">
        <f t="shared" si="133"/>
        <v/>
      </c>
      <c r="BD84" s="166" t="str">
        <f t="shared" si="134"/>
        <v/>
      </c>
      <c r="BE84" s="166" t="str">
        <f t="shared" si="135"/>
        <v/>
      </c>
      <c r="BF84" s="166" t="str">
        <f t="shared" si="136"/>
        <v/>
      </c>
      <c r="BG84" s="166" t="str">
        <f t="shared" si="137"/>
        <v/>
      </c>
      <c r="BH84" s="166" t="str">
        <f t="shared" si="138"/>
        <v/>
      </c>
      <c r="BI84" s="166" t="str">
        <f t="shared" si="139"/>
        <v/>
      </c>
      <c r="BJ84" s="166" t="str">
        <f t="shared" si="140"/>
        <v/>
      </c>
      <c r="BK84" s="167" t="str">
        <f t="shared" si="141"/>
        <v/>
      </c>
      <c r="BL84" s="166" t="str">
        <f t="shared" si="147"/>
        <v/>
      </c>
      <c r="BM84" s="163" t="str">
        <f t="shared" si="148"/>
        <v/>
      </c>
      <c r="BN84" s="166" t="str">
        <f t="shared" si="149"/>
        <v/>
      </c>
      <c r="BO84" s="166" t="str">
        <f t="shared" si="150"/>
        <v/>
      </c>
      <c r="BP84" s="166" t="str">
        <f t="shared" si="151"/>
        <v/>
      </c>
      <c r="BQ84" s="166" t="str">
        <f t="shared" si="152"/>
        <v/>
      </c>
      <c r="BR84" s="166" t="str">
        <f t="shared" si="153"/>
        <v/>
      </c>
      <c r="BS84" s="166" t="str">
        <f t="shared" si="154"/>
        <v/>
      </c>
      <c r="BT84" s="166" t="str">
        <f t="shared" si="155"/>
        <v/>
      </c>
      <c r="BU84" s="167" t="str">
        <f t="shared" si="156"/>
        <v/>
      </c>
    </row>
    <row r="85" spans="6:73" x14ac:dyDescent="0.3">
      <c r="F85" s="36">
        <v>81</v>
      </c>
      <c r="G85" s="363" t="str">
        <f t="shared" si="101"/>
        <v/>
      </c>
      <c r="H85" s="153" t="str">
        <f t="shared" si="102"/>
        <v/>
      </c>
      <c r="I85" s="323" t="str">
        <f t="shared" si="103"/>
        <v/>
      </c>
      <c r="J85" s="163" t="str">
        <f t="shared" si="104"/>
        <v/>
      </c>
      <c r="K85" s="327" t="str">
        <f>IF($G85="","",Reserve!N85)</f>
        <v/>
      </c>
      <c r="L85" s="163" t="str">
        <f t="shared" si="142"/>
        <v/>
      </c>
      <c r="M85" s="163" t="str">
        <f t="shared" si="143"/>
        <v/>
      </c>
      <c r="N85" s="163" t="str">
        <f t="shared" si="144"/>
        <v/>
      </c>
      <c r="O85" s="163" t="str">
        <f t="shared" si="105"/>
        <v/>
      </c>
      <c r="P85" s="327" t="str">
        <f t="shared" si="106"/>
        <v/>
      </c>
      <c r="Q85" s="330" t="str">
        <f>IF($G85="","",Reserve!$I85)</f>
        <v/>
      </c>
      <c r="R85" s="323" t="str">
        <f>IF($G85="","",Reserve!$J86+Reserve!$K86)</f>
        <v/>
      </c>
      <c r="S85" s="163" t="str">
        <f>IF($G85="","",Change!$G86)</f>
        <v/>
      </c>
      <c r="T85" s="163" t="str">
        <f t="shared" si="157"/>
        <v/>
      </c>
      <c r="U85" s="331" t="str">
        <f t="shared" si="107"/>
        <v/>
      </c>
      <c r="V85" s="323" t="str">
        <f>IF($G85="","",Reserve!$Q86-$R85)</f>
        <v/>
      </c>
      <c r="W85" s="163" t="str">
        <f>IF($G85="","",Reserve!$S86)</f>
        <v/>
      </c>
      <c r="X85" s="327" t="str">
        <f t="shared" si="108"/>
        <v/>
      </c>
      <c r="Y85" s="334" t="str">
        <f t="shared" si="109"/>
        <v/>
      </c>
      <c r="Z85" s="220" t="str">
        <f>IF($G85="","",VLOOKUP(H85,Life!$A$3:$Q$113,$B$6+1,FALSE))</f>
        <v/>
      </c>
      <c r="AA85" s="220" t="str">
        <f t="shared" si="110"/>
        <v/>
      </c>
      <c r="AB85" s="220" t="str">
        <f t="shared" si="111"/>
        <v/>
      </c>
      <c r="AC85" s="331" t="str">
        <f>IF($G85="","",HLOOKUP($G85,AssetShare_Table!$B$84:$G$85,2)*$D$11)</f>
        <v/>
      </c>
      <c r="AD85" s="334" t="str">
        <f t="shared" si="112"/>
        <v/>
      </c>
      <c r="AE85" s="220" t="str">
        <f t="shared" si="113"/>
        <v/>
      </c>
      <c r="AF85" s="220" t="str">
        <f t="shared" si="114"/>
        <v/>
      </c>
      <c r="AG85" s="331" t="str">
        <f t="shared" si="115"/>
        <v/>
      </c>
      <c r="AH85" s="323" t="str">
        <f t="shared" si="116"/>
        <v/>
      </c>
      <c r="AI85" s="163" t="str">
        <f t="shared" si="117"/>
        <v/>
      </c>
      <c r="AJ85" s="163" t="str">
        <f t="shared" si="118"/>
        <v/>
      </c>
      <c r="AK85" s="163" t="str">
        <f t="shared" si="119"/>
        <v/>
      </c>
      <c r="AL85" s="163" t="str">
        <f t="shared" si="120"/>
        <v/>
      </c>
      <c r="AM85" s="163" t="str">
        <f t="shared" si="121"/>
        <v/>
      </c>
      <c r="AN85" s="163" t="str">
        <f t="shared" si="145"/>
        <v/>
      </c>
      <c r="AO85" s="163" t="str">
        <f t="shared" si="146"/>
        <v/>
      </c>
      <c r="AP85" s="163" t="str">
        <f t="shared" si="122"/>
        <v/>
      </c>
      <c r="AQ85" s="163" t="str">
        <f t="shared" si="123"/>
        <v/>
      </c>
      <c r="AR85" s="327" t="str">
        <f t="shared" si="124"/>
        <v/>
      </c>
      <c r="AS85" s="323" t="str">
        <f t="shared" si="125"/>
        <v/>
      </c>
      <c r="AT85" s="163" t="str">
        <f t="shared" si="126"/>
        <v/>
      </c>
      <c r="AU85" s="163" t="str">
        <f t="shared" si="127"/>
        <v/>
      </c>
      <c r="AV85" s="163" t="str">
        <f t="shared" si="128"/>
        <v/>
      </c>
      <c r="AW85" s="327" t="str">
        <f t="shared" si="129"/>
        <v/>
      </c>
      <c r="AX85" s="323" t="str">
        <f>IF($G85="","",Reserve!$P86-$R85)</f>
        <v/>
      </c>
      <c r="AY85" s="220" t="str">
        <f t="shared" si="130"/>
        <v/>
      </c>
      <c r="AZ85" s="331" t="str">
        <f>IF($G85="","",VLOOKUP($H85,Life!$A$3:$R$113,18,FALSE))</f>
        <v/>
      </c>
      <c r="BA85" s="162" t="str">
        <f t="shared" si="131"/>
        <v/>
      </c>
      <c r="BB85" s="163" t="str">
        <f t="shared" si="132"/>
        <v/>
      </c>
      <c r="BC85" s="163" t="str">
        <f t="shared" si="133"/>
        <v/>
      </c>
      <c r="BD85" s="163" t="str">
        <f t="shared" si="134"/>
        <v/>
      </c>
      <c r="BE85" s="163" t="str">
        <f t="shared" si="135"/>
        <v/>
      </c>
      <c r="BF85" s="163" t="str">
        <f t="shared" si="136"/>
        <v/>
      </c>
      <c r="BG85" s="163" t="str">
        <f t="shared" si="137"/>
        <v/>
      </c>
      <c r="BH85" s="163" t="str">
        <f t="shared" si="138"/>
        <v/>
      </c>
      <c r="BI85" s="163" t="str">
        <f t="shared" si="139"/>
        <v/>
      </c>
      <c r="BJ85" s="163" t="str">
        <f t="shared" si="140"/>
        <v/>
      </c>
      <c r="BK85" s="164" t="str">
        <f t="shared" si="141"/>
        <v/>
      </c>
      <c r="BL85" s="163" t="str">
        <f t="shared" si="147"/>
        <v/>
      </c>
      <c r="BM85" s="163" t="str">
        <f t="shared" si="148"/>
        <v/>
      </c>
      <c r="BN85" s="163" t="str">
        <f t="shared" si="149"/>
        <v/>
      </c>
      <c r="BO85" s="163" t="str">
        <f t="shared" si="150"/>
        <v/>
      </c>
      <c r="BP85" s="163" t="str">
        <f t="shared" si="151"/>
        <v/>
      </c>
      <c r="BQ85" s="163" t="str">
        <f t="shared" si="152"/>
        <v/>
      </c>
      <c r="BR85" s="163" t="str">
        <f t="shared" si="153"/>
        <v/>
      </c>
      <c r="BS85" s="163" t="str">
        <f t="shared" si="154"/>
        <v/>
      </c>
      <c r="BT85" s="163" t="str">
        <f t="shared" si="155"/>
        <v/>
      </c>
      <c r="BU85" s="164" t="str">
        <f t="shared" si="156"/>
        <v/>
      </c>
    </row>
    <row r="86" spans="6:73" x14ac:dyDescent="0.3">
      <c r="F86" s="36">
        <v>82</v>
      </c>
      <c r="G86" s="363" t="str">
        <f t="shared" si="101"/>
        <v/>
      </c>
      <c r="H86" s="153" t="str">
        <f t="shared" si="102"/>
        <v/>
      </c>
      <c r="I86" s="323" t="str">
        <f t="shared" si="103"/>
        <v/>
      </c>
      <c r="J86" s="163" t="str">
        <f t="shared" si="104"/>
        <v/>
      </c>
      <c r="K86" s="327" t="str">
        <f>IF($G86="","",Reserve!N86)</f>
        <v/>
      </c>
      <c r="L86" s="163" t="str">
        <f t="shared" si="142"/>
        <v/>
      </c>
      <c r="M86" s="163" t="str">
        <f t="shared" si="143"/>
        <v/>
      </c>
      <c r="N86" s="163" t="str">
        <f t="shared" si="144"/>
        <v/>
      </c>
      <c r="O86" s="163" t="str">
        <f t="shared" si="105"/>
        <v/>
      </c>
      <c r="P86" s="327" t="str">
        <f t="shared" si="106"/>
        <v/>
      </c>
      <c r="Q86" s="330" t="str">
        <f>IF($G86="","",Reserve!$I86)</f>
        <v/>
      </c>
      <c r="R86" s="323" t="str">
        <f>IF($G86="","",Reserve!$J87+Reserve!$K87)</f>
        <v/>
      </c>
      <c r="S86" s="163" t="str">
        <f>IF($G86="","",Change!$G87)</f>
        <v/>
      </c>
      <c r="T86" s="163" t="str">
        <f t="shared" si="157"/>
        <v/>
      </c>
      <c r="U86" s="331" t="str">
        <f t="shared" si="107"/>
        <v/>
      </c>
      <c r="V86" s="323" t="str">
        <f>IF($G86="","",Reserve!$Q87-$R86)</f>
        <v/>
      </c>
      <c r="W86" s="163" t="str">
        <f>IF($G86="","",Reserve!$S87)</f>
        <v/>
      </c>
      <c r="X86" s="327" t="str">
        <f t="shared" si="108"/>
        <v/>
      </c>
      <c r="Y86" s="334" t="str">
        <f t="shared" si="109"/>
        <v/>
      </c>
      <c r="Z86" s="220" t="str">
        <f>IF($G86="","",VLOOKUP(H86,Life!$A$3:$Q$113,$B$6+1,FALSE))</f>
        <v/>
      </c>
      <c r="AA86" s="220" t="str">
        <f t="shared" si="110"/>
        <v/>
      </c>
      <c r="AB86" s="220" t="str">
        <f t="shared" si="111"/>
        <v/>
      </c>
      <c r="AC86" s="331" t="str">
        <f>IF($G86="","",HLOOKUP($G86,AssetShare_Table!$B$84:$G$85,2)*$D$11)</f>
        <v/>
      </c>
      <c r="AD86" s="334" t="str">
        <f t="shared" si="112"/>
        <v/>
      </c>
      <c r="AE86" s="220" t="str">
        <f t="shared" si="113"/>
        <v/>
      </c>
      <c r="AF86" s="220" t="str">
        <f t="shared" si="114"/>
        <v/>
      </c>
      <c r="AG86" s="331" t="str">
        <f t="shared" si="115"/>
        <v/>
      </c>
      <c r="AH86" s="323" t="str">
        <f t="shared" si="116"/>
        <v/>
      </c>
      <c r="AI86" s="163" t="str">
        <f t="shared" si="117"/>
        <v/>
      </c>
      <c r="AJ86" s="163" t="str">
        <f t="shared" si="118"/>
        <v/>
      </c>
      <c r="AK86" s="163" t="str">
        <f t="shared" si="119"/>
        <v/>
      </c>
      <c r="AL86" s="163" t="str">
        <f t="shared" si="120"/>
        <v/>
      </c>
      <c r="AM86" s="163" t="str">
        <f t="shared" si="121"/>
        <v/>
      </c>
      <c r="AN86" s="163" t="str">
        <f t="shared" si="145"/>
        <v/>
      </c>
      <c r="AO86" s="163" t="str">
        <f t="shared" si="146"/>
        <v/>
      </c>
      <c r="AP86" s="163" t="str">
        <f t="shared" si="122"/>
        <v/>
      </c>
      <c r="AQ86" s="163" t="str">
        <f t="shared" si="123"/>
        <v/>
      </c>
      <c r="AR86" s="327" t="str">
        <f t="shared" si="124"/>
        <v/>
      </c>
      <c r="AS86" s="323" t="str">
        <f t="shared" si="125"/>
        <v/>
      </c>
      <c r="AT86" s="163" t="str">
        <f t="shared" si="126"/>
        <v/>
      </c>
      <c r="AU86" s="163" t="str">
        <f t="shared" si="127"/>
        <v/>
      </c>
      <c r="AV86" s="163" t="str">
        <f t="shared" si="128"/>
        <v/>
      </c>
      <c r="AW86" s="327" t="str">
        <f t="shared" si="129"/>
        <v/>
      </c>
      <c r="AX86" s="323" t="str">
        <f>IF($G86="","",Reserve!$P87-$R86)</f>
        <v/>
      </c>
      <c r="AY86" s="220" t="str">
        <f t="shared" si="130"/>
        <v/>
      </c>
      <c r="AZ86" s="331" t="str">
        <f>IF($G86="","",VLOOKUP($H86,Life!$A$3:$R$113,18,FALSE))</f>
        <v/>
      </c>
      <c r="BA86" s="162" t="str">
        <f t="shared" si="131"/>
        <v/>
      </c>
      <c r="BB86" s="163" t="str">
        <f t="shared" si="132"/>
        <v/>
      </c>
      <c r="BC86" s="163" t="str">
        <f t="shared" si="133"/>
        <v/>
      </c>
      <c r="BD86" s="163" t="str">
        <f t="shared" si="134"/>
        <v/>
      </c>
      <c r="BE86" s="163" t="str">
        <f t="shared" si="135"/>
        <v/>
      </c>
      <c r="BF86" s="163" t="str">
        <f t="shared" si="136"/>
        <v/>
      </c>
      <c r="BG86" s="163" t="str">
        <f t="shared" si="137"/>
        <v/>
      </c>
      <c r="BH86" s="163" t="str">
        <f t="shared" si="138"/>
        <v/>
      </c>
      <c r="BI86" s="163" t="str">
        <f t="shared" si="139"/>
        <v/>
      </c>
      <c r="BJ86" s="163" t="str">
        <f t="shared" si="140"/>
        <v/>
      </c>
      <c r="BK86" s="164" t="str">
        <f t="shared" si="141"/>
        <v/>
      </c>
      <c r="BL86" s="163" t="str">
        <f t="shared" si="147"/>
        <v/>
      </c>
      <c r="BM86" s="163" t="str">
        <f t="shared" si="148"/>
        <v/>
      </c>
      <c r="BN86" s="163" t="str">
        <f t="shared" si="149"/>
        <v/>
      </c>
      <c r="BO86" s="163" t="str">
        <f t="shared" si="150"/>
        <v/>
      </c>
      <c r="BP86" s="163" t="str">
        <f t="shared" si="151"/>
        <v/>
      </c>
      <c r="BQ86" s="163" t="str">
        <f t="shared" si="152"/>
        <v/>
      </c>
      <c r="BR86" s="163" t="str">
        <f t="shared" si="153"/>
        <v/>
      </c>
      <c r="BS86" s="163" t="str">
        <f t="shared" si="154"/>
        <v/>
      </c>
      <c r="BT86" s="163" t="str">
        <f t="shared" si="155"/>
        <v/>
      </c>
      <c r="BU86" s="164" t="str">
        <f t="shared" si="156"/>
        <v/>
      </c>
    </row>
    <row r="87" spans="6:73" x14ac:dyDescent="0.3">
      <c r="F87" s="36">
        <v>83</v>
      </c>
      <c r="G87" s="363" t="str">
        <f t="shared" si="101"/>
        <v/>
      </c>
      <c r="H87" s="153" t="str">
        <f t="shared" si="102"/>
        <v/>
      </c>
      <c r="I87" s="323" t="str">
        <f t="shared" si="103"/>
        <v/>
      </c>
      <c r="J87" s="163" t="str">
        <f t="shared" si="104"/>
        <v/>
      </c>
      <c r="K87" s="327" t="str">
        <f>IF($G87="","",Reserve!N87)</f>
        <v/>
      </c>
      <c r="L87" s="163" t="str">
        <f t="shared" si="142"/>
        <v/>
      </c>
      <c r="M87" s="163" t="str">
        <f t="shared" si="143"/>
        <v/>
      </c>
      <c r="N87" s="163" t="str">
        <f t="shared" si="144"/>
        <v/>
      </c>
      <c r="O87" s="163" t="str">
        <f t="shared" si="105"/>
        <v/>
      </c>
      <c r="P87" s="327" t="str">
        <f t="shared" si="106"/>
        <v/>
      </c>
      <c r="Q87" s="330" t="str">
        <f>IF($G87="","",Reserve!$I87)</f>
        <v/>
      </c>
      <c r="R87" s="323" t="str">
        <f>IF($G87="","",Reserve!$J88+Reserve!$K88)</f>
        <v/>
      </c>
      <c r="S87" s="163" t="str">
        <f>IF($G87="","",Change!$G88)</f>
        <v/>
      </c>
      <c r="T87" s="163" t="str">
        <f t="shared" si="157"/>
        <v/>
      </c>
      <c r="U87" s="331" t="str">
        <f t="shared" si="107"/>
        <v/>
      </c>
      <c r="V87" s="323" t="str">
        <f>IF($G87="","",Reserve!$Q88-$R87)</f>
        <v/>
      </c>
      <c r="W87" s="163" t="str">
        <f>IF($G87="","",Reserve!$S88)</f>
        <v/>
      </c>
      <c r="X87" s="327" t="str">
        <f t="shared" si="108"/>
        <v/>
      </c>
      <c r="Y87" s="334" t="str">
        <f t="shared" si="109"/>
        <v/>
      </c>
      <c r="Z87" s="220" t="str">
        <f>IF($G87="","",VLOOKUP(H87,Life!$A$3:$Q$113,$B$6+1,FALSE))</f>
        <v/>
      </c>
      <c r="AA87" s="220" t="str">
        <f t="shared" si="110"/>
        <v/>
      </c>
      <c r="AB87" s="220" t="str">
        <f t="shared" si="111"/>
        <v/>
      </c>
      <c r="AC87" s="331" t="str">
        <f>IF($G87="","",HLOOKUP($G87,AssetShare_Table!$B$84:$G$85,2)*$D$11)</f>
        <v/>
      </c>
      <c r="AD87" s="334" t="str">
        <f t="shared" si="112"/>
        <v/>
      </c>
      <c r="AE87" s="220" t="str">
        <f t="shared" si="113"/>
        <v/>
      </c>
      <c r="AF87" s="220" t="str">
        <f t="shared" si="114"/>
        <v/>
      </c>
      <c r="AG87" s="331" t="str">
        <f t="shared" si="115"/>
        <v/>
      </c>
      <c r="AH87" s="323" t="str">
        <f t="shared" si="116"/>
        <v/>
      </c>
      <c r="AI87" s="163" t="str">
        <f t="shared" si="117"/>
        <v/>
      </c>
      <c r="AJ87" s="163" t="str">
        <f t="shared" si="118"/>
        <v/>
      </c>
      <c r="AK87" s="163" t="str">
        <f t="shared" si="119"/>
        <v/>
      </c>
      <c r="AL87" s="163" t="str">
        <f t="shared" si="120"/>
        <v/>
      </c>
      <c r="AM87" s="163" t="str">
        <f t="shared" si="121"/>
        <v/>
      </c>
      <c r="AN87" s="163" t="str">
        <f t="shared" si="145"/>
        <v/>
      </c>
      <c r="AO87" s="163" t="str">
        <f t="shared" si="146"/>
        <v/>
      </c>
      <c r="AP87" s="163" t="str">
        <f t="shared" si="122"/>
        <v/>
      </c>
      <c r="AQ87" s="163" t="str">
        <f t="shared" si="123"/>
        <v/>
      </c>
      <c r="AR87" s="327" t="str">
        <f t="shared" si="124"/>
        <v/>
      </c>
      <c r="AS87" s="323" t="str">
        <f t="shared" si="125"/>
        <v/>
      </c>
      <c r="AT87" s="163" t="str">
        <f t="shared" si="126"/>
        <v/>
      </c>
      <c r="AU87" s="163" t="str">
        <f t="shared" si="127"/>
        <v/>
      </c>
      <c r="AV87" s="163" t="str">
        <f t="shared" si="128"/>
        <v/>
      </c>
      <c r="AW87" s="327" t="str">
        <f t="shared" si="129"/>
        <v/>
      </c>
      <c r="AX87" s="323" t="str">
        <f>IF($G87="","",Reserve!$P88-$R87)</f>
        <v/>
      </c>
      <c r="AY87" s="220" t="str">
        <f t="shared" si="130"/>
        <v/>
      </c>
      <c r="AZ87" s="331" t="str">
        <f>IF($G87="","",VLOOKUP($H87,Life!$A$3:$R$113,18,FALSE))</f>
        <v/>
      </c>
      <c r="BA87" s="162" t="str">
        <f t="shared" si="131"/>
        <v/>
      </c>
      <c r="BB87" s="163" t="str">
        <f t="shared" si="132"/>
        <v/>
      </c>
      <c r="BC87" s="163" t="str">
        <f t="shared" si="133"/>
        <v/>
      </c>
      <c r="BD87" s="163" t="str">
        <f t="shared" si="134"/>
        <v/>
      </c>
      <c r="BE87" s="163" t="str">
        <f t="shared" si="135"/>
        <v/>
      </c>
      <c r="BF87" s="163" t="str">
        <f t="shared" si="136"/>
        <v/>
      </c>
      <c r="BG87" s="163" t="str">
        <f t="shared" si="137"/>
        <v/>
      </c>
      <c r="BH87" s="163" t="str">
        <f t="shared" si="138"/>
        <v/>
      </c>
      <c r="BI87" s="163" t="str">
        <f t="shared" si="139"/>
        <v/>
      </c>
      <c r="BJ87" s="163" t="str">
        <f t="shared" si="140"/>
        <v/>
      </c>
      <c r="BK87" s="164" t="str">
        <f t="shared" si="141"/>
        <v/>
      </c>
      <c r="BL87" s="163" t="str">
        <f t="shared" si="147"/>
        <v/>
      </c>
      <c r="BM87" s="163" t="str">
        <f t="shared" si="148"/>
        <v/>
      </c>
      <c r="BN87" s="163" t="str">
        <f t="shared" si="149"/>
        <v/>
      </c>
      <c r="BO87" s="163" t="str">
        <f t="shared" si="150"/>
        <v/>
      </c>
      <c r="BP87" s="163" t="str">
        <f t="shared" si="151"/>
        <v/>
      </c>
      <c r="BQ87" s="163" t="str">
        <f t="shared" si="152"/>
        <v/>
      </c>
      <c r="BR87" s="163" t="str">
        <f t="shared" si="153"/>
        <v/>
      </c>
      <c r="BS87" s="163" t="str">
        <f t="shared" si="154"/>
        <v/>
      </c>
      <c r="BT87" s="163" t="str">
        <f t="shared" si="155"/>
        <v/>
      </c>
      <c r="BU87" s="164" t="str">
        <f t="shared" si="156"/>
        <v/>
      </c>
    </row>
    <row r="88" spans="6:73" x14ac:dyDescent="0.3">
      <c r="F88" s="36">
        <v>84</v>
      </c>
      <c r="G88" s="363" t="str">
        <f t="shared" si="101"/>
        <v/>
      </c>
      <c r="H88" s="153" t="str">
        <f t="shared" si="102"/>
        <v/>
      </c>
      <c r="I88" s="323" t="str">
        <f t="shared" si="103"/>
        <v/>
      </c>
      <c r="J88" s="163" t="str">
        <f t="shared" si="104"/>
        <v/>
      </c>
      <c r="K88" s="327" t="str">
        <f>IF($G88="","",Reserve!N88)</f>
        <v/>
      </c>
      <c r="L88" s="163" t="str">
        <f t="shared" si="142"/>
        <v/>
      </c>
      <c r="M88" s="163" t="str">
        <f t="shared" si="143"/>
        <v/>
      </c>
      <c r="N88" s="163" t="str">
        <f t="shared" si="144"/>
        <v/>
      </c>
      <c r="O88" s="163" t="str">
        <f t="shared" si="105"/>
        <v/>
      </c>
      <c r="P88" s="327" t="str">
        <f t="shared" si="106"/>
        <v/>
      </c>
      <c r="Q88" s="330" t="str">
        <f>IF($G88="","",Reserve!$I88)</f>
        <v/>
      </c>
      <c r="R88" s="323" t="str">
        <f>IF($G88="","",Reserve!$J89+Reserve!$K89)</f>
        <v/>
      </c>
      <c r="S88" s="163" t="str">
        <f>IF($G88="","",Change!$G89)</f>
        <v/>
      </c>
      <c r="T88" s="163" t="str">
        <f t="shared" si="157"/>
        <v/>
      </c>
      <c r="U88" s="331" t="str">
        <f t="shared" si="107"/>
        <v/>
      </c>
      <c r="V88" s="323" t="str">
        <f>IF($G88="","",Reserve!$Q89-$R88)</f>
        <v/>
      </c>
      <c r="W88" s="163" t="str">
        <f>IF($G88="","",Reserve!$S89)</f>
        <v/>
      </c>
      <c r="X88" s="327" t="str">
        <f t="shared" si="108"/>
        <v/>
      </c>
      <c r="Y88" s="334" t="str">
        <f t="shared" si="109"/>
        <v/>
      </c>
      <c r="Z88" s="220" t="str">
        <f>IF($G88="","",VLOOKUP(H88,Life!$A$3:$Q$113,$B$6+1,FALSE))</f>
        <v/>
      </c>
      <c r="AA88" s="220" t="str">
        <f t="shared" si="110"/>
        <v/>
      </c>
      <c r="AB88" s="220" t="str">
        <f t="shared" si="111"/>
        <v/>
      </c>
      <c r="AC88" s="331" t="str">
        <f>IF($G88="","",HLOOKUP($G88,AssetShare_Table!$B$84:$G$85,2)*$D$11)</f>
        <v/>
      </c>
      <c r="AD88" s="334" t="str">
        <f t="shared" si="112"/>
        <v/>
      </c>
      <c r="AE88" s="220" t="str">
        <f t="shared" si="113"/>
        <v/>
      </c>
      <c r="AF88" s="220" t="str">
        <f t="shared" si="114"/>
        <v/>
      </c>
      <c r="AG88" s="331" t="str">
        <f t="shared" si="115"/>
        <v/>
      </c>
      <c r="AH88" s="323" t="str">
        <f t="shared" si="116"/>
        <v/>
      </c>
      <c r="AI88" s="163" t="str">
        <f t="shared" si="117"/>
        <v/>
      </c>
      <c r="AJ88" s="163" t="str">
        <f t="shared" si="118"/>
        <v/>
      </c>
      <c r="AK88" s="163" t="str">
        <f t="shared" si="119"/>
        <v/>
      </c>
      <c r="AL88" s="163" t="str">
        <f t="shared" si="120"/>
        <v/>
      </c>
      <c r="AM88" s="163" t="str">
        <f t="shared" si="121"/>
        <v/>
      </c>
      <c r="AN88" s="163" t="str">
        <f t="shared" si="145"/>
        <v/>
      </c>
      <c r="AO88" s="163" t="str">
        <f t="shared" si="146"/>
        <v/>
      </c>
      <c r="AP88" s="163" t="str">
        <f t="shared" si="122"/>
        <v/>
      </c>
      <c r="AQ88" s="163" t="str">
        <f t="shared" si="123"/>
        <v/>
      </c>
      <c r="AR88" s="327" t="str">
        <f t="shared" si="124"/>
        <v/>
      </c>
      <c r="AS88" s="323" t="str">
        <f t="shared" si="125"/>
        <v/>
      </c>
      <c r="AT88" s="163" t="str">
        <f t="shared" si="126"/>
        <v/>
      </c>
      <c r="AU88" s="163" t="str">
        <f t="shared" si="127"/>
        <v/>
      </c>
      <c r="AV88" s="163" t="str">
        <f t="shared" si="128"/>
        <v/>
      </c>
      <c r="AW88" s="327" t="str">
        <f t="shared" si="129"/>
        <v/>
      </c>
      <c r="AX88" s="323" t="str">
        <f>IF($G88="","",Reserve!$P89-$R88)</f>
        <v/>
      </c>
      <c r="AY88" s="220" t="str">
        <f t="shared" si="130"/>
        <v/>
      </c>
      <c r="AZ88" s="331" t="str">
        <f>IF($G88="","",VLOOKUP($H88,Life!$A$3:$R$113,18,FALSE))</f>
        <v/>
      </c>
      <c r="BA88" s="162" t="str">
        <f t="shared" si="131"/>
        <v/>
      </c>
      <c r="BB88" s="163" t="str">
        <f t="shared" si="132"/>
        <v/>
      </c>
      <c r="BC88" s="163" t="str">
        <f t="shared" si="133"/>
        <v/>
      </c>
      <c r="BD88" s="163" t="str">
        <f t="shared" si="134"/>
        <v/>
      </c>
      <c r="BE88" s="163" t="str">
        <f t="shared" si="135"/>
        <v/>
      </c>
      <c r="BF88" s="163" t="str">
        <f t="shared" si="136"/>
        <v/>
      </c>
      <c r="BG88" s="163" t="str">
        <f t="shared" si="137"/>
        <v/>
      </c>
      <c r="BH88" s="163" t="str">
        <f t="shared" si="138"/>
        <v/>
      </c>
      <c r="BI88" s="163" t="str">
        <f t="shared" si="139"/>
        <v/>
      </c>
      <c r="BJ88" s="163" t="str">
        <f t="shared" si="140"/>
        <v/>
      </c>
      <c r="BK88" s="164" t="str">
        <f t="shared" si="141"/>
        <v/>
      </c>
      <c r="BL88" s="163" t="str">
        <f t="shared" si="147"/>
        <v/>
      </c>
      <c r="BM88" s="163" t="str">
        <f t="shared" si="148"/>
        <v/>
      </c>
      <c r="BN88" s="163" t="str">
        <f t="shared" si="149"/>
        <v/>
      </c>
      <c r="BO88" s="163" t="str">
        <f t="shared" si="150"/>
        <v/>
      </c>
      <c r="BP88" s="163" t="str">
        <f t="shared" si="151"/>
        <v/>
      </c>
      <c r="BQ88" s="163" t="str">
        <f t="shared" si="152"/>
        <v/>
      </c>
      <c r="BR88" s="163" t="str">
        <f t="shared" si="153"/>
        <v/>
      </c>
      <c r="BS88" s="163" t="str">
        <f t="shared" si="154"/>
        <v/>
      </c>
      <c r="BT88" s="163" t="str">
        <f t="shared" si="155"/>
        <v/>
      </c>
      <c r="BU88" s="164" t="str">
        <f t="shared" si="156"/>
        <v/>
      </c>
    </row>
    <row r="89" spans="6:73" x14ac:dyDescent="0.3">
      <c r="F89" s="320">
        <v>85</v>
      </c>
      <c r="G89" s="367" t="str">
        <f t="shared" si="101"/>
        <v/>
      </c>
      <c r="H89" s="155" t="str">
        <f t="shared" si="102"/>
        <v/>
      </c>
      <c r="I89" s="324" t="str">
        <f t="shared" si="103"/>
        <v/>
      </c>
      <c r="J89" s="166" t="str">
        <f t="shared" si="104"/>
        <v/>
      </c>
      <c r="K89" s="328" t="str">
        <f>IF($G89="","",Reserve!N89)</f>
        <v/>
      </c>
      <c r="L89" s="166" t="str">
        <f t="shared" si="142"/>
        <v/>
      </c>
      <c r="M89" s="166" t="str">
        <f t="shared" si="143"/>
        <v/>
      </c>
      <c r="N89" s="166" t="str">
        <f t="shared" si="144"/>
        <v/>
      </c>
      <c r="O89" s="166" t="str">
        <f t="shared" si="105"/>
        <v/>
      </c>
      <c r="P89" s="328" t="str">
        <f t="shared" si="106"/>
        <v/>
      </c>
      <c r="Q89" s="330" t="str">
        <f>IF($G89="","",Reserve!$I89)</f>
        <v/>
      </c>
      <c r="R89" s="324" t="str">
        <f>IF($G89="","",Reserve!$J90+Reserve!$K90)</f>
        <v/>
      </c>
      <c r="S89" s="166" t="str">
        <f>IF($G89="","",Change!$G90)</f>
        <v/>
      </c>
      <c r="T89" s="163" t="str">
        <f t="shared" si="157"/>
        <v/>
      </c>
      <c r="U89" s="332" t="str">
        <f t="shared" si="107"/>
        <v/>
      </c>
      <c r="V89" s="324" t="str">
        <f>IF($G89="","",Reserve!$Q90-$R89)</f>
        <v/>
      </c>
      <c r="W89" s="166" t="str">
        <f>IF($G89="","",Reserve!$S90)</f>
        <v/>
      </c>
      <c r="X89" s="328" t="str">
        <f t="shared" si="108"/>
        <v/>
      </c>
      <c r="Y89" s="335" t="str">
        <f t="shared" si="109"/>
        <v/>
      </c>
      <c r="Z89" s="235" t="str">
        <f>IF($G89="","",VLOOKUP(H89,Life!$A$3:$Q$113,$B$6+1,FALSE))</f>
        <v/>
      </c>
      <c r="AA89" s="235" t="str">
        <f t="shared" si="110"/>
        <v/>
      </c>
      <c r="AB89" s="235" t="str">
        <f t="shared" si="111"/>
        <v/>
      </c>
      <c r="AC89" s="332" t="str">
        <f>IF($G89="","",HLOOKUP($G89,AssetShare_Table!$B$84:$G$85,2)*$D$11)</f>
        <v/>
      </c>
      <c r="AD89" s="335" t="str">
        <f t="shared" si="112"/>
        <v/>
      </c>
      <c r="AE89" s="235" t="str">
        <f t="shared" si="113"/>
        <v/>
      </c>
      <c r="AF89" s="235" t="str">
        <f t="shared" si="114"/>
        <v/>
      </c>
      <c r="AG89" s="332" t="str">
        <f t="shared" si="115"/>
        <v/>
      </c>
      <c r="AH89" s="324" t="str">
        <f t="shared" si="116"/>
        <v/>
      </c>
      <c r="AI89" s="166" t="str">
        <f t="shared" si="117"/>
        <v/>
      </c>
      <c r="AJ89" s="166" t="str">
        <f t="shared" si="118"/>
        <v/>
      </c>
      <c r="AK89" s="166" t="str">
        <f t="shared" si="119"/>
        <v/>
      </c>
      <c r="AL89" s="166" t="str">
        <f t="shared" si="120"/>
        <v/>
      </c>
      <c r="AM89" s="166" t="str">
        <f t="shared" si="121"/>
        <v/>
      </c>
      <c r="AN89" s="163" t="str">
        <f t="shared" si="145"/>
        <v/>
      </c>
      <c r="AO89" s="166" t="str">
        <f t="shared" si="146"/>
        <v/>
      </c>
      <c r="AP89" s="166" t="str">
        <f t="shared" si="122"/>
        <v/>
      </c>
      <c r="AQ89" s="166" t="str">
        <f t="shared" si="123"/>
        <v/>
      </c>
      <c r="AR89" s="328" t="str">
        <f t="shared" si="124"/>
        <v/>
      </c>
      <c r="AS89" s="324" t="str">
        <f t="shared" si="125"/>
        <v/>
      </c>
      <c r="AT89" s="166" t="str">
        <f t="shared" si="126"/>
        <v/>
      </c>
      <c r="AU89" s="166" t="str">
        <f t="shared" si="127"/>
        <v/>
      </c>
      <c r="AV89" s="166" t="str">
        <f t="shared" si="128"/>
        <v/>
      </c>
      <c r="AW89" s="328" t="str">
        <f t="shared" si="129"/>
        <v/>
      </c>
      <c r="AX89" s="324" t="str">
        <f>IF($G89="","",Reserve!$P90-$R89)</f>
        <v/>
      </c>
      <c r="AY89" s="235" t="str">
        <f t="shared" si="130"/>
        <v/>
      </c>
      <c r="AZ89" s="332" t="str">
        <f>IF($G89="","",VLOOKUP($H89,Life!$A$3:$R$113,18,FALSE))</f>
        <v/>
      </c>
      <c r="BA89" s="165" t="str">
        <f t="shared" si="131"/>
        <v/>
      </c>
      <c r="BB89" s="166" t="str">
        <f t="shared" si="132"/>
        <v/>
      </c>
      <c r="BC89" s="166" t="str">
        <f t="shared" si="133"/>
        <v/>
      </c>
      <c r="BD89" s="166" t="str">
        <f t="shared" si="134"/>
        <v/>
      </c>
      <c r="BE89" s="166" t="str">
        <f t="shared" si="135"/>
        <v/>
      </c>
      <c r="BF89" s="166" t="str">
        <f t="shared" si="136"/>
        <v/>
      </c>
      <c r="BG89" s="166" t="str">
        <f t="shared" si="137"/>
        <v/>
      </c>
      <c r="BH89" s="166" t="str">
        <f t="shared" si="138"/>
        <v/>
      </c>
      <c r="BI89" s="166" t="str">
        <f t="shared" si="139"/>
        <v/>
      </c>
      <c r="BJ89" s="166" t="str">
        <f t="shared" si="140"/>
        <v/>
      </c>
      <c r="BK89" s="167" t="str">
        <f t="shared" si="141"/>
        <v/>
      </c>
      <c r="BL89" s="166" t="str">
        <f t="shared" si="147"/>
        <v/>
      </c>
      <c r="BM89" s="163" t="str">
        <f t="shared" si="148"/>
        <v/>
      </c>
      <c r="BN89" s="166" t="str">
        <f t="shared" si="149"/>
        <v/>
      </c>
      <c r="BO89" s="166" t="str">
        <f t="shared" si="150"/>
        <v/>
      </c>
      <c r="BP89" s="166" t="str">
        <f t="shared" si="151"/>
        <v/>
      </c>
      <c r="BQ89" s="166" t="str">
        <f t="shared" si="152"/>
        <v/>
      </c>
      <c r="BR89" s="166" t="str">
        <f t="shared" si="153"/>
        <v/>
      </c>
      <c r="BS89" s="166" t="str">
        <f t="shared" si="154"/>
        <v/>
      </c>
      <c r="BT89" s="166" t="str">
        <f t="shared" si="155"/>
        <v/>
      </c>
      <c r="BU89" s="167" t="str">
        <f t="shared" si="156"/>
        <v/>
      </c>
    </row>
    <row r="90" spans="6:73" x14ac:dyDescent="0.3">
      <c r="F90" s="36">
        <v>86</v>
      </c>
      <c r="G90" s="363" t="str">
        <f t="shared" si="101"/>
        <v/>
      </c>
      <c r="H90" s="153" t="str">
        <f t="shared" si="102"/>
        <v/>
      </c>
      <c r="I90" s="323" t="str">
        <f t="shared" si="103"/>
        <v/>
      </c>
      <c r="J90" s="163" t="str">
        <f t="shared" si="104"/>
        <v/>
      </c>
      <c r="K90" s="327" t="str">
        <f>IF($G90="","",Reserve!N90)</f>
        <v/>
      </c>
      <c r="L90" s="163" t="str">
        <f t="shared" si="142"/>
        <v/>
      </c>
      <c r="M90" s="163" t="str">
        <f t="shared" si="143"/>
        <v/>
      </c>
      <c r="N90" s="163" t="str">
        <f t="shared" si="144"/>
        <v/>
      </c>
      <c r="O90" s="163" t="str">
        <f t="shared" si="105"/>
        <v/>
      </c>
      <c r="P90" s="327" t="str">
        <f t="shared" si="106"/>
        <v/>
      </c>
      <c r="Q90" s="330" t="str">
        <f>IF($G90="","",Reserve!$I90)</f>
        <v/>
      </c>
      <c r="R90" s="323" t="str">
        <f>IF($G90="","",Reserve!$J91+Reserve!$K91)</f>
        <v/>
      </c>
      <c r="S90" s="163" t="str">
        <f>IF($G90="","",Change!$G91)</f>
        <v/>
      </c>
      <c r="T90" s="163" t="str">
        <f t="shared" si="157"/>
        <v/>
      </c>
      <c r="U90" s="331" t="str">
        <f t="shared" si="107"/>
        <v/>
      </c>
      <c r="V90" s="323" t="str">
        <f>IF($G90="","",Reserve!$Q91-$R90)</f>
        <v/>
      </c>
      <c r="W90" s="163" t="str">
        <f>IF($G90="","",Reserve!$S91)</f>
        <v/>
      </c>
      <c r="X90" s="327" t="str">
        <f t="shared" si="108"/>
        <v/>
      </c>
      <c r="Y90" s="334" t="str">
        <f t="shared" si="109"/>
        <v/>
      </c>
      <c r="Z90" s="220" t="str">
        <f>IF($G90="","",VLOOKUP(H90,Life!$A$3:$Q$113,$B$6+1,FALSE))</f>
        <v/>
      </c>
      <c r="AA90" s="220" t="str">
        <f t="shared" si="110"/>
        <v/>
      </c>
      <c r="AB90" s="220" t="str">
        <f t="shared" si="111"/>
        <v/>
      </c>
      <c r="AC90" s="331" t="str">
        <f>IF($G90="","",HLOOKUP($G90,AssetShare_Table!$B$84:$G$85,2)*$D$11)</f>
        <v/>
      </c>
      <c r="AD90" s="334" t="str">
        <f t="shared" si="112"/>
        <v/>
      </c>
      <c r="AE90" s="220" t="str">
        <f t="shared" si="113"/>
        <v/>
      </c>
      <c r="AF90" s="220" t="str">
        <f t="shared" si="114"/>
        <v/>
      </c>
      <c r="AG90" s="331" t="str">
        <f t="shared" si="115"/>
        <v/>
      </c>
      <c r="AH90" s="323" t="str">
        <f t="shared" si="116"/>
        <v/>
      </c>
      <c r="AI90" s="163" t="str">
        <f t="shared" si="117"/>
        <v/>
      </c>
      <c r="AJ90" s="163" t="str">
        <f t="shared" si="118"/>
        <v/>
      </c>
      <c r="AK90" s="163" t="str">
        <f t="shared" si="119"/>
        <v/>
      </c>
      <c r="AL90" s="163" t="str">
        <f t="shared" si="120"/>
        <v/>
      </c>
      <c r="AM90" s="163" t="str">
        <f t="shared" si="121"/>
        <v/>
      </c>
      <c r="AN90" s="163" t="str">
        <f t="shared" si="145"/>
        <v/>
      </c>
      <c r="AO90" s="163" t="str">
        <f t="shared" si="146"/>
        <v/>
      </c>
      <c r="AP90" s="163" t="str">
        <f t="shared" si="122"/>
        <v/>
      </c>
      <c r="AQ90" s="163" t="str">
        <f t="shared" si="123"/>
        <v/>
      </c>
      <c r="AR90" s="327" t="str">
        <f t="shared" si="124"/>
        <v/>
      </c>
      <c r="AS90" s="323" t="str">
        <f t="shared" si="125"/>
        <v/>
      </c>
      <c r="AT90" s="163" t="str">
        <f t="shared" si="126"/>
        <v/>
      </c>
      <c r="AU90" s="163" t="str">
        <f t="shared" si="127"/>
        <v/>
      </c>
      <c r="AV90" s="163" t="str">
        <f t="shared" si="128"/>
        <v/>
      </c>
      <c r="AW90" s="327" t="str">
        <f t="shared" si="129"/>
        <v/>
      </c>
      <c r="AX90" s="323" t="str">
        <f>IF($G90="","",Reserve!$P91-$R90)</f>
        <v/>
      </c>
      <c r="AY90" s="220" t="str">
        <f t="shared" si="130"/>
        <v/>
      </c>
      <c r="AZ90" s="331" t="str">
        <f>IF($G90="","",VLOOKUP($H90,Life!$A$3:$R$113,18,FALSE))</f>
        <v/>
      </c>
      <c r="BA90" s="162" t="str">
        <f t="shared" si="131"/>
        <v/>
      </c>
      <c r="BB90" s="163" t="str">
        <f t="shared" si="132"/>
        <v/>
      </c>
      <c r="BC90" s="163" t="str">
        <f t="shared" si="133"/>
        <v/>
      </c>
      <c r="BD90" s="163" t="str">
        <f t="shared" si="134"/>
        <v/>
      </c>
      <c r="BE90" s="163" t="str">
        <f t="shared" si="135"/>
        <v/>
      </c>
      <c r="BF90" s="163" t="str">
        <f t="shared" si="136"/>
        <v/>
      </c>
      <c r="BG90" s="163" t="str">
        <f t="shared" si="137"/>
        <v/>
      </c>
      <c r="BH90" s="163" t="str">
        <f t="shared" si="138"/>
        <v/>
      </c>
      <c r="BI90" s="163" t="str">
        <f t="shared" si="139"/>
        <v/>
      </c>
      <c r="BJ90" s="163" t="str">
        <f t="shared" si="140"/>
        <v/>
      </c>
      <c r="BK90" s="164" t="str">
        <f t="shared" si="141"/>
        <v/>
      </c>
      <c r="BL90" s="163" t="str">
        <f t="shared" si="147"/>
        <v/>
      </c>
      <c r="BM90" s="163" t="str">
        <f t="shared" si="148"/>
        <v/>
      </c>
      <c r="BN90" s="163" t="str">
        <f t="shared" si="149"/>
        <v/>
      </c>
      <c r="BO90" s="163" t="str">
        <f t="shared" si="150"/>
        <v/>
      </c>
      <c r="BP90" s="163" t="str">
        <f t="shared" si="151"/>
        <v/>
      </c>
      <c r="BQ90" s="163" t="str">
        <f t="shared" si="152"/>
        <v/>
      </c>
      <c r="BR90" s="163" t="str">
        <f t="shared" si="153"/>
        <v/>
      </c>
      <c r="BS90" s="163" t="str">
        <f t="shared" si="154"/>
        <v/>
      </c>
      <c r="BT90" s="163" t="str">
        <f t="shared" si="155"/>
        <v/>
      </c>
      <c r="BU90" s="164" t="str">
        <f t="shared" si="156"/>
        <v/>
      </c>
    </row>
    <row r="91" spans="6:73" x14ac:dyDescent="0.3">
      <c r="F91" s="36">
        <v>87</v>
      </c>
      <c r="G91" s="363" t="str">
        <f t="shared" si="101"/>
        <v/>
      </c>
      <c r="H91" s="153" t="str">
        <f t="shared" si="102"/>
        <v/>
      </c>
      <c r="I91" s="323" t="str">
        <f t="shared" si="103"/>
        <v/>
      </c>
      <c r="J91" s="163" t="str">
        <f t="shared" si="104"/>
        <v/>
      </c>
      <c r="K91" s="327" t="str">
        <f>IF($G91="","",Reserve!N91)</f>
        <v/>
      </c>
      <c r="L91" s="163" t="str">
        <f t="shared" si="142"/>
        <v/>
      </c>
      <c r="M91" s="163" t="str">
        <f t="shared" si="143"/>
        <v/>
      </c>
      <c r="N91" s="163" t="str">
        <f t="shared" si="144"/>
        <v/>
      </c>
      <c r="O91" s="163" t="str">
        <f t="shared" si="105"/>
        <v/>
      </c>
      <c r="P91" s="327" t="str">
        <f t="shared" si="106"/>
        <v/>
      </c>
      <c r="Q91" s="330" t="str">
        <f>IF($G91="","",Reserve!$I91)</f>
        <v/>
      </c>
      <c r="R91" s="323" t="str">
        <f>IF($G91="","",Reserve!$J92+Reserve!$K92)</f>
        <v/>
      </c>
      <c r="S91" s="163" t="str">
        <f>IF($G91="","",Change!$G92)</f>
        <v/>
      </c>
      <c r="T91" s="163" t="str">
        <f t="shared" si="157"/>
        <v/>
      </c>
      <c r="U91" s="331" t="str">
        <f t="shared" si="107"/>
        <v/>
      </c>
      <c r="V91" s="323" t="str">
        <f>IF($G91="","",Reserve!$Q92-$R91)</f>
        <v/>
      </c>
      <c r="W91" s="163" t="str">
        <f>IF($G91="","",Reserve!$S92)</f>
        <v/>
      </c>
      <c r="X91" s="327" t="str">
        <f t="shared" si="108"/>
        <v/>
      </c>
      <c r="Y91" s="334" t="str">
        <f t="shared" si="109"/>
        <v/>
      </c>
      <c r="Z91" s="220" t="str">
        <f>IF($G91="","",VLOOKUP(H91,Life!$A$3:$Q$113,$B$6+1,FALSE))</f>
        <v/>
      </c>
      <c r="AA91" s="220" t="str">
        <f t="shared" si="110"/>
        <v/>
      </c>
      <c r="AB91" s="220" t="str">
        <f t="shared" si="111"/>
        <v/>
      </c>
      <c r="AC91" s="331" t="str">
        <f>IF($G91="","",HLOOKUP($G91,AssetShare_Table!$B$84:$G$85,2)*$D$11)</f>
        <v/>
      </c>
      <c r="AD91" s="334" t="str">
        <f t="shared" si="112"/>
        <v/>
      </c>
      <c r="AE91" s="220" t="str">
        <f t="shared" si="113"/>
        <v/>
      </c>
      <c r="AF91" s="220" t="str">
        <f t="shared" si="114"/>
        <v/>
      </c>
      <c r="AG91" s="331" t="str">
        <f t="shared" si="115"/>
        <v/>
      </c>
      <c r="AH91" s="323" t="str">
        <f t="shared" si="116"/>
        <v/>
      </c>
      <c r="AI91" s="163" t="str">
        <f t="shared" si="117"/>
        <v/>
      </c>
      <c r="AJ91" s="163" t="str">
        <f t="shared" si="118"/>
        <v/>
      </c>
      <c r="AK91" s="163" t="str">
        <f t="shared" si="119"/>
        <v/>
      </c>
      <c r="AL91" s="163" t="str">
        <f t="shared" si="120"/>
        <v/>
      </c>
      <c r="AM91" s="163" t="str">
        <f t="shared" si="121"/>
        <v/>
      </c>
      <c r="AN91" s="163" t="str">
        <f t="shared" si="145"/>
        <v/>
      </c>
      <c r="AO91" s="163" t="str">
        <f t="shared" si="146"/>
        <v/>
      </c>
      <c r="AP91" s="163" t="str">
        <f t="shared" si="122"/>
        <v/>
      </c>
      <c r="AQ91" s="163" t="str">
        <f t="shared" si="123"/>
        <v/>
      </c>
      <c r="AR91" s="327" t="str">
        <f t="shared" si="124"/>
        <v/>
      </c>
      <c r="AS91" s="323" t="str">
        <f t="shared" si="125"/>
        <v/>
      </c>
      <c r="AT91" s="163" t="str">
        <f t="shared" si="126"/>
        <v/>
      </c>
      <c r="AU91" s="163" t="str">
        <f t="shared" si="127"/>
        <v/>
      </c>
      <c r="AV91" s="163" t="str">
        <f t="shared" si="128"/>
        <v/>
      </c>
      <c r="AW91" s="327" t="str">
        <f t="shared" si="129"/>
        <v/>
      </c>
      <c r="AX91" s="323" t="str">
        <f>IF($G91="","",Reserve!$P92-$R91)</f>
        <v/>
      </c>
      <c r="AY91" s="220" t="str">
        <f t="shared" si="130"/>
        <v/>
      </c>
      <c r="AZ91" s="331" t="str">
        <f>IF($G91="","",VLOOKUP($H91,Life!$A$3:$R$113,18,FALSE))</f>
        <v/>
      </c>
      <c r="BA91" s="162" t="str">
        <f t="shared" si="131"/>
        <v/>
      </c>
      <c r="BB91" s="163" t="str">
        <f t="shared" si="132"/>
        <v/>
      </c>
      <c r="BC91" s="163" t="str">
        <f t="shared" si="133"/>
        <v/>
      </c>
      <c r="BD91" s="163" t="str">
        <f t="shared" si="134"/>
        <v/>
      </c>
      <c r="BE91" s="163" t="str">
        <f t="shared" si="135"/>
        <v/>
      </c>
      <c r="BF91" s="163" t="str">
        <f t="shared" si="136"/>
        <v/>
      </c>
      <c r="BG91" s="163" t="str">
        <f t="shared" si="137"/>
        <v/>
      </c>
      <c r="BH91" s="163" t="str">
        <f t="shared" si="138"/>
        <v/>
      </c>
      <c r="BI91" s="163" t="str">
        <f t="shared" si="139"/>
        <v/>
      </c>
      <c r="BJ91" s="163" t="str">
        <f t="shared" si="140"/>
        <v/>
      </c>
      <c r="BK91" s="164" t="str">
        <f t="shared" si="141"/>
        <v/>
      </c>
      <c r="BL91" s="163" t="str">
        <f t="shared" si="147"/>
        <v/>
      </c>
      <c r="BM91" s="163" t="str">
        <f t="shared" si="148"/>
        <v/>
      </c>
      <c r="BN91" s="163" t="str">
        <f t="shared" si="149"/>
        <v/>
      </c>
      <c r="BO91" s="163" t="str">
        <f t="shared" si="150"/>
        <v/>
      </c>
      <c r="BP91" s="163" t="str">
        <f t="shared" si="151"/>
        <v/>
      </c>
      <c r="BQ91" s="163" t="str">
        <f t="shared" si="152"/>
        <v/>
      </c>
      <c r="BR91" s="163" t="str">
        <f t="shared" si="153"/>
        <v/>
      </c>
      <c r="BS91" s="163" t="str">
        <f t="shared" si="154"/>
        <v/>
      </c>
      <c r="BT91" s="163" t="str">
        <f t="shared" si="155"/>
        <v/>
      </c>
      <c r="BU91" s="164" t="str">
        <f t="shared" si="156"/>
        <v/>
      </c>
    </row>
    <row r="92" spans="6:73" x14ac:dyDescent="0.3">
      <c r="F92" s="36">
        <v>88</v>
      </c>
      <c r="G92" s="363" t="str">
        <f t="shared" si="101"/>
        <v/>
      </c>
      <c r="H92" s="153" t="str">
        <f t="shared" si="102"/>
        <v/>
      </c>
      <c r="I92" s="323" t="str">
        <f t="shared" si="103"/>
        <v/>
      </c>
      <c r="J92" s="163" t="str">
        <f t="shared" si="104"/>
        <v/>
      </c>
      <c r="K92" s="327" t="str">
        <f>IF($G92="","",Reserve!N92)</f>
        <v/>
      </c>
      <c r="L92" s="163" t="str">
        <f t="shared" si="142"/>
        <v/>
      </c>
      <c r="M92" s="163" t="str">
        <f t="shared" si="143"/>
        <v/>
      </c>
      <c r="N92" s="163" t="str">
        <f t="shared" si="144"/>
        <v/>
      </c>
      <c r="O92" s="163" t="str">
        <f t="shared" si="105"/>
        <v/>
      </c>
      <c r="P92" s="327" t="str">
        <f t="shared" si="106"/>
        <v/>
      </c>
      <c r="Q92" s="330" t="str">
        <f>IF($G92="","",Reserve!$I92)</f>
        <v/>
      </c>
      <c r="R92" s="323" t="str">
        <f>IF($G92="","",Reserve!$J93+Reserve!$K93)</f>
        <v/>
      </c>
      <c r="S92" s="163" t="str">
        <f>IF($G92="","",Change!$G93)</f>
        <v/>
      </c>
      <c r="T92" s="163" t="str">
        <f t="shared" si="157"/>
        <v/>
      </c>
      <c r="U92" s="331" t="str">
        <f t="shared" si="107"/>
        <v/>
      </c>
      <c r="V92" s="323" t="str">
        <f>IF($G92="","",Reserve!$Q93-$R92)</f>
        <v/>
      </c>
      <c r="W92" s="163" t="str">
        <f>IF($G92="","",Reserve!$S93)</f>
        <v/>
      </c>
      <c r="X92" s="327" t="str">
        <f t="shared" si="108"/>
        <v/>
      </c>
      <c r="Y92" s="334" t="str">
        <f t="shared" si="109"/>
        <v/>
      </c>
      <c r="Z92" s="220" t="str">
        <f>IF($G92="","",VLOOKUP(H92,Life!$A$3:$Q$113,$B$6+1,FALSE))</f>
        <v/>
      </c>
      <c r="AA92" s="220" t="str">
        <f t="shared" si="110"/>
        <v/>
      </c>
      <c r="AB92" s="220" t="str">
        <f t="shared" si="111"/>
        <v/>
      </c>
      <c r="AC92" s="331" t="str">
        <f>IF($G92="","",HLOOKUP($G92,AssetShare_Table!$B$84:$G$85,2)*$D$11)</f>
        <v/>
      </c>
      <c r="AD92" s="334" t="str">
        <f t="shared" si="112"/>
        <v/>
      </c>
      <c r="AE92" s="220" t="str">
        <f t="shared" si="113"/>
        <v/>
      </c>
      <c r="AF92" s="220" t="str">
        <f t="shared" si="114"/>
        <v/>
      </c>
      <c r="AG92" s="331" t="str">
        <f t="shared" si="115"/>
        <v/>
      </c>
      <c r="AH92" s="323" t="str">
        <f t="shared" si="116"/>
        <v/>
      </c>
      <c r="AI92" s="163" t="str">
        <f t="shared" si="117"/>
        <v/>
      </c>
      <c r="AJ92" s="163" t="str">
        <f t="shared" si="118"/>
        <v/>
      </c>
      <c r="AK92" s="163" t="str">
        <f t="shared" si="119"/>
        <v/>
      </c>
      <c r="AL92" s="163" t="str">
        <f t="shared" si="120"/>
        <v/>
      </c>
      <c r="AM92" s="163" t="str">
        <f t="shared" si="121"/>
        <v/>
      </c>
      <c r="AN92" s="163" t="str">
        <f t="shared" si="145"/>
        <v/>
      </c>
      <c r="AO92" s="163" t="str">
        <f t="shared" si="146"/>
        <v/>
      </c>
      <c r="AP92" s="163" t="str">
        <f t="shared" si="122"/>
        <v/>
      </c>
      <c r="AQ92" s="163" t="str">
        <f t="shared" si="123"/>
        <v/>
      </c>
      <c r="AR92" s="327" t="str">
        <f t="shared" si="124"/>
        <v/>
      </c>
      <c r="AS92" s="323" t="str">
        <f t="shared" si="125"/>
        <v/>
      </c>
      <c r="AT92" s="163" t="str">
        <f t="shared" si="126"/>
        <v/>
      </c>
      <c r="AU92" s="163" t="str">
        <f t="shared" si="127"/>
        <v/>
      </c>
      <c r="AV92" s="163" t="str">
        <f t="shared" si="128"/>
        <v/>
      </c>
      <c r="AW92" s="327" t="str">
        <f t="shared" si="129"/>
        <v/>
      </c>
      <c r="AX92" s="323" t="str">
        <f>IF($G92="","",Reserve!$P93-$R92)</f>
        <v/>
      </c>
      <c r="AY92" s="220" t="str">
        <f t="shared" si="130"/>
        <v/>
      </c>
      <c r="AZ92" s="331" t="str">
        <f>IF($G92="","",VLOOKUP($H92,Life!$A$3:$R$113,18,FALSE))</f>
        <v/>
      </c>
      <c r="BA92" s="162" t="str">
        <f t="shared" si="131"/>
        <v/>
      </c>
      <c r="BB92" s="163" t="str">
        <f t="shared" si="132"/>
        <v/>
      </c>
      <c r="BC92" s="163" t="str">
        <f t="shared" si="133"/>
        <v/>
      </c>
      <c r="BD92" s="163" t="str">
        <f t="shared" si="134"/>
        <v/>
      </c>
      <c r="BE92" s="163" t="str">
        <f t="shared" si="135"/>
        <v/>
      </c>
      <c r="BF92" s="163" t="str">
        <f t="shared" si="136"/>
        <v/>
      </c>
      <c r="BG92" s="163" t="str">
        <f t="shared" si="137"/>
        <v/>
      </c>
      <c r="BH92" s="163" t="str">
        <f t="shared" si="138"/>
        <v/>
      </c>
      <c r="BI92" s="163" t="str">
        <f t="shared" si="139"/>
        <v/>
      </c>
      <c r="BJ92" s="163" t="str">
        <f t="shared" si="140"/>
        <v/>
      </c>
      <c r="BK92" s="164" t="str">
        <f t="shared" si="141"/>
        <v/>
      </c>
      <c r="BL92" s="163" t="str">
        <f t="shared" si="147"/>
        <v/>
      </c>
      <c r="BM92" s="163" t="str">
        <f t="shared" si="148"/>
        <v/>
      </c>
      <c r="BN92" s="163" t="str">
        <f t="shared" si="149"/>
        <v/>
      </c>
      <c r="BO92" s="163" t="str">
        <f t="shared" si="150"/>
        <v/>
      </c>
      <c r="BP92" s="163" t="str">
        <f t="shared" si="151"/>
        <v/>
      </c>
      <c r="BQ92" s="163" t="str">
        <f t="shared" si="152"/>
        <v/>
      </c>
      <c r="BR92" s="163" t="str">
        <f t="shared" si="153"/>
        <v/>
      </c>
      <c r="BS92" s="163" t="str">
        <f t="shared" si="154"/>
        <v/>
      </c>
      <c r="BT92" s="163" t="str">
        <f t="shared" si="155"/>
        <v/>
      </c>
      <c r="BU92" s="164" t="str">
        <f t="shared" si="156"/>
        <v/>
      </c>
    </row>
    <row r="93" spans="6:73" x14ac:dyDescent="0.3">
      <c r="F93" s="36">
        <v>89</v>
      </c>
      <c r="G93" s="363" t="str">
        <f t="shared" si="101"/>
        <v/>
      </c>
      <c r="H93" s="153" t="str">
        <f t="shared" si="102"/>
        <v/>
      </c>
      <c r="I93" s="323" t="str">
        <f t="shared" si="103"/>
        <v/>
      </c>
      <c r="J93" s="163" t="str">
        <f t="shared" si="104"/>
        <v/>
      </c>
      <c r="K93" s="327" t="str">
        <f>IF($G93="","",Reserve!N93)</f>
        <v/>
      </c>
      <c r="L93" s="163" t="str">
        <f t="shared" si="142"/>
        <v/>
      </c>
      <c r="M93" s="163" t="str">
        <f t="shared" si="143"/>
        <v/>
      </c>
      <c r="N93" s="163" t="str">
        <f t="shared" si="144"/>
        <v/>
      </c>
      <c r="O93" s="163" t="str">
        <f t="shared" si="105"/>
        <v/>
      </c>
      <c r="P93" s="327" t="str">
        <f t="shared" si="106"/>
        <v/>
      </c>
      <c r="Q93" s="330" t="str">
        <f>IF($G93="","",Reserve!$I93)</f>
        <v/>
      </c>
      <c r="R93" s="323" t="str">
        <f>IF($G93="","",Reserve!$J94+Reserve!$K94)</f>
        <v/>
      </c>
      <c r="S93" s="163" t="str">
        <f>IF($G93="","",Change!$G94)</f>
        <v/>
      </c>
      <c r="T93" s="163" t="str">
        <f t="shared" si="157"/>
        <v/>
      </c>
      <c r="U93" s="331" t="str">
        <f t="shared" si="107"/>
        <v/>
      </c>
      <c r="V93" s="323" t="str">
        <f>IF($G93="","",Reserve!$Q94-$R93)</f>
        <v/>
      </c>
      <c r="W93" s="163" t="str">
        <f>IF($G93="","",Reserve!$S94)</f>
        <v/>
      </c>
      <c r="X93" s="327" t="str">
        <f t="shared" si="108"/>
        <v/>
      </c>
      <c r="Y93" s="334" t="str">
        <f t="shared" si="109"/>
        <v/>
      </c>
      <c r="Z93" s="220" t="str">
        <f>IF($G93="","",VLOOKUP(H93,Life!$A$3:$Q$113,$B$6+1,FALSE))</f>
        <v/>
      </c>
      <c r="AA93" s="220" t="str">
        <f t="shared" si="110"/>
        <v/>
      </c>
      <c r="AB93" s="220" t="str">
        <f t="shared" si="111"/>
        <v/>
      </c>
      <c r="AC93" s="331" t="str">
        <f>IF($G93="","",HLOOKUP($G93,AssetShare_Table!$B$84:$G$85,2)*$D$11)</f>
        <v/>
      </c>
      <c r="AD93" s="334" t="str">
        <f t="shared" si="112"/>
        <v/>
      </c>
      <c r="AE93" s="220" t="str">
        <f t="shared" si="113"/>
        <v/>
      </c>
      <c r="AF93" s="220" t="str">
        <f t="shared" si="114"/>
        <v/>
      </c>
      <c r="AG93" s="331" t="str">
        <f t="shared" si="115"/>
        <v/>
      </c>
      <c r="AH93" s="323" t="str">
        <f t="shared" si="116"/>
        <v/>
      </c>
      <c r="AI93" s="163" t="str">
        <f t="shared" si="117"/>
        <v/>
      </c>
      <c r="AJ93" s="163" t="str">
        <f t="shared" si="118"/>
        <v/>
      </c>
      <c r="AK93" s="163" t="str">
        <f t="shared" si="119"/>
        <v/>
      </c>
      <c r="AL93" s="163" t="str">
        <f t="shared" si="120"/>
        <v/>
      </c>
      <c r="AM93" s="163" t="str">
        <f t="shared" si="121"/>
        <v/>
      </c>
      <c r="AN93" s="163" t="str">
        <f t="shared" si="145"/>
        <v/>
      </c>
      <c r="AO93" s="163" t="str">
        <f t="shared" si="146"/>
        <v/>
      </c>
      <c r="AP93" s="163" t="str">
        <f t="shared" si="122"/>
        <v/>
      </c>
      <c r="AQ93" s="163" t="str">
        <f t="shared" si="123"/>
        <v/>
      </c>
      <c r="AR93" s="327" t="str">
        <f t="shared" si="124"/>
        <v/>
      </c>
      <c r="AS93" s="323" t="str">
        <f t="shared" si="125"/>
        <v/>
      </c>
      <c r="AT93" s="163" t="str">
        <f t="shared" si="126"/>
        <v/>
      </c>
      <c r="AU93" s="163" t="str">
        <f t="shared" si="127"/>
        <v/>
      </c>
      <c r="AV93" s="163" t="str">
        <f t="shared" si="128"/>
        <v/>
      </c>
      <c r="AW93" s="327" t="str">
        <f t="shared" si="129"/>
        <v/>
      </c>
      <c r="AX93" s="323" t="str">
        <f>IF($G93="","",Reserve!$P94-$R93)</f>
        <v/>
      </c>
      <c r="AY93" s="220" t="str">
        <f t="shared" si="130"/>
        <v/>
      </c>
      <c r="AZ93" s="331" t="str">
        <f>IF($G93="","",VLOOKUP($H93,Life!$A$3:$R$113,18,FALSE))</f>
        <v/>
      </c>
      <c r="BA93" s="162" t="str">
        <f t="shared" si="131"/>
        <v/>
      </c>
      <c r="BB93" s="163" t="str">
        <f t="shared" si="132"/>
        <v/>
      </c>
      <c r="BC93" s="163" t="str">
        <f t="shared" si="133"/>
        <v/>
      </c>
      <c r="BD93" s="163" t="str">
        <f t="shared" si="134"/>
        <v/>
      </c>
      <c r="BE93" s="163" t="str">
        <f t="shared" si="135"/>
        <v/>
      </c>
      <c r="BF93" s="163" t="str">
        <f t="shared" si="136"/>
        <v/>
      </c>
      <c r="BG93" s="163" t="str">
        <f t="shared" si="137"/>
        <v/>
      </c>
      <c r="BH93" s="163" t="str">
        <f t="shared" si="138"/>
        <v/>
      </c>
      <c r="BI93" s="163" t="str">
        <f t="shared" si="139"/>
        <v/>
      </c>
      <c r="BJ93" s="163" t="str">
        <f t="shared" si="140"/>
        <v/>
      </c>
      <c r="BK93" s="164" t="str">
        <f t="shared" si="141"/>
        <v/>
      </c>
      <c r="BL93" s="163" t="str">
        <f t="shared" si="147"/>
        <v/>
      </c>
      <c r="BM93" s="163" t="str">
        <f t="shared" si="148"/>
        <v/>
      </c>
      <c r="BN93" s="163" t="str">
        <f t="shared" si="149"/>
        <v/>
      </c>
      <c r="BO93" s="163" t="str">
        <f t="shared" si="150"/>
        <v/>
      </c>
      <c r="BP93" s="163" t="str">
        <f t="shared" si="151"/>
        <v/>
      </c>
      <c r="BQ93" s="163" t="str">
        <f t="shared" si="152"/>
        <v/>
      </c>
      <c r="BR93" s="163" t="str">
        <f t="shared" si="153"/>
        <v/>
      </c>
      <c r="BS93" s="163" t="str">
        <f t="shared" si="154"/>
        <v/>
      </c>
      <c r="BT93" s="163" t="str">
        <f t="shared" si="155"/>
        <v/>
      </c>
      <c r="BU93" s="164" t="str">
        <f t="shared" si="156"/>
        <v/>
      </c>
    </row>
    <row r="94" spans="6:73" x14ac:dyDescent="0.3">
      <c r="F94" s="320">
        <v>90</v>
      </c>
      <c r="G94" s="367" t="str">
        <f t="shared" si="101"/>
        <v/>
      </c>
      <c r="H94" s="155" t="str">
        <f t="shared" si="102"/>
        <v/>
      </c>
      <c r="I94" s="324" t="str">
        <f t="shared" si="103"/>
        <v/>
      </c>
      <c r="J94" s="166" t="str">
        <f t="shared" si="104"/>
        <v/>
      </c>
      <c r="K94" s="328" t="str">
        <f>IF($G94="","",Reserve!N94)</f>
        <v/>
      </c>
      <c r="L94" s="166" t="str">
        <f t="shared" si="142"/>
        <v/>
      </c>
      <c r="M94" s="166" t="str">
        <f t="shared" si="143"/>
        <v/>
      </c>
      <c r="N94" s="166" t="str">
        <f t="shared" si="144"/>
        <v/>
      </c>
      <c r="O94" s="166" t="str">
        <f t="shared" si="105"/>
        <v/>
      </c>
      <c r="P94" s="328" t="str">
        <f t="shared" si="106"/>
        <v/>
      </c>
      <c r="Q94" s="330" t="str">
        <f>IF($G94="","",Reserve!$I94)</f>
        <v/>
      </c>
      <c r="R94" s="324" t="str">
        <f>IF($G94="","",Reserve!$J95+Reserve!$K95)</f>
        <v/>
      </c>
      <c r="S94" s="166" t="str">
        <f>IF($G94="","",Change!$G95)</f>
        <v/>
      </c>
      <c r="T94" s="163" t="str">
        <f t="shared" si="157"/>
        <v/>
      </c>
      <c r="U94" s="332" t="str">
        <f t="shared" si="107"/>
        <v/>
      </c>
      <c r="V94" s="324" t="str">
        <f>IF($G94="","",Reserve!$Q95-$R94)</f>
        <v/>
      </c>
      <c r="W94" s="166" t="str">
        <f>IF($G94="","",Reserve!$S95)</f>
        <v/>
      </c>
      <c r="X94" s="328" t="str">
        <f t="shared" si="108"/>
        <v/>
      </c>
      <c r="Y94" s="335" t="str">
        <f t="shared" si="109"/>
        <v/>
      </c>
      <c r="Z94" s="235" t="str">
        <f>IF($G94="","",VLOOKUP(H94,Life!$A$3:$Q$113,$B$6+1,FALSE))</f>
        <v/>
      </c>
      <c r="AA94" s="235" t="str">
        <f t="shared" si="110"/>
        <v/>
      </c>
      <c r="AB94" s="235" t="str">
        <f t="shared" si="111"/>
        <v/>
      </c>
      <c r="AC94" s="332" t="str">
        <f>IF($G94="","",HLOOKUP($G94,AssetShare_Table!$B$84:$G$85,2)*$D$11)</f>
        <v/>
      </c>
      <c r="AD94" s="335" t="str">
        <f t="shared" si="112"/>
        <v/>
      </c>
      <c r="AE94" s="235" t="str">
        <f t="shared" si="113"/>
        <v/>
      </c>
      <c r="AF94" s="235" t="str">
        <f t="shared" si="114"/>
        <v/>
      </c>
      <c r="AG94" s="332" t="str">
        <f t="shared" si="115"/>
        <v/>
      </c>
      <c r="AH94" s="324" t="str">
        <f t="shared" si="116"/>
        <v/>
      </c>
      <c r="AI94" s="166" t="str">
        <f t="shared" si="117"/>
        <v/>
      </c>
      <c r="AJ94" s="166" t="str">
        <f t="shared" si="118"/>
        <v/>
      </c>
      <c r="AK94" s="166" t="str">
        <f t="shared" si="119"/>
        <v/>
      </c>
      <c r="AL94" s="166" t="str">
        <f t="shared" si="120"/>
        <v/>
      </c>
      <c r="AM94" s="166" t="str">
        <f t="shared" si="121"/>
        <v/>
      </c>
      <c r="AN94" s="163" t="str">
        <f t="shared" si="145"/>
        <v/>
      </c>
      <c r="AO94" s="166" t="str">
        <f t="shared" si="146"/>
        <v/>
      </c>
      <c r="AP94" s="166" t="str">
        <f t="shared" si="122"/>
        <v/>
      </c>
      <c r="AQ94" s="166" t="str">
        <f t="shared" si="123"/>
        <v/>
      </c>
      <c r="AR94" s="328" t="str">
        <f t="shared" si="124"/>
        <v/>
      </c>
      <c r="AS94" s="324" t="str">
        <f t="shared" si="125"/>
        <v/>
      </c>
      <c r="AT94" s="166" t="str">
        <f t="shared" si="126"/>
        <v/>
      </c>
      <c r="AU94" s="166" t="str">
        <f t="shared" si="127"/>
        <v/>
      </c>
      <c r="AV94" s="166" t="str">
        <f t="shared" si="128"/>
        <v/>
      </c>
      <c r="AW94" s="328" t="str">
        <f t="shared" si="129"/>
        <v/>
      </c>
      <c r="AX94" s="324" t="str">
        <f>IF($G94="","",Reserve!$P95-$R94)</f>
        <v/>
      </c>
      <c r="AY94" s="235" t="str">
        <f t="shared" si="130"/>
        <v/>
      </c>
      <c r="AZ94" s="332" t="str">
        <f>IF($G94="","",VLOOKUP($H94,Life!$A$3:$R$113,18,FALSE))</f>
        <v/>
      </c>
      <c r="BA94" s="165" t="str">
        <f t="shared" si="131"/>
        <v/>
      </c>
      <c r="BB94" s="166" t="str">
        <f t="shared" si="132"/>
        <v/>
      </c>
      <c r="BC94" s="166" t="str">
        <f t="shared" si="133"/>
        <v/>
      </c>
      <c r="BD94" s="166" t="str">
        <f t="shared" si="134"/>
        <v/>
      </c>
      <c r="BE94" s="166" t="str">
        <f t="shared" si="135"/>
        <v/>
      </c>
      <c r="BF94" s="166" t="str">
        <f t="shared" si="136"/>
        <v/>
      </c>
      <c r="BG94" s="166" t="str">
        <f t="shared" si="137"/>
        <v/>
      </c>
      <c r="BH94" s="166" t="str">
        <f t="shared" si="138"/>
        <v/>
      </c>
      <c r="BI94" s="166" t="str">
        <f t="shared" si="139"/>
        <v/>
      </c>
      <c r="BJ94" s="166" t="str">
        <f t="shared" si="140"/>
        <v/>
      </c>
      <c r="BK94" s="167" t="str">
        <f t="shared" si="141"/>
        <v/>
      </c>
      <c r="BL94" s="166" t="str">
        <f t="shared" si="147"/>
        <v/>
      </c>
      <c r="BM94" s="163" t="str">
        <f t="shared" si="148"/>
        <v/>
      </c>
      <c r="BN94" s="166" t="str">
        <f t="shared" si="149"/>
        <v/>
      </c>
      <c r="BO94" s="166" t="str">
        <f t="shared" si="150"/>
        <v/>
      </c>
      <c r="BP94" s="166" t="str">
        <f t="shared" si="151"/>
        <v/>
      </c>
      <c r="BQ94" s="166" t="str">
        <f t="shared" si="152"/>
        <v/>
      </c>
      <c r="BR94" s="166" t="str">
        <f t="shared" si="153"/>
        <v/>
      </c>
      <c r="BS94" s="166" t="str">
        <f t="shared" si="154"/>
        <v/>
      </c>
      <c r="BT94" s="166" t="str">
        <f t="shared" si="155"/>
        <v/>
      </c>
      <c r="BU94" s="167" t="str">
        <f t="shared" si="156"/>
        <v/>
      </c>
    </row>
    <row r="95" spans="6:73" x14ac:dyDescent="0.3">
      <c r="F95" s="36">
        <v>91</v>
      </c>
      <c r="G95" s="363" t="str">
        <f t="shared" si="101"/>
        <v/>
      </c>
      <c r="H95" s="153" t="str">
        <f t="shared" si="102"/>
        <v/>
      </c>
      <c r="I95" s="323" t="str">
        <f t="shared" si="103"/>
        <v/>
      </c>
      <c r="J95" s="163" t="str">
        <f t="shared" si="104"/>
        <v/>
      </c>
      <c r="K95" s="327" t="str">
        <f>IF($G95="","",Reserve!N95)</f>
        <v/>
      </c>
      <c r="L95" s="163" t="str">
        <f t="shared" si="142"/>
        <v/>
      </c>
      <c r="M95" s="163" t="str">
        <f t="shared" si="143"/>
        <v/>
      </c>
      <c r="N95" s="163" t="str">
        <f t="shared" si="144"/>
        <v/>
      </c>
      <c r="O95" s="163" t="str">
        <f t="shared" si="105"/>
        <v/>
      </c>
      <c r="P95" s="327" t="str">
        <f t="shared" si="106"/>
        <v/>
      </c>
      <c r="Q95" s="330" t="str">
        <f>IF($G95="","",Reserve!$I95)</f>
        <v/>
      </c>
      <c r="R95" s="323" t="str">
        <f>IF($G95="","",Reserve!$J96+Reserve!$K96)</f>
        <v/>
      </c>
      <c r="S95" s="163" t="str">
        <f>IF($G95="","",Change!$G96)</f>
        <v/>
      </c>
      <c r="T95" s="163" t="str">
        <f t="shared" si="157"/>
        <v/>
      </c>
      <c r="U95" s="331" t="str">
        <f t="shared" si="107"/>
        <v/>
      </c>
      <c r="V95" s="323" t="str">
        <f>IF($G95="","",Reserve!$Q96-$R95)</f>
        <v/>
      </c>
      <c r="W95" s="163" t="str">
        <f>IF($G95="","",Reserve!$S96)</f>
        <v/>
      </c>
      <c r="X95" s="327" t="str">
        <f t="shared" si="108"/>
        <v/>
      </c>
      <c r="Y95" s="334" t="str">
        <f t="shared" si="109"/>
        <v/>
      </c>
      <c r="Z95" s="220" t="str">
        <f>IF($G95="","",VLOOKUP(H95,Life!$A$3:$Q$113,$B$6+1,FALSE))</f>
        <v/>
      </c>
      <c r="AA95" s="220" t="str">
        <f t="shared" si="110"/>
        <v/>
      </c>
      <c r="AB95" s="220" t="str">
        <f t="shared" si="111"/>
        <v/>
      </c>
      <c r="AC95" s="331" t="str">
        <f>IF($G95="","",HLOOKUP($G95,AssetShare_Table!$B$84:$G$85,2)*$D$11)</f>
        <v/>
      </c>
      <c r="AD95" s="334" t="str">
        <f t="shared" si="112"/>
        <v/>
      </c>
      <c r="AE95" s="220" t="str">
        <f t="shared" si="113"/>
        <v/>
      </c>
      <c r="AF95" s="220" t="str">
        <f t="shared" si="114"/>
        <v/>
      </c>
      <c r="AG95" s="331" t="str">
        <f t="shared" si="115"/>
        <v/>
      </c>
      <c r="AH95" s="323" t="str">
        <f t="shared" si="116"/>
        <v/>
      </c>
      <c r="AI95" s="163" t="str">
        <f t="shared" si="117"/>
        <v/>
      </c>
      <c r="AJ95" s="163" t="str">
        <f t="shared" si="118"/>
        <v/>
      </c>
      <c r="AK95" s="163" t="str">
        <f t="shared" si="119"/>
        <v/>
      </c>
      <c r="AL95" s="163" t="str">
        <f t="shared" si="120"/>
        <v/>
      </c>
      <c r="AM95" s="163" t="str">
        <f t="shared" si="121"/>
        <v/>
      </c>
      <c r="AN95" s="163" t="str">
        <f t="shared" si="145"/>
        <v/>
      </c>
      <c r="AO95" s="163" t="str">
        <f t="shared" si="146"/>
        <v/>
      </c>
      <c r="AP95" s="163" t="str">
        <f t="shared" si="122"/>
        <v/>
      </c>
      <c r="AQ95" s="163" t="str">
        <f t="shared" si="123"/>
        <v/>
      </c>
      <c r="AR95" s="327" t="str">
        <f t="shared" si="124"/>
        <v/>
      </c>
      <c r="AS95" s="323" t="str">
        <f t="shared" si="125"/>
        <v/>
      </c>
      <c r="AT95" s="163" t="str">
        <f t="shared" si="126"/>
        <v/>
      </c>
      <c r="AU95" s="163" t="str">
        <f t="shared" si="127"/>
        <v/>
      </c>
      <c r="AV95" s="163" t="str">
        <f t="shared" si="128"/>
        <v/>
      </c>
      <c r="AW95" s="327" t="str">
        <f t="shared" si="129"/>
        <v/>
      </c>
      <c r="AX95" s="323" t="str">
        <f>IF($G95="","",Reserve!$P96-$R95)</f>
        <v/>
      </c>
      <c r="AY95" s="220" t="str">
        <f t="shared" si="130"/>
        <v/>
      </c>
      <c r="AZ95" s="331" t="str">
        <f>IF($G95="","",VLOOKUP($H95,Life!$A$3:$R$113,18,FALSE))</f>
        <v/>
      </c>
      <c r="BA95" s="162" t="str">
        <f t="shared" si="131"/>
        <v/>
      </c>
      <c r="BB95" s="163" t="str">
        <f t="shared" si="132"/>
        <v/>
      </c>
      <c r="BC95" s="163" t="str">
        <f t="shared" si="133"/>
        <v/>
      </c>
      <c r="BD95" s="163" t="str">
        <f t="shared" si="134"/>
        <v/>
      </c>
      <c r="BE95" s="163" t="str">
        <f t="shared" si="135"/>
        <v/>
      </c>
      <c r="BF95" s="163" t="str">
        <f t="shared" si="136"/>
        <v/>
      </c>
      <c r="BG95" s="163" t="str">
        <f t="shared" si="137"/>
        <v/>
      </c>
      <c r="BH95" s="163" t="str">
        <f t="shared" si="138"/>
        <v/>
      </c>
      <c r="BI95" s="163" t="str">
        <f t="shared" si="139"/>
        <v/>
      </c>
      <c r="BJ95" s="163" t="str">
        <f t="shared" si="140"/>
        <v/>
      </c>
      <c r="BK95" s="164" t="str">
        <f t="shared" si="141"/>
        <v/>
      </c>
      <c r="BL95" s="163" t="str">
        <f t="shared" si="147"/>
        <v/>
      </c>
      <c r="BM95" s="163" t="str">
        <f t="shared" si="148"/>
        <v/>
      </c>
      <c r="BN95" s="163" t="str">
        <f t="shared" si="149"/>
        <v/>
      </c>
      <c r="BO95" s="163" t="str">
        <f t="shared" si="150"/>
        <v/>
      </c>
      <c r="BP95" s="163" t="str">
        <f t="shared" si="151"/>
        <v/>
      </c>
      <c r="BQ95" s="163" t="str">
        <f t="shared" si="152"/>
        <v/>
      </c>
      <c r="BR95" s="163" t="str">
        <f t="shared" si="153"/>
        <v/>
      </c>
      <c r="BS95" s="163" t="str">
        <f t="shared" si="154"/>
        <v/>
      </c>
      <c r="BT95" s="163" t="str">
        <f t="shared" si="155"/>
        <v/>
      </c>
      <c r="BU95" s="164" t="str">
        <f t="shared" si="156"/>
        <v/>
      </c>
    </row>
    <row r="96" spans="6:73" x14ac:dyDescent="0.3">
      <c r="F96" s="36">
        <v>92</v>
      </c>
      <c r="G96" s="363" t="str">
        <f t="shared" si="101"/>
        <v/>
      </c>
      <c r="H96" s="153" t="str">
        <f t="shared" si="102"/>
        <v/>
      </c>
      <c r="I96" s="323" t="str">
        <f t="shared" si="103"/>
        <v/>
      </c>
      <c r="J96" s="163" t="str">
        <f t="shared" si="104"/>
        <v/>
      </c>
      <c r="K96" s="327" t="str">
        <f>IF($G96="","",Reserve!N96)</f>
        <v/>
      </c>
      <c r="L96" s="163" t="str">
        <f t="shared" si="142"/>
        <v/>
      </c>
      <c r="M96" s="163" t="str">
        <f t="shared" si="143"/>
        <v/>
      </c>
      <c r="N96" s="163" t="str">
        <f t="shared" si="144"/>
        <v/>
      </c>
      <c r="O96" s="163" t="str">
        <f t="shared" si="105"/>
        <v/>
      </c>
      <c r="P96" s="327" t="str">
        <f t="shared" si="106"/>
        <v/>
      </c>
      <c r="Q96" s="330" t="str">
        <f>IF($G96="","",Reserve!$I96)</f>
        <v/>
      </c>
      <c r="R96" s="323" t="str">
        <f>IF($G96="","",Reserve!$J97+Reserve!$K97)</f>
        <v/>
      </c>
      <c r="S96" s="163" t="str">
        <f>IF($G96="","",Change!$G97)</f>
        <v/>
      </c>
      <c r="T96" s="163" t="str">
        <f t="shared" si="157"/>
        <v/>
      </c>
      <c r="U96" s="331" t="str">
        <f t="shared" si="107"/>
        <v/>
      </c>
      <c r="V96" s="323" t="str">
        <f>IF($G96="","",Reserve!$Q97-$R96)</f>
        <v/>
      </c>
      <c r="W96" s="163" t="str">
        <f>IF($G96="","",Reserve!$S97)</f>
        <v/>
      </c>
      <c r="X96" s="327" t="str">
        <f t="shared" si="108"/>
        <v/>
      </c>
      <c r="Y96" s="334" t="str">
        <f t="shared" si="109"/>
        <v/>
      </c>
      <c r="Z96" s="220" t="str">
        <f>IF($G96="","",VLOOKUP(H96,Life!$A$3:$Q$113,$B$6+1,FALSE))</f>
        <v/>
      </c>
      <c r="AA96" s="220" t="str">
        <f t="shared" si="110"/>
        <v/>
      </c>
      <c r="AB96" s="220" t="str">
        <f t="shared" si="111"/>
        <v/>
      </c>
      <c r="AC96" s="331" t="str">
        <f>IF($G96="","",HLOOKUP($G96,AssetShare_Table!$B$84:$G$85,2)*$D$11)</f>
        <v/>
      </c>
      <c r="AD96" s="334" t="str">
        <f t="shared" si="112"/>
        <v/>
      </c>
      <c r="AE96" s="220" t="str">
        <f t="shared" si="113"/>
        <v/>
      </c>
      <c r="AF96" s="220" t="str">
        <f t="shared" si="114"/>
        <v/>
      </c>
      <c r="AG96" s="331" t="str">
        <f t="shared" si="115"/>
        <v/>
      </c>
      <c r="AH96" s="323" t="str">
        <f t="shared" si="116"/>
        <v/>
      </c>
      <c r="AI96" s="163" t="str">
        <f t="shared" si="117"/>
        <v/>
      </c>
      <c r="AJ96" s="163" t="str">
        <f t="shared" si="118"/>
        <v/>
      </c>
      <c r="AK96" s="163" t="str">
        <f t="shared" si="119"/>
        <v/>
      </c>
      <c r="AL96" s="163" t="str">
        <f t="shared" si="120"/>
        <v/>
      </c>
      <c r="AM96" s="163" t="str">
        <f t="shared" si="121"/>
        <v/>
      </c>
      <c r="AN96" s="163" t="str">
        <f t="shared" si="145"/>
        <v/>
      </c>
      <c r="AO96" s="163" t="str">
        <f t="shared" si="146"/>
        <v/>
      </c>
      <c r="AP96" s="163" t="str">
        <f t="shared" si="122"/>
        <v/>
      </c>
      <c r="AQ96" s="163" t="str">
        <f t="shared" si="123"/>
        <v/>
      </c>
      <c r="AR96" s="327" t="str">
        <f t="shared" si="124"/>
        <v/>
      </c>
      <c r="AS96" s="323" t="str">
        <f t="shared" si="125"/>
        <v/>
      </c>
      <c r="AT96" s="163" t="str">
        <f t="shared" si="126"/>
        <v/>
      </c>
      <c r="AU96" s="163" t="str">
        <f t="shared" si="127"/>
        <v/>
      </c>
      <c r="AV96" s="163" t="str">
        <f t="shared" si="128"/>
        <v/>
      </c>
      <c r="AW96" s="327" t="str">
        <f t="shared" si="129"/>
        <v/>
      </c>
      <c r="AX96" s="323" t="str">
        <f>IF($G96="","",Reserve!$P97-$R96)</f>
        <v/>
      </c>
      <c r="AY96" s="220" t="str">
        <f t="shared" si="130"/>
        <v/>
      </c>
      <c r="AZ96" s="331" t="str">
        <f>IF($G96="","",VLOOKUP($H96,Life!$A$3:$R$113,18,FALSE))</f>
        <v/>
      </c>
      <c r="BA96" s="162" t="str">
        <f t="shared" si="131"/>
        <v/>
      </c>
      <c r="BB96" s="163" t="str">
        <f t="shared" si="132"/>
        <v/>
      </c>
      <c r="BC96" s="163" t="str">
        <f t="shared" si="133"/>
        <v/>
      </c>
      <c r="BD96" s="163" t="str">
        <f t="shared" si="134"/>
        <v/>
      </c>
      <c r="BE96" s="163" t="str">
        <f t="shared" si="135"/>
        <v/>
      </c>
      <c r="BF96" s="163" t="str">
        <f t="shared" si="136"/>
        <v/>
      </c>
      <c r="BG96" s="163" t="str">
        <f t="shared" si="137"/>
        <v/>
      </c>
      <c r="BH96" s="163" t="str">
        <f t="shared" si="138"/>
        <v/>
      </c>
      <c r="BI96" s="163" t="str">
        <f t="shared" si="139"/>
        <v/>
      </c>
      <c r="BJ96" s="163" t="str">
        <f t="shared" si="140"/>
        <v/>
      </c>
      <c r="BK96" s="164" t="str">
        <f t="shared" si="141"/>
        <v/>
      </c>
      <c r="BL96" s="163" t="str">
        <f t="shared" si="147"/>
        <v/>
      </c>
      <c r="BM96" s="163" t="str">
        <f t="shared" si="148"/>
        <v/>
      </c>
      <c r="BN96" s="163" t="str">
        <f t="shared" si="149"/>
        <v/>
      </c>
      <c r="BO96" s="163" t="str">
        <f t="shared" si="150"/>
        <v/>
      </c>
      <c r="BP96" s="163" t="str">
        <f t="shared" si="151"/>
        <v/>
      </c>
      <c r="BQ96" s="163" t="str">
        <f t="shared" si="152"/>
        <v/>
      </c>
      <c r="BR96" s="163" t="str">
        <f t="shared" si="153"/>
        <v/>
      </c>
      <c r="BS96" s="163" t="str">
        <f t="shared" si="154"/>
        <v/>
      </c>
      <c r="BT96" s="163" t="str">
        <f t="shared" si="155"/>
        <v/>
      </c>
      <c r="BU96" s="164" t="str">
        <f t="shared" si="156"/>
        <v/>
      </c>
    </row>
    <row r="97" spans="6:73" x14ac:dyDescent="0.3">
      <c r="F97" s="36">
        <v>93</v>
      </c>
      <c r="G97" s="363" t="str">
        <f t="shared" si="101"/>
        <v/>
      </c>
      <c r="H97" s="153" t="str">
        <f t="shared" si="102"/>
        <v/>
      </c>
      <c r="I97" s="323" t="str">
        <f t="shared" si="103"/>
        <v/>
      </c>
      <c r="J97" s="163" t="str">
        <f t="shared" si="104"/>
        <v/>
      </c>
      <c r="K97" s="327" t="str">
        <f>IF($G97="","",Reserve!N97)</f>
        <v/>
      </c>
      <c r="L97" s="163" t="str">
        <f t="shared" si="142"/>
        <v/>
      </c>
      <c r="M97" s="163" t="str">
        <f t="shared" si="143"/>
        <v/>
      </c>
      <c r="N97" s="163" t="str">
        <f t="shared" si="144"/>
        <v/>
      </c>
      <c r="O97" s="163" t="str">
        <f t="shared" si="105"/>
        <v/>
      </c>
      <c r="P97" s="327" t="str">
        <f t="shared" si="106"/>
        <v/>
      </c>
      <c r="Q97" s="330" t="str">
        <f>IF($G97="","",Reserve!$I97)</f>
        <v/>
      </c>
      <c r="R97" s="323" t="str">
        <f>IF($G97="","",Reserve!$J98+Reserve!$K98)</f>
        <v/>
      </c>
      <c r="S97" s="163" t="str">
        <f>IF($G97="","",Change!$G98)</f>
        <v/>
      </c>
      <c r="T97" s="163" t="str">
        <f t="shared" si="157"/>
        <v/>
      </c>
      <c r="U97" s="331" t="str">
        <f t="shared" si="107"/>
        <v/>
      </c>
      <c r="V97" s="323" t="str">
        <f>IF($G97="","",Reserve!$Q98-$R97)</f>
        <v/>
      </c>
      <c r="W97" s="163" t="str">
        <f>IF($G97="","",Reserve!$S98)</f>
        <v/>
      </c>
      <c r="X97" s="327" t="str">
        <f t="shared" si="108"/>
        <v/>
      </c>
      <c r="Y97" s="334" t="str">
        <f t="shared" si="109"/>
        <v/>
      </c>
      <c r="Z97" s="220" t="str">
        <f>IF($G97="","",VLOOKUP(H97,Life!$A$3:$Q$113,$B$6+1,FALSE))</f>
        <v/>
      </c>
      <c r="AA97" s="220" t="str">
        <f t="shared" si="110"/>
        <v/>
      </c>
      <c r="AB97" s="220" t="str">
        <f t="shared" si="111"/>
        <v/>
      </c>
      <c r="AC97" s="331" t="str">
        <f>IF($G97="","",HLOOKUP($G97,AssetShare_Table!$B$84:$G$85,2)*$D$11)</f>
        <v/>
      </c>
      <c r="AD97" s="334" t="str">
        <f t="shared" si="112"/>
        <v/>
      </c>
      <c r="AE97" s="220" t="str">
        <f t="shared" si="113"/>
        <v/>
      </c>
      <c r="AF97" s="220" t="str">
        <f t="shared" si="114"/>
        <v/>
      </c>
      <c r="AG97" s="331" t="str">
        <f t="shared" si="115"/>
        <v/>
      </c>
      <c r="AH97" s="323" t="str">
        <f t="shared" si="116"/>
        <v/>
      </c>
      <c r="AI97" s="163" t="str">
        <f t="shared" si="117"/>
        <v/>
      </c>
      <c r="AJ97" s="163" t="str">
        <f t="shared" si="118"/>
        <v/>
      </c>
      <c r="AK97" s="163" t="str">
        <f t="shared" si="119"/>
        <v/>
      </c>
      <c r="AL97" s="163" t="str">
        <f t="shared" si="120"/>
        <v/>
      </c>
      <c r="AM97" s="163" t="str">
        <f t="shared" si="121"/>
        <v/>
      </c>
      <c r="AN97" s="163" t="str">
        <f t="shared" si="145"/>
        <v/>
      </c>
      <c r="AO97" s="163" t="str">
        <f t="shared" si="146"/>
        <v/>
      </c>
      <c r="AP97" s="163" t="str">
        <f t="shared" si="122"/>
        <v/>
      </c>
      <c r="AQ97" s="163" t="str">
        <f t="shared" si="123"/>
        <v/>
      </c>
      <c r="AR97" s="327" t="str">
        <f t="shared" si="124"/>
        <v/>
      </c>
      <c r="AS97" s="323" t="str">
        <f t="shared" si="125"/>
        <v/>
      </c>
      <c r="AT97" s="163" t="str">
        <f t="shared" si="126"/>
        <v/>
      </c>
      <c r="AU97" s="163" t="str">
        <f t="shared" si="127"/>
        <v/>
      </c>
      <c r="AV97" s="163" t="str">
        <f t="shared" si="128"/>
        <v/>
      </c>
      <c r="AW97" s="327" t="str">
        <f t="shared" si="129"/>
        <v/>
      </c>
      <c r="AX97" s="323" t="str">
        <f>IF($G97="","",Reserve!$P98-$R97)</f>
        <v/>
      </c>
      <c r="AY97" s="220" t="str">
        <f t="shared" si="130"/>
        <v/>
      </c>
      <c r="AZ97" s="331" t="str">
        <f>IF($G97="","",VLOOKUP($H97,Life!$A$3:$R$113,18,FALSE))</f>
        <v/>
      </c>
      <c r="BA97" s="162" t="str">
        <f t="shared" si="131"/>
        <v/>
      </c>
      <c r="BB97" s="163" t="str">
        <f t="shared" si="132"/>
        <v/>
      </c>
      <c r="BC97" s="163" t="str">
        <f t="shared" si="133"/>
        <v/>
      </c>
      <c r="BD97" s="163" t="str">
        <f t="shared" si="134"/>
        <v/>
      </c>
      <c r="BE97" s="163" t="str">
        <f t="shared" si="135"/>
        <v/>
      </c>
      <c r="BF97" s="163" t="str">
        <f t="shared" si="136"/>
        <v/>
      </c>
      <c r="BG97" s="163" t="str">
        <f t="shared" si="137"/>
        <v/>
      </c>
      <c r="BH97" s="163" t="str">
        <f t="shared" si="138"/>
        <v/>
      </c>
      <c r="BI97" s="163" t="str">
        <f t="shared" si="139"/>
        <v/>
      </c>
      <c r="BJ97" s="163" t="str">
        <f t="shared" si="140"/>
        <v/>
      </c>
      <c r="BK97" s="164" t="str">
        <f t="shared" si="141"/>
        <v/>
      </c>
      <c r="BL97" s="163" t="str">
        <f t="shared" si="147"/>
        <v/>
      </c>
      <c r="BM97" s="163" t="str">
        <f t="shared" si="148"/>
        <v/>
      </c>
      <c r="BN97" s="163" t="str">
        <f t="shared" si="149"/>
        <v/>
      </c>
      <c r="BO97" s="163" t="str">
        <f t="shared" si="150"/>
        <v/>
      </c>
      <c r="BP97" s="163" t="str">
        <f t="shared" si="151"/>
        <v/>
      </c>
      <c r="BQ97" s="163" t="str">
        <f t="shared" si="152"/>
        <v/>
      </c>
      <c r="BR97" s="163" t="str">
        <f t="shared" si="153"/>
        <v/>
      </c>
      <c r="BS97" s="163" t="str">
        <f t="shared" si="154"/>
        <v/>
      </c>
      <c r="BT97" s="163" t="str">
        <f t="shared" si="155"/>
        <v/>
      </c>
      <c r="BU97" s="164" t="str">
        <f t="shared" si="156"/>
        <v/>
      </c>
    </row>
    <row r="98" spans="6:73" x14ac:dyDescent="0.3">
      <c r="F98" s="36">
        <v>94</v>
      </c>
      <c r="G98" s="363" t="str">
        <f t="shared" si="101"/>
        <v/>
      </c>
      <c r="H98" s="153" t="str">
        <f t="shared" si="102"/>
        <v/>
      </c>
      <c r="I98" s="323" t="str">
        <f t="shared" si="103"/>
        <v/>
      </c>
      <c r="J98" s="163" t="str">
        <f t="shared" si="104"/>
        <v/>
      </c>
      <c r="K98" s="327" t="str">
        <f>IF($G98="","",Reserve!N98)</f>
        <v/>
      </c>
      <c r="L98" s="163" t="str">
        <f t="shared" si="142"/>
        <v/>
      </c>
      <c r="M98" s="163" t="str">
        <f t="shared" si="143"/>
        <v/>
      </c>
      <c r="N98" s="163" t="str">
        <f t="shared" si="144"/>
        <v/>
      </c>
      <c r="O98" s="163" t="str">
        <f t="shared" si="105"/>
        <v/>
      </c>
      <c r="P98" s="327" t="str">
        <f t="shared" si="106"/>
        <v/>
      </c>
      <c r="Q98" s="330" t="str">
        <f>IF($G98="","",Reserve!$I98)</f>
        <v/>
      </c>
      <c r="R98" s="323" t="str">
        <f>IF($G98="","",Reserve!$J99+Reserve!$K99)</f>
        <v/>
      </c>
      <c r="S98" s="163" t="str">
        <f>IF($G98="","",Change!$G99)</f>
        <v/>
      </c>
      <c r="T98" s="163" t="str">
        <f t="shared" si="157"/>
        <v/>
      </c>
      <c r="U98" s="331" t="str">
        <f t="shared" si="107"/>
        <v/>
      </c>
      <c r="V98" s="323" t="str">
        <f>IF($G98="","",Reserve!$Q99-$R98)</f>
        <v/>
      </c>
      <c r="W98" s="163" t="str">
        <f>IF($G98="","",Reserve!$S99)</f>
        <v/>
      </c>
      <c r="X98" s="327" t="str">
        <f t="shared" si="108"/>
        <v/>
      </c>
      <c r="Y98" s="334" t="str">
        <f t="shared" si="109"/>
        <v/>
      </c>
      <c r="Z98" s="220" t="str">
        <f>IF($G98="","",VLOOKUP(H98,Life!$A$3:$Q$113,$B$6+1,FALSE))</f>
        <v/>
      </c>
      <c r="AA98" s="220" t="str">
        <f t="shared" si="110"/>
        <v/>
      </c>
      <c r="AB98" s="220" t="str">
        <f t="shared" si="111"/>
        <v/>
      </c>
      <c r="AC98" s="331" t="str">
        <f>IF($G98="","",HLOOKUP($G98,AssetShare_Table!$B$84:$G$85,2)*$D$11)</f>
        <v/>
      </c>
      <c r="AD98" s="334" t="str">
        <f t="shared" si="112"/>
        <v/>
      </c>
      <c r="AE98" s="220" t="str">
        <f t="shared" si="113"/>
        <v/>
      </c>
      <c r="AF98" s="220" t="str">
        <f t="shared" si="114"/>
        <v/>
      </c>
      <c r="AG98" s="331" t="str">
        <f t="shared" si="115"/>
        <v/>
      </c>
      <c r="AH98" s="323" t="str">
        <f t="shared" si="116"/>
        <v/>
      </c>
      <c r="AI98" s="163" t="str">
        <f t="shared" si="117"/>
        <v/>
      </c>
      <c r="AJ98" s="163" t="str">
        <f t="shared" si="118"/>
        <v/>
      </c>
      <c r="AK98" s="163" t="str">
        <f t="shared" si="119"/>
        <v/>
      </c>
      <c r="AL98" s="163" t="str">
        <f t="shared" si="120"/>
        <v/>
      </c>
      <c r="AM98" s="163" t="str">
        <f t="shared" si="121"/>
        <v/>
      </c>
      <c r="AN98" s="163" t="str">
        <f t="shared" si="145"/>
        <v/>
      </c>
      <c r="AO98" s="163" t="str">
        <f t="shared" si="146"/>
        <v/>
      </c>
      <c r="AP98" s="163" t="str">
        <f t="shared" si="122"/>
        <v/>
      </c>
      <c r="AQ98" s="163" t="str">
        <f t="shared" si="123"/>
        <v/>
      </c>
      <c r="AR98" s="327" t="str">
        <f t="shared" si="124"/>
        <v/>
      </c>
      <c r="AS98" s="323" t="str">
        <f t="shared" si="125"/>
        <v/>
      </c>
      <c r="AT98" s="163" t="str">
        <f t="shared" si="126"/>
        <v/>
      </c>
      <c r="AU98" s="163" t="str">
        <f t="shared" si="127"/>
        <v/>
      </c>
      <c r="AV98" s="163" t="str">
        <f t="shared" si="128"/>
        <v/>
      </c>
      <c r="AW98" s="327" t="str">
        <f t="shared" si="129"/>
        <v/>
      </c>
      <c r="AX98" s="323" t="str">
        <f>IF($G98="","",Reserve!$P99-$R98)</f>
        <v/>
      </c>
      <c r="AY98" s="220" t="str">
        <f t="shared" si="130"/>
        <v/>
      </c>
      <c r="AZ98" s="331" t="str">
        <f>IF($G98="","",VLOOKUP($H98,Life!$A$3:$R$113,18,FALSE))</f>
        <v/>
      </c>
      <c r="BA98" s="162" t="str">
        <f t="shared" si="131"/>
        <v/>
      </c>
      <c r="BB98" s="163" t="str">
        <f t="shared" si="132"/>
        <v/>
      </c>
      <c r="BC98" s="163" t="str">
        <f t="shared" si="133"/>
        <v/>
      </c>
      <c r="BD98" s="163" t="str">
        <f t="shared" si="134"/>
        <v/>
      </c>
      <c r="BE98" s="163" t="str">
        <f t="shared" si="135"/>
        <v/>
      </c>
      <c r="BF98" s="163" t="str">
        <f t="shared" si="136"/>
        <v/>
      </c>
      <c r="BG98" s="163" t="str">
        <f t="shared" si="137"/>
        <v/>
      </c>
      <c r="BH98" s="163" t="str">
        <f t="shared" si="138"/>
        <v/>
      </c>
      <c r="BI98" s="163" t="str">
        <f t="shared" si="139"/>
        <v/>
      </c>
      <c r="BJ98" s="163" t="str">
        <f t="shared" si="140"/>
        <v/>
      </c>
      <c r="BK98" s="164" t="str">
        <f t="shared" si="141"/>
        <v/>
      </c>
      <c r="BL98" s="163" t="str">
        <f t="shared" si="147"/>
        <v/>
      </c>
      <c r="BM98" s="163" t="str">
        <f t="shared" si="148"/>
        <v/>
      </c>
      <c r="BN98" s="163" t="str">
        <f t="shared" si="149"/>
        <v/>
      </c>
      <c r="BO98" s="163" t="str">
        <f t="shared" si="150"/>
        <v/>
      </c>
      <c r="BP98" s="163" t="str">
        <f t="shared" si="151"/>
        <v/>
      </c>
      <c r="BQ98" s="163" t="str">
        <f t="shared" si="152"/>
        <v/>
      </c>
      <c r="BR98" s="163" t="str">
        <f t="shared" si="153"/>
        <v/>
      </c>
      <c r="BS98" s="163" t="str">
        <f t="shared" si="154"/>
        <v/>
      </c>
      <c r="BT98" s="163" t="str">
        <f t="shared" si="155"/>
        <v/>
      </c>
      <c r="BU98" s="164" t="str">
        <f t="shared" si="156"/>
        <v/>
      </c>
    </row>
    <row r="99" spans="6:73" x14ac:dyDescent="0.3">
      <c r="F99" s="320">
        <v>95</v>
      </c>
      <c r="G99" s="367" t="str">
        <f t="shared" si="101"/>
        <v/>
      </c>
      <c r="H99" s="155" t="str">
        <f t="shared" si="102"/>
        <v/>
      </c>
      <c r="I99" s="324" t="str">
        <f t="shared" si="103"/>
        <v/>
      </c>
      <c r="J99" s="166" t="str">
        <f t="shared" si="104"/>
        <v/>
      </c>
      <c r="K99" s="328" t="str">
        <f>IF($G99="","",Reserve!N99)</f>
        <v/>
      </c>
      <c r="L99" s="166" t="str">
        <f t="shared" si="142"/>
        <v/>
      </c>
      <c r="M99" s="166" t="str">
        <f t="shared" si="143"/>
        <v/>
      </c>
      <c r="N99" s="166" t="str">
        <f t="shared" si="144"/>
        <v/>
      </c>
      <c r="O99" s="166" t="str">
        <f t="shared" si="105"/>
        <v/>
      </c>
      <c r="P99" s="328" t="str">
        <f t="shared" si="106"/>
        <v/>
      </c>
      <c r="Q99" s="330" t="str">
        <f>IF($G99="","",Reserve!$I99)</f>
        <v/>
      </c>
      <c r="R99" s="324" t="str">
        <f>IF($G99="","",Reserve!$J100+Reserve!$K100)</f>
        <v/>
      </c>
      <c r="S99" s="166" t="str">
        <f>IF($G99="","",Change!$G100)</f>
        <v/>
      </c>
      <c r="T99" s="163" t="str">
        <f t="shared" si="157"/>
        <v/>
      </c>
      <c r="U99" s="332" t="str">
        <f t="shared" si="107"/>
        <v/>
      </c>
      <c r="V99" s="324" t="str">
        <f>IF($G99="","",Reserve!$Q100-$R99)</f>
        <v/>
      </c>
      <c r="W99" s="166" t="str">
        <f>IF($G99="","",Reserve!$S100)</f>
        <v/>
      </c>
      <c r="X99" s="328" t="str">
        <f t="shared" si="108"/>
        <v/>
      </c>
      <c r="Y99" s="335" t="str">
        <f t="shared" si="109"/>
        <v/>
      </c>
      <c r="Z99" s="235" t="str">
        <f>IF($G99="","",VLOOKUP(H99,Life!$A$3:$Q$113,$B$6+1,FALSE))</f>
        <v/>
      </c>
      <c r="AA99" s="235" t="str">
        <f t="shared" si="110"/>
        <v/>
      </c>
      <c r="AB99" s="235" t="str">
        <f t="shared" si="111"/>
        <v/>
      </c>
      <c r="AC99" s="332" t="str">
        <f>IF($G99="","",HLOOKUP($G99,AssetShare_Table!$B$84:$G$85,2)*$D$11)</f>
        <v/>
      </c>
      <c r="AD99" s="335" t="str">
        <f t="shared" si="112"/>
        <v/>
      </c>
      <c r="AE99" s="235" t="str">
        <f t="shared" si="113"/>
        <v/>
      </c>
      <c r="AF99" s="235" t="str">
        <f t="shared" si="114"/>
        <v/>
      </c>
      <c r="AG99" s="332" t="str">
        <f t="shared" si="115"/>
        <v/>
      </c>
      <c r="AH99" s="324" t="str">
        <f t="shared" si="116"/>
        <v/>
      </c>
      <c r="AI99" s="166" t="str">
        <f t="shared" si="117"/>
        <v/>
      </c>
      <c r="AJ99" s="166" t="str">
        <f t="shared" si="118"/>
        <v/>
      </c>
      <c r="AK99" s="166" t="str">
        <f t="shared" si="119"/>
        <v/>
      </c>
      <c r="AL99" s="166" t="str">
        <f t="shared" si="120"/>
        <v/>
      </c>
      <c r="AM99" s="166" t="str">
        <f t="shared" si="121"/>
        <v/>
      </c>
      <c r="AN99" s="163" t="str">
        <f t="shared" si="145"/>
        <v/>
      </c>
      <c r="AO99" s="166" t="str">
        <f t="shared" si="146"/>
        <v/>
      </c>
      <c r="AP99" s="166" t="str">
        <f t="shared" si="122"/>
        <v/>
      </c>
      <c r="AQ99" s="166" t="str">
        <f t="shared" si="123"/>
        <v/>
      </c>
      <c r="AR99" s="328" t="str">
        <f t="shared" si="124"/>
        <v/>
      </c>
      <c r="AS99" s="324" t="str">
        <f t="shared" si="125"/>
        <v/>
      </c>
      <c r="AT99" s="166" t="str">
        <f t="shared" si="126"/>
        <v/>
      </c>
      <c r="AU99" s="166" t="str">
        <f t="shared" si="127"/>
        <v/>
      </c>
      <c r="AV99" s="166" t="str">
        <f t="shared" si="128"/>
        <v/>
      </c>
      <c r="AW99" s="328" t="str">
        <f t="shared" si="129"/>
        <v/>
      </c>
      <c r="AX99" s="324" t="str">
        <f>IF($G99="","",Reserve!$P100-$R99)</f>
        <v/>
      </c>
      <c r="AY99" s="235" t="str">
        <f t="shared" si="130"/>
        <v/>
      </c>
      <c r="AZ99" s="332" t="str">
        <f>IF($G99="","",VLOOKUP($H99,Life!$A$3:$R$113,18,FALSE))</f>
        <v/>
      </c>
      <c r="BA99" s="165" t="str">
        <f t="shared" si="131"/>
        <v/>
      </c>
      <c r="BB99" s="166" t="str">
        <f t="shared" si="132"/>
        <v/>
      </c>
      <c r="BC99" s="166" t="str">
        <f t="shared" si="133"/>
        <v/>
      </c>
      <c r="BD99" s="166" t="str">
        <f t="shared" si="134"/>
        <v/>
      </c>
      <c r="BE99" s="166" t="str">
        <f t="shared" si="135"/>
        <v/>
      </c>
      <c r="BF99" s="166" t="str">
        <f t="shared" si="136"/>
        <v/>
      </c>
      <c r="BG99" s="166" t="str">
        <f t="shared" si="137"/>
        <v/>
      </c>
      <c r="BH99" s="166" t="str">
        <f t="shared" si="138"/>
        <v/>
      </c>
      <c r="BI99" s="166" t="str">
        <f t="shared" si="139"/>
        <v/>
      </c>
      <c r="BJ99" s="166" t="str">
        <f t="shared" si="140"/>
        <v/>
      </c>
      <c r="BK99" s="167" t="str">
        <f t="shared" si="141"/>
        <v/>
      </c>
      <c r="BL99" s="166" t="str">
        <f t="shared" si="147"/>
        <v/>
      </c>
      <c r="BM99" s="163" t="str">
        <f t="shared" si="148"/>
        <v/>
      </c>
      <c r="BN99" s="166" t="str">
        <f t="shared" si="149"/>
        <v/>
      </c>
      <c r="BO99" s="166" t="str">
        <f t="shared" si="150"/>
        <v/>
      </c>
      <c r="BP99" s="166" t="str">
        <f t="shared" si="151"/>
        <v/>
      </c>
      <c r="BQ99" s="166" t="str">
        <f t="shared" si="152"/>
        <v/>
      </c>
      <c r="BR99" s="166" t="str">
        <f t="shared" si="153"/>
        <v/>
      </c>
      <c r="BS99" s="166" t="str">
        <f t="shared" si="154"/>
        <v/>
      </c>
      <c r="BT99" s="166" t="str">
        <f t="shared" si="155"/>
        <v/>
      </c>
      <c r="BU99" s="167" t="str">
        <f t="shared" si="156"/>
        <v/>
      </c>
    </row>
    <row r="100" spans="6:73" x14ac:dyDescent="0.3">
      <c r="F100" s="36">
        <v>96</v>
      </c>
      <c r="G100" s="363" t="str">
        <f t="shared" si="101"/>
        <v/>
      </c>
      <c r="H100" s="153" t="str">
        <f t="shared" si="102"/>
        <v/>
      </c>
      <c r="I100" s="323" t="str">
        <f t="shared" si="103"/>
        <v/>
      </c>
      <c r="J100" s="163" t="str">
        <f t="shared" si="104"/>
        <v/>
      </c>
      <c r="K100" s="327" t="str">
        <f>IF($G100="","",Reserve!N100)</f>
        <v/>
      </c>
      <c r="L100" s="163" t="str">
        <f t="shared" si="142"/>
        <v/>
      </c>
      <c r="M100" s="163" t="str">
        <f t="shared" si="143"/>
        <v/>
      </c>
      <c r="N100" s="163" t="str">
        <f t="shared" si="144"/>
        <v/>
      </c>
      <c r="O100" s="163" t="str">
        <f t="shared" si="105"/>
        <v/>
      </c>
      <c r="P100" s="327" t="str">
        <f t="shared" si="106"/>
        <v/>
      </c>
      <c r="Q100" s="330" t="str">
        <f>IF($G100="","",Reserve!$I100)</f>
        <v/>
      </c>
      <c r="R100" s="323" t="str">
        <f>IF($G100="","",Reserve!$J101+Reserve!$K101)</f>
        <v/>
      </c>
      <c r="S100" s="163" t="str">
        <f>IF($G100="","",Change!$G101)</f>
        <v/>
      </c>
      <c r="T100" s="163" t="str">
        <f t="shared" si="157"/>
        <v/>
      </c>
      <c r="U100" s="331" t="str">
        <f t="shared" si="107"/>
        <v/>
      </c>
      <c r="V100" s="323" t="str">
        <f>IF($G100="","",Reserve!$Q101-$R100)</f>
        <v/>
      </c>
      <c r="W100" s="163" t="str">
        <f>IF($G100="","",Reserve!$S101)</f>
        <v/>
      </c>
      <c r="X100" s="327" t="str">
        <f t="shared" si="108"/>
        <v/>
      </c>
      <c r="Y100" s="334" t="str">
        <f t="shared" si="109"/>
        <v/>
      </c>
      <c r="Z100" s="220" t="str">
        <f>IF($G100="","",VLOOKUP(H100,Life!$A$3:$Q$113,$B$6+1,FALSE))</f>
        <v/>
      </c>
      <c r="AA100" s="220" t="str">
        <f t="shared" si="110"/>
        <v/>
      </c>
      <c r="AB100" s="220" t="str">
        <f t="shared" si="111"/>
        <v/>
      </c>
      <c r="AC100" s="331" t="str">
        <f>IF($G100="","",HLOOKUP($G100,AssetShare_Table!$B$84:$G$85,2)*$D$11)</f>
        <v/>
      </c>
      <c r="AD100" s="334" t="str">
        <f t="shared" si="112"/>
        <v/>
      </c>
      <c r="AE100" s="220" t="str">
        <f t="shared" si="113"/>
        <v/>
      </c>
      <c r="AF100" s="220" t="str">
        <f t="shared" si="114"/>
        <v/>
      </c>
      <c r="AG100" s="331" t="str">
        <f t="shared" si="115"/>
        <v/>
      </c>
      <c r="AH100" s="323" t="str">
        <f t="shared" si="116"/>
        <v/>
      </c>
      <c r="AI100" s="163" t="str">
        <f t="shared" si="117"/>
        <v/>
      </c>
      <c r="AJ100" s="163" t="str">
        <f t="shared" si="118"/>
        <v/>
      </c>
      <c r="AK100" s="163" t="str">
        <f t="shared" si="119"/>
        <v/>
      </c>
      <c r="AL100" s="163" t="str">
        <f t="shared" si="120"/>
        <v/>
      </c>
      <c r="AM100" s="163" t="str">
        <f t="shared" si="121"/>
        <v/>
      </c>
      <c r="AN100" s="163" t="str">
        <f t="shared" si="145"/>
        <v/>
      </c>
      <c r="AO100" s="163" t="str">
        <f t="shared" si="146"/>
        <v/>
      </c>
      <c r="AP100" s="163" t="str">
        <f t="shared" si="122"/>
        <v/>
      </c>
      <c r="AQ100" s="163" t="str">
        <f t="shared" si="123"/>
        <v/>
      </c>
      <c r="AR100" s="327" t="str">
        <f t="shared" si="124"/>
        <v/>
      </c>
      <c r="AS100" s="323" t="str">
        <f t="shared" si="125"/>
        <v/>
      </c>
      <c r="AT100" s="163" t="str">
        <f t="shared" si="126"/>
        <v/>
      </c>
      <c r="AU100" s="163" t="str">
        <f t="shared" si="127"/>
        <v/>
      </c>
      <c r="AV100" s="163" t="str">
        <f t="shared" si="128"/>
        <v/>
      </c>
      <c r="AW100" s="327" t="str">
        <f t="shared" si="129"/>
        <v/>
      </c>
      <c r="AX100" s="323" t="str">
        <f>IF($G100="","",Reserve!$P101-$R100)</f>
        <v/>
      </c>
      <c r="AY100" s="220" t="str">
        <f t="shared" si="130"/>
        <v/>
      </c>
      <c r="AZ100" s="331" t="str">
        <f>IF($G100="","",VLOOKUP($H100,Life!$A$3:$R$113,18,FALSE))</f>
        <v/>
      </c>
      <c r="BA100" s="162" t="str">
        <f t="shared" si="131"/>
        <v/>
      </c>
      <c r="BB100" s="163" t="str">
        <f t="shared" si="132"/>
        <v/>
      </c>
      <c r="BC100" s="163" t="str">
        <f t="shared" si="133"/>
        <v/>
      </c>
      <c r="BD100" s="163" t="str">
        <f t="shared" si="134"/>
        <v/>
      </c>
      <c r="BE100" s="163" t="str">
        <f t="shared" si="135"/>
        <v/>
      </c>
      <c r="BF100" s="163" t="str">
        <f t="shared" si="136"/>
        <v/>
      </c>
      <c r="BG100" s="163" t="str">
        <f t="shared" si="137"/>
        <v/>
      </c>
      <c r="BH100" s="163" t="str">
        <f t="shared" si="138"/>
        <v/>
      </c>
      <c r="BI100" s="163" t="str">
        <f t="shared" si="139"/>
        <v/>
      </c>
      <c r="BJ100" s="163" t="str">
        <f t="shared" si="140"/>
        <v/>
      </c>
      <c r="BK100" s="164" t="str">
        <f t="shared" si="141"/>
        <v/>
      </c>
      <c r="BL100" s="163" t="str">
        <f t="shared" si="147"/>
        <v/>
      </c>
      <c r="BM100" s="163" t="str">
        <f t="shared" si="148"/>
        <v/>
      </c>
      <c r="BN100" s="163" t="str">
        <f t="shared" si="149"/>
        <v/>
      </c>
      <c r="BO100" s="163" t="str">
        <f t="shared" si="150"/>
        <v/>
      </c>
      <c r="BP100" s="163" t="str">
        <f t="shared" si="151"/>
        <v/>
      </c>
      <c r="BQ100" s="163" t="str">
        <f t="shared" si="152"/>
        <v/>
      </c>
      <c r="BR100" s="163" t="str">
        <f t="shared" si="153"/>
        <v/>
      </c>
      <c r="BS100" s="163" t="str">
        <f t="shared" si="154"/>
        <v/>
      </c>
      <c r="BT100" s="163" t="str">
        <f t="shared" si="155"/>
        <v/>
      </c>
      <c r="BU100" s="164" t="str">
        <f t="shared" si="156"/>
        <v/>
      </c>
    </row>
    <row r="101" spans="6:73" x14ac:dyDescent="0.3">
      <c r="F101" s="36">
        <v>97</v>
      </c>
      <c r="G101" s="363" t="str">
        <f t="shared" ref="G101:G115" si="158">IF(F101&lt;=$B$10,F101,"")</f>
        <v/>
      </c>
      <c r="H101" s="153" t="str">
        <f t="shared" ref="H101:H115" si="159">IF($G101="","",$B$7+$G101-1)</f>
        <v/>
      </c>
      <c r="I101" s="323" t="str">
        <f t="shared" ref="I101:I115" si="160">IF($G101="","",IF($G101&lt;=$B$9,$B$11,0))</f>
        <v/>
      </c>
      <c r="J101" s="163" t="str">
        <f t="shared" ref="J101:J115" si="161">IF($G101="","",IF($G101&lt;=$B$9,$B$12,0))</f>
        <v/>
      </c>
      <c r="K101" s="327" t="str">
        <f>IF($G101="","",Reserve!N101)</f>
        <v/>
      </c>
      <c r="L101" s="163" t="str">
        <f t="shared" si="142"/>
        <v/>
      </c>
      <c r="M101" s="163" t="str">
        <f t="shared" si="143"/>
        <v/>
      </c>
      <c r="N101" s="163" t="str">
        <f t="shared" si="144"/>
        <v/>
      </c>
      <c r="O101" s="163" t="str">
        <f t="shared" si="105"/>
        <v/>
      </c>
      <c r="P101" s="327" t="str">
        <f t="shared" si="106"/>
        <v/>
      </c>
      <c r="Q101" s="330" t="str">
        <f>IF($G101="","",Reserve!$I101)</f>
        <v/>
      </c>
      <c r="R101" s="323" t="str">
        <f>IF($G101="","",Reserve!$J102+Reserve!$K102)</f>
        <v/>
      </c>
      <c r="S101" s="163" t="str">
        <f>IF($G101="","",Change!$G102)</f>
        <v/>
      </c>
      <c r="T101" s="163" t="str">
        <f t="shared" si="157"/>
        <v/>
      </c>
      <c r="U101" s="331" t="str">
        <f t="shared" ref="U101:U115" si="162">IF($G101="","",$C$47*($C$48+(1-$C$48)*$C$49^($G101-1)))</f>
        <v/>
      </c>
      <c r="V101" s="323" t="str">
        <f>IF($G101="","",Reserve!$Q102-$R101)</f>
        <v/>
      </c>
      <c r="W101" s="163" t="str">
        <f>IF($G101="","",Reserve!$S102)</f>
        <v/>
      </c>
      <c r="X101" s="327" t="str">
        <f t="shared" ref="X101:X115" si="163">IF($G101="","",$V101+$W101)</f>
        <v/>
      </c>
      <c r="Y101" s="334" t="str">
        <f t="shared" ref="Y101:Y115" si="164">IF($G101="","",$D$6)</f>
        <v/>
      </c>
      <c r="Z101" s="220" t="str">
        <f>IF($G101="","",VLOOKUP(H101,Life!$A$3:$Q$113,$B$6+1,FALSE))</f>
        <v/>
      </c>
      <c r="AA101" s="220" t="str">
        <f t="shared" ref="AA101:AA115" si="165">IF($G101="","",Z101*$D$10)</f>
        <v/>
      </c>
      <c r="AB101" s="220" t="str">
        <f t="shared" ref="AB101:AB115" si="166">IF($G101="","",AF101/AD101)</f>
        <v/>
      </c>
      <c r="AC101" s="331" t="str">
        <f>IF($G101="","",HLOOKUP($G101,AssetShare_Table!$B$84:$G$85,2)*$D$11)</f>
        <v/>
      </c>
      <c r="AD101" s="334" t="str">
        <f t="shared" ref="AD101:AD115" si="167">IF($G101="","",IF($G101=1,1,$AG100))</f>
        <v/>
      </c>
      <c r="AE101" s="220" t="str">
        <f t="shared" ref="AE101:AE115" si="168">IF($G101="","",$AD101*$AA101)</f>
        <v/>
      </c>
      <c r="AF101" s="220" t="str">
        <f t="shared" ref="AF101:AF115" si="169">IF($G101="","",IF($AC$4=1,$AD101*$AC101,IF($AC$4=2,($AD101-$AE101)*$AC101,MAX($AD101*$AC101-$AE101,0))))</f>
        <v/>
      </c>
      <c r="AG101" s="331" t="str">
        <f t="shared" ref="AG101:AG115" si="170">IF($G101="","",$AD101-$AE101-$AF101)</f>
        <v/>
      </c>
      <c r="AH101" s="323" t="str">
        <f t="shared" ref="AH101:AH115" si="171">IF($G101="","",IF($G101=1,0,$AQ100))</f>
        <v/>
      </c>
      <c r="AI101" s="163" t="str">
        <f t="shared" ref="AI101:AI115" si="172">IF($G101="","",$J101*$AD101*$B$13)</f>
        <v/>
      </c>
      <c r="AJ101" s="163" t="str">
        <f t="shared" ref="AJ101:AJ115" si="173">IF($G101="","",$P101*$AD101*$B$13)</f>
        <v/>
      </c>
      <c r="AK101" s="163" t="str">
        <f t="shared" ref="AK101:AK115" si="174">IF($G101="","",$Q101*$AE101*$B$13)</f>
        <v/>
      </c>
      <c r="AL101" s="163" t="str">
        <f t="shared" ref="AL101:AL115" si="175">IF($G101="","",$R101*($AF101+$AG101)*$B$13)</f>
        <v/>
      </c>
      <c r="AM101" s="163" t="str">
        <f t="shared" ref="AM101:AM115" si="176">IF($G101="","",$S101*$AF101*$B$13)</f>
        <v/>
      </c>
      <c r="AN101" s="163" t="str">
        <f t="shared" si="145"/>
        <v/>
      </c>
      <c r="AO101" s="163" t="str">
        <f t="shared" si="146"/>
        <v/>
      </c>
      <c r="AP101" s="163" t="str">
        <f t="shared" ref="AP101:AP115" si="177">IF($G101="","",($AH101+$AI101-$AJ101)*$Y101-$AK101*((1+$Y101)^0.5-1))</f>
        <v/>
      </c>
      <c r="AQ101" s="163" t="str">
        <f t="shared" ref="AQ101:AQ115" si="178">IF($G101="","",$AH101+$AI101-SUM($AJ101:$AO101)+$AP101)</f>
        <v/>
      </c>
      <c r="AR101" s="327" t="str">
        <f t="shared" ref="AR101:AR115" si="179">IF($G101="","",$X101*$AG101*$B$13)</f>
        <v/>
      </c>
      <c r="AS101" s="323" t="str">
        <f t="shared" ref="AS101:AS115" si="180">IF($G101="","",$AQ101-$AR101)</f>
        <v/>
      </c>
      <c r="AT101" s="163" t="str">
        <f t="shared" ref="AT101:AT115" si="181">IF($G101="","",$AS101-IF($G101=1,0,$AS100))</f>
        <v/>
      </c>
      <c r="AU101" s="163" t="str">
        <f t="shared" ref="AU101:AU115" si="182">IF($G101="","",$AS101-IF($G101=1,0,$AS100*(1+$Y101)))</f>
        <v/>
      </c>
      <c r="AV101" s="163" t="str">
        <f t="shared" ref="AV101:AV115" si="183">IF($G101="","",IF($AS101&gt;0,0,$G101))</f>
        <v/>
      </c>
      <c r="AW101" s="327" t="str">
        <f t="shared" ref="AW101:AW115" si="184">IF($G101="","",IF($AU101&gt;0,0,$G101))</f>
        <v/>
      </c>
      <c r="AX101" s="323" t="str">
        <f>IF($G101="","",Reserve!$P102-$R101)</f>
        <v/>
      </c>
      <c r="AY101" s="220" t="str">
        <f t="shared" ref="AY101:AY115" si="185">IF($G101="","",$C$34)</f>
        <v/>
      </c>
      <c r="AZ101" s="331" t="str">
        <f>IF($G101="","",VLOOKUP($H101,Life!$A$3:$R$113,18,FALSE))</f>
        <v/>
      </c>
      <c r="BA101" s="162" t="str">
        <f t="shared" ref="BA101:BA115" si="186">IF($G101="","",(($K101+IF($G101=1,0,$AX100))*($Y101-$AY101)-$Q101*$AZ101*((1+$Y101)^0.5-(1+$AY101)^0.5))*$AD101*$B$13)</f>
        <v/>
      </c>
      <c r="BB101" s="163" t="str">
        <f t="shared" ref="BB101:BB115" si="187">IF($G101="","",($AX101+$R101-$Q101*(1+$AY101)^0.5)*($AA101-$AZ101)*$AD101*$B$13)</f>
        <v/>
      </c>
      <c r="BC101" s="163" t="str">
        <f t="shared" ref="BC101:BC115" si="188">IF($G101="","",(($J101-$P101-$K101)*(1+$AY101)-$T101)*$AD101*$B$13)</f>
        <v/>
      </c>
      <c r="BD101" s="163" t="str">
        <f t="shared" ref="BD101:BD115" si="189">IF($G101="","",$AB101*($AX101-$S101)*$AD101*$B$13)</f>
        <v/>
      </c>
      <c r="BE101" s="163" t="str">
        <f t="shared" ref="BE101:BE115" si="190">IF($G101="","",((IF($G101=1,0,$X100)-IF($G101=1,0,$AX100))*(1+$AY101)-(1-$AZ101)*($X101-$AX101))*$AD101*$B$13)</f>
        <v/>
      </c>
      <c r="BF101" s="163" t="str">
        <f t="shared" ref="BF101:BF115" si="191">IF($G101="","",-$Q101*($AA101-$AZ101)*((1+$Y101)^0.5-(1+$AY101)^0.5)*$AD101*$B$13)</f>
        <v/>
      </c>
      <c r="BG101" s="163" t="str">
        <f t="shared" ref="BG101:BG115" si="192">IF($G101="","",($J101-$P101-$K101)*($Y101-$AY101)*$AD101*$B$13)</f>
        <v/>
      </c>
      <c r="BH101" s="163" t="str">
        <f t="shared" ref="BH101:BH115" si="193">IF($G101="","",(IF($G101=1,0,$X100)-IF($G101=1,0,$AX100))*($Y101-$AY101)*$AD101*$B$13)</f>
        <v/>
      </c>
      <c r="BI101" s="163" t="str">
        <f t="shared" ref="BI101:BI115" si="194">IF($G101="","",$AB101*($X101-$AX101)*$AD101*$B$13)</f>
        <v/>
      </c>
      <c r="BJ101" s="163" t="str">
        <f t="shared" ref="BJ101:BJ115" si="195">IF($G101="","",($AA101-$AZ101)*($X101-$AX101)*$AD101*$B$13)</f>
        <v/>
      </c>
      <c r="BK101" s="164" t="str">
        <f t="shared" ref="BK101:BK115" si="196">IF($G101="","",-(1-$AA101-$AB101)*$U101*$X101*$AD101*$B$13)</f>
        <v/>
      </c>
      <c r="BL101" s="163" t="str">
        <f t="shared" si="147"/>
        <v/>
      </c>
      <c r="BM101" s="163" t="str">
        <f t="shared" si="148"/>
        <v/>
      </c>
      <c r="BN101" s="163" t="str">
        <f t="shared" si="149"/>
        <v/>
      </c>
      <c r="BO101" s="163" t="str">
        <f t="shared" si="150"/>
        <v/>
      </c>
      <c r="BP101" s="163" t="str">
        <f t="shared" si="151"/>
        <v/>
      </c>
      <c r="BQ101" s="163" t="str">
        <f t="shared" si="152"/>
        <v/>
      </c>
      <c r="BR101" s="163" t="str">
        <f t="shared" si="153"/>
        <v/>
      </c>
      <c r="BS101" s="163" t="str">
        <f t="shared" si="154"/>
        <v/>
      </c>
      <c r="BT101" s="163" t="str">
        <f t="shared" si="155"/>
        <v/>
      </c>
      <c r="BU101" s="164" t="str">
        <f t="shared" si="156"/>
        <v/>
      </c>
    </row>
    <row r="102" spans="6:73" x14ac:dyDescent="0.3">
      <c r="F102" s="36">
        <v>98</v>
      </c>
      <c r="G102" s="363" t="str">
        <f t="shared" si="158"/>
        <v/>
      </c>
      <c r="H102" s="153" t="str">
        <f t="shared" si="159"/>
        <v/>
      </c>
      <c r="I102" s="323" t="str">
        <f t="shared" si="160"/>
        <v/>
      </c>
      <c r="J102" s="163" t="str">
        <f t="shared" si="161"/>
        <v/>
      </c>
      <c r="K102" s="327" t="str">
        <f>IF($G102="","",Reserve!N102)</f>
        <v/>
      </c>
      <c r="L102" s="163" t="str">
        <f t="shared" si="142"/>
        <v/>
      </c>
      <c r="M102" s="163" t="str">
        <f t="shared" si="143"/>
        <v/>
      </c>
      <c r="N102" s="163" t="str">
        <f t="shared" si="144"/>
        <v/>
      </c>
      <c r="O102" s="163" t="str">
        <f t="shared" si="105"/>
        <v/>
      </c>
      <c r="P102" s="327" t="str">
        <f t="shared" si="106"/>
        <v/>
      </c>
      <c r="Q102" s="330" t="str">
        <f>IF($G102="","",Reserve!$I102)</f>
        <v/>
      </c>
      <c r="R102" s="323" t="str">
        <f>IF($G102="","",Reserve!$J103+Reserve!$K103)</f>
        <v/>
      </c>
      <c r="S102" s="163" t="str">
        <f>IF($G102="","",Change!$G103)</f>
        <v/>
      </c>
      <c r="T102" s="163" t="str">
        <f t="shared" si="157"/>
        <v/>
      </c>
      <c r="U102" s="331" t="str">
        <f t="shared" si="162"/>
        <v/>
      </c>
      <c r="V102" s="323" t="str">
        <f>IF($G102="","",Reserve!$Q103-$R102)</f>
        <v/>
      </c>
      <c r="W102" s="163" t="str">
        <f>IF($G102="","",Reserve!$S103)</f>
        <v/>
      </c>
      <c r="X102" s="327" t="str">
        <f t="shared" si="163"/>
        <v/>
      </c>
      <c r="Y102" s="334" t="str">
        <f t="shared" si="164"/>
        <v/>
      </c>
      <c r="Z102" s="220" t="str">
        <f>IF($G102="","",VLOOKUP(H102,Life!$A$3:$Q$113,$B$6+1,FALSE))</f>
        <v/>
      </c>
      <c r="AA102" s="220" t="str">
        <f t="shared" si="165"/>
        <v/>
      </c>
      <c r="AB102" s="220" t="str">
        <f t="shared" si="166"/>
        <v/>
      </c>
      <c r="AC102" s="331" t="str">
        <f>IF($G102="","",HLOOKUP($G102,AssetShare_Table!$B$84:$G$85,2)*$D$11)</f>
        <v/>
      </c>
      <c r="AD102" s="334" t="str">
        <f t="shared" si="167"/>
        <v/>
      </c>
      <c r="AE102" s="220" t="str">
        <f t="shared" si="168"/>
        <v/>
      </c>
      <c r="AF102" s="220" t="str">
        <f t="shared" si="169"/>
        <v/>
      </c>
      <c r="AG102" s="331" t="str">
        <f t="shared" si="170"/>
        <v/>
      </c>
      <c r="AH102" s="323" t="str">
        <f t="shared" si="171"/>
        <v/>
      </c>
      <c r="AI102" s="163" t="str">
        <f t="shared" si="172"/>
        <v/>
      </c>
      <c r="AJ102" s="163" t="str">
        <f t="shared" si="173"/>
        <v/>
      </c>
      <c r="AK102" s="163" t="str">
        <f t="shared" si="174"/>
        <v/>
      </c>
      <c r="AL102" s="163" t="str">
        <f t="shared" si="175"/>
        <v/>
      </c>
      <c r="AM102" s="163" t="str">
        <f t="shared" si="176"/>
        <v/>
      </c>
      <c r="AN102" s="163" t="str">
        <f t="shared" si="145"/>
        <v/>
      </c>
      <c r="AO102" s="163" t="str">
        <f t="shared" si="146"/>
        <v/>
      </c>
      <c r="AP102" s="163" t="str">
        <f t="shared" si="177"/>
        <v/>
      </c>
      <c r="AQ102" s="163" t="str">
        <f t="shared" si="178"/>
        <v/>
      </c>
      <c r="AR102" s="327" t="str">
        <f t="shared" si="179"/>
        <v/>
      </c>
      <c r="AS102" s="323" t="str">
        <f t="shared" si="180"/>
        <v/>
      </c>
      <c r="AT102" s="163" t="str">
        <f t="shared" si="181"/>
        <v/>
      </c>
      <c r="AU102" s="163" t="str">
        <f t="shared" si="182"/>
        <v/>
      </c>
      <c r="AV102" s="163" t="str">
        <f t="shared" si="183"/>
        <v/>
      </c>
      <c r="AW102" s="327" t="str">
        <f t="shared" si="184"/>
        <v/>
      </c>
      <c r="AX102" s="323" t="str">
        <f>IF($G102="","",Reserve!$P103-$R102)</f>
        <v/>
      </c>
      <c r="AY102" s="220" t="str">
        <f t="shared" si="185"/>
        <v/>
      </c>
      <c r="AZ102" s="331" t="str">
        <f>IF($G102="","",VLOOKUP($H102,Life!$A$3:$R$113,18,FALSE))</f>
        <v/>
      </c>
      <c r="BA102" s="162" t="str">
        <f t="shared" si="186"/>
        <v/>
      </c>
      <c r="BB102" s="163" t="str">
        <f t="shared" si="187"/>
        <v/>
      </c>
      <c r="BC102" s="163" t="str">
        <f t="shared" si="188"/>
        <v/>
      </c>
      <c r="BD102" s="163" t="str">
        <f t="shared" si="189"/>
        <v/>
      </c>
      <c r="BE102" s="163" t="str">
        <f t="shared" si="190"/>
        <v/>
      </c>
      <c r="BF102" s="163" t="str">
        <f t="shared" si="191"/>
        <v/>
      </c>
      <c r="BG102" s="163" t="str">
        <f t="shared" si="192"/>
        <v/>
      </c>
      <c r="BH102" s="163" t="str">
        <f t="shared" si="193"/>
        <v/>
      </c>
      <c r="BI102" s="163" t="str">
        <f t="shared" si="194"/>
        <v/>
      </c>
      <c r="BJ102" s="163" t="str">
        <f t="shared" si="195"/>
        <v/>
      </c>
      <c r="BK102" s="164" t="str">
        <f t="shared" si="196"/>
        <v/>
      </c>
      <c r="BL102" s="163" t="str">
        <f t="shared" si="147"/>
        <v/>
      </c>
      <c r="BM102" s="163" t="str">
        <f t="shared" si="148"/>
        <v/>
      </c>
      <c r="BN102" s="163" t="str">
        <f t="shared" si="149"/>
        <v/>
      </c>
      <c r="BO102" s="163" t="str">
        <f t="shared" si="150"/>
        <v/>
      </c>
      <c r="BP102" s="163" t="str">
        <f t="shared" si="151"/>
        <v/>
      </c>
      <c r="BQ102" s="163" t="str">
        <f t="shared" si="152"/>
        <v/>
      </c>
      <c r="BR102" s="163" t="str">
        <f t="shared" si="153"/>
        <v/>
      </c>
      <c r="BS102" s="163" t="str">
        <f t="shared" si="154"/>
        <v/>
      </c>
      <c r="BT102" s="163" t="str">
        <f t="shared" si="155"/>
        <v/>
      </c>
      <c r="BU102" s="164" t="str">
        <f t="shared" si="156"/>
        <v/>
      </c>
    </row>
    <row r="103" spans="6:73" x14ac:dyDescent="0.3">
      <c r="F103" s="36">
        <v>99</v>
      </c>
      <c r="G103" s="363" t="str">
        <f t="shared" si="158"/>
        <v/>
      </c>
      <c r="H103" s="153" t="str">
        <f t="shared" si="159"/>
        <v/>
      </c>
      <c r="I103" s="323" t="str">
        <f t="shared" si="160"/>
        <v/>
      </c>
      <c r="J103" s="163" t="str">
        <f t="shared" si="161"/>
        <v/>
      </c>
      <c r="K103" s="327" t="str">
        <f>IF($G103="","",Reserve!N103)</f>
        <v/>
      </c>
      <c r="L103" s="163" t="str">
        <f t="shared" si="142"/>
        <v/>
      </c>
      <c r="M103" s="163" t="str">
        <f t="shared" si="143"/>
        <v/>
      </c>
      <c r="N103" s="163" t="str">
        <f t="shared" si="144"/>
        <v/>
      </c>
      <c r="O103" s="163" t="str">
        <f t="shared" si="105"/>
        <v/>
      </c>
      <c r="P103" s="327" t="str">
        <f t="shared" si="106"/>
        <v/>
      </c>
      <c r="Q103" s="330" t="str">
        <f>IF($G103="","",Reserve!$I103)</f>
        <v/>
      </c>
      <c r="R103" s="323" t="str">
        <f>IF($G103="","",Reserve!$J104+Reserve!$K104)</f>
        <v/>
      </c>
      <c r="S103" s="163" t="str">
        <f>IF($G103="","",Change!$G104)</f>
        <v/>
      </c>
      <c r="T103" s="163" t="str">
        <f t="shared" si="157"/>
        <v/>
      </c>
      <c r="U103" s="331" t="str">
        <f t="shared" si="162"/>
        <v/>
      </c>
      <c r="V103" s="323" t="str">
        <f>IF($G103="","",Reserve!$Q104-$R103)</f>
        <v/>
      </c>
      <c r="W103" s="163" t="str">
        <f>IF($G103="","",Reserve!$S104)</f>
        <v/>
      </c>
      <c r="X103" s="327" t="str">
        <f t="shared" si="163"/>
        <v/>
      </c>
      <c r="Y103" s="334" t="str">
        <f t="shared" si="164"/>
        <v/>
      </c>
      <c r="Z103" s="220" t="str">
        <f>IF($G103="","",VLOOKUP(H103,Life!$A$3:$Q$113,$B$6+1,FALSE))</f>
        <v/>
      </c>
      <c r="AA103" s="220" t="str">
        <f t="shared" si="165"/>
        <v/>
      </c>
      <c r="AB103" s="220" t="str">
        <f t="shared" si="166"/>
        <v/>
      </c>
      <c r="AC103" s="331" t="str">
        <f>IF($G103="","",HLOOKUP($G103,AssetShare_Table!$B$84:$G$85,2)*$D$11)</f>
        <v/>
      </c>
      <c r="AD103" s="334" t="str">
        <f t="shared" si="167"/>
        <v/>
      </c>
      <c r="AE103" s="220" t="str">
        <f t="shared" si="168"/>
        <v/>
      </c>
      <c r="AF103" s="220" t="str">
        <f t="shared" si="169"/>
        <v/>
      </c>
      <c r="AG103" s="331" t="str">
        <f t="shared" si="170"/>
        <v/>
      </c>
      <c r="AH103" s="323" t="str">
        <f t="shared" si="171"/>
        <v/>
      </c>
      <c r="AI103" s="163" t="str">
        <f t="shared" si="172"/>
        <v/>
      </c>
      <c r="AJ103" s="163" t="str">
        <f t="shared" si="173"/>
        <v/>
      </c>
      <c r="AK103" s="163" t="str">
        <f t="shared" si="174"/>
        <v/>
      </c>
      <c r="AL103" s="163" t="str">
        <f t="shared" si="175"/>
        <v/>
      </c>
      <c r="AM103" s="163" t="str">
        <f t="shared" si="176"/>
        <v/>
      </c>
      <c r="AN103" s="163" t="str">
        <f t="shared" si="145"/>
        <v/>
      </c>
      <c r="AO103" s="163" t="str">
        <f t="shared" si="146"/>
        <v/>
      </c>
      <c r="AP103" s="163" t="str">
        <f t="shared" si="177"/>
        <v/>
      </c>
      <c r="AQ103" s="163" t="str">
        <f t="shared" si="178"/>
        <v/>
      </c>
      <c r="AR103" s="327" t="str">
        <f t="shared" si="179"/>
        <v/>
      </c>
      <c r="AS103" s="323" t="str">
        <f t="shared" si="180"/>
        <v/>
      </c>
      <c r="AT103" s="163" t="str">
        <f t="shared" si="181"/>
        <v/>
      </c>
      <c r="AU103" s="163" t="str">
        <f t="shared" si="182"/>
        <v/>
      </c>
      <c r="AV103" s="163" t="str">
        <f t="shared" si="183"/>
        <v/>
      </c>
      <c r="AW103" s="327" t="str">
        <f t="shared" si="184"/>
        <v/>
      </c>
      <c r="AX103" s="323" t="str">
        <f>IF($G103="","",Reserve!$P104-$R103)</f>
        <v/>
      </c>
      <c r="AY103" s="220" t="str">
        <f t="shared" si="185"/>
        <v/>
      </c>
      <c r="AZ103" s="331" t="str">
        <f>IF($G103="","",VLOOKUP($H103,Life!$A$3:$R$113,18,FALSE))</f>
        <v/>
      </c>
      <c r="BA103" s="162" t="str">
        <f t="shared" si="186"/>
        <v/>
      </c>
      <c r="BB103" s="163" t="str">
        <f t="shared" si="187"/>
        <v/>
      </c>
      <c r="BC103" s="163" t="str">
        <f t="shared" si="188"/>
        <v/>
      </c>
      <c r="BD103" s="163" t="str">
        <f t="shared" si="189"/>
        <v/>
      </c>
      <c r="BE103" s="163" t="str">
        <f t="shared" si="190"/>
        <v/>
      </c>
      <c r="BF103" s="163" t="str">
        <f t="shared" si="191"/>
        <v/>
      </c>
      <c r="BG103" s="163" t="str">
        <f t="shared" si="192"/>
        <v/>
      </c>
      <c r="BH103" s="163" t="str">
        <f t="shared" si="193"/>
        <v/>
      </c>
      <c r="BI103" s="163" t="str">
        <f t="shared" si="194"/>
        <v/>
      </c>
      <c r="BJ103" s="163" t="str">
        <f t="shared" si="195"/>
        <v/>
      </c>
      <c r="BK103" s="164" t="str">
        <f t="shared" si="196"/>
        <v/>
      </c>
      <c r="BL103" s="163" t="str">
        <f t="shared" si="147"/>
        <v/>
      </c>
      <c r="BM103" s="163" t="str">
        <f t="shared" si="148"/>
        <v/>
      </c>
      <c r="BN103" s="163" t="str">
        <f t="shared" si="149"/>
        <v/>
      </c>
      <c r="BO103" s="163" t="str">
        <f t="shared" si="150"/>
        <v/>
      </c>
      <c r="BP103" s="163" t="str">
        <f t="shared" si="151"/>
        <v/>
      </c>
      <c r="BQ103" s="163" t="str">
        <f t="shared" si="152"/>
        <v/>
      </c>
      <c r="BR103" s="163" t="str">
        <f t="shared" si="153"/>
        <v/>
      </c>
      <c r="BS103" s="163" t="str">
        <f t="shared" si="154"/>
        <v/>
      </c>
      <c r="BT103" s="163" t="str">
        <f t="shared" si="155"/>
        <v/>
      </c>
      <c r="BU103" s="164" t="str">
        <f t="shared" si="156"/>
        <v/>
      </c>
    </row>
    <row r="104" spans="6:73" x14ac:dyDescent="0.3">
      <c r="F104" s="320">
        <v>100</v>
      </c>
      <c r="G104" s="367" t="str">
        <f t="shared" si="158"/>
        <v/>
      </c>
      <c r="H104" s="155" t="str">
        <f t="shared" si="159"/>
        <v/>
      </c>
      <c r="I104" s="324" t="str">
        <f t="shared" si="160"/>
        <v/>
      </c>
      <c r="J104" s="166" t="str">
        <f t="shared" si="161"/>
        <v/>
      </c>
      <c r="K104" s="328" t="str">
        <f>IF($G104="","",Reserve!N104)</f>
        <v/>
      </c>
      <c r="L104" s="166" t="str">
        <f t="shared" si="142"/>
        <v/>
      </c>
      <c r="M104" s="166" t="str">
        <f t="shared" si="143"/>
        <v/>
      </c>
      <c r="N104" s="166" t="str">
        <f t="shared" si="144"/>
        <v/>
      </c>
      <c r="O104" s="166" t="str">
        <f t="shared" si="105"/>
        <v/>
      </c>
      <c r="P104" s="328" t="str">
        <f t="shared" si="106"/>
        <v/>
      </c>
      <c r="Q104" s="330" t="str">
        <f>IF($G104="","",Reserve!$I104)</f>
        <v/>
      </c>
      <c r="R104" s="324" t="str">
        <f>IF($G104="","",Reserve!$J105+Reserve!$K105)</f>
        <v/>
      </c>
      <c r="S104" s="166" t="str">
        <f>IF($G104="","",Change!$G105)</f>
        <v/>
      </c>
      <c r="T104" s="163" t="str">
        <f t="shared" si="157"/>
        <v/>
      </c>
      <c r="U104" s="332" t="str">
        <f t="shared" si="162"/>
        <v/>
      </c>
      <c r="V104" s="324" t="str">
        <f>IF($G104="","",Reserve!$Q105-$R104)</f>
        <v/>
      </c>
      <c r="W104" s="166" t="str">
        <f>IF($G104="","",Reserve!$S105)</f>
        <v/>
      </c>
      <c r="X104" s="328" t="str">
        <f t="shared" si="163"/>
        <v/>
      </c>
      <c r="Y104" s="335" t="str">
        <f t="shared" si="164"/>
        <v/>
      </c>
      <c r="Z104" s="235" t="str">
        <f>IF($G104="","",VLOOKUP(H104,Life!$A$3:$Q$113,$B$6+1,FALSE))</f>
        <v/>
      </c>
      <c r="AA104" s="235" t="str">
        <f t="shared" si="165"/>
        <v/>
      </c>
      <c r="AB104" s="235" t="str">
        <f t="shared" si="166"/>
        <v/>
      </c>
      <c r="AC104" s="332" t="str">
        <f>IF($G104="","",HLOOKUP($G104,AssetShare_Table!$B$84:$G$85,2)*$D$11)</f>
        <v/>
      </c>
      <c r="AD104" s="335" t="str">
        <f t="shared" si="167"/>
        <v/>
      </c>
      <c r="AE104" s="235" t="str">
        <f t="shared" si="168"/>
        <v/>
      </c>
      <c r="AF104" s="235" t="str">
        <f t="shared" si="169"/>
        <v/>
      </c>
      <c r="AG104" s="332" t="str">
        <f t="shared" si="170"/>
        <v/>
      </c>
      <c r="AH104" s="324" t="str">
        <f t="shared" si="171"/>
        <v/>
      </c>
      <c r="AI104" s="166" t="str">
        <f t="shared" si="172"/>
        <v/>
      </c>
      <c r="AJ104" s="166" t="str">
        <f t="shared" si="173"/>
        <v/>
      </c>
      <c r="AK104" s="166" t="str">
        <f t="shared" si="174"/>
        <v/>
      </c>
      <c r="AL104" s="166" t="str">
        <f t="shared" si="175"/>
        <v/>
      </c>
      <c r="AM104" s="166" t="str">
        <f t="shared" si="176"/>
        <v/>
      </c>
      <c r="AN104" s="163" t="str">
        <f t="shared" si="145"/>
        <v/>
      </c>
      <c r="AO104" s="166" t="str">
        <f t="shared" si="146"/>
        <v/>
      </c>
      <c r="AP104" s="166" t="str">
        <f t="shared" si="177"/>
        <v/>
      </c>
      <c r="AQ104" s="166" t="str">
        <f t="shared" si="178"/>
        <v/>
      </c>
      <c r="AR104" s="328" t="str">
        <f t="shared" si="179"/>
        <v/>
      </c>
      <c r="AS104" s="324" t="str">
        <f t="shared" si="180"/>
        <v/>
      </c>
      <c r="AT104" s="166" t="str">
        <f t="shared" si="181"/>
        <v/>
      </c>
      <c r="AU104" s="166" t="str">
        <f t="shared" si="182"/>
        <v/>
      </c>
      <c r="AV104" s="166" t="str">
        <f t="shared" si="183"/>
        <v/>
      </c>
      <c r="AW104" s="328" t="str">
        <f t="shared" si="184"/>
        <v/>
      </c>
      <c r="AX104" s="324" t="str">
        <f>IF($G104="","",Reserve!$P105-$R104)</f>
        <v/>
      </c>
      <c r="AY104" s="235" t="str">
        <f t="shared" si="185"/>
        <v/>
      </c>
      <c r="AZ104" s="332" t="str">
        <f>IF($G104="","",VLOOKUP($H104,Life!$A$3:$R$113,18,FALSE))</f>
        <v/>
      </c>
      <c r="BA104" s="165" t="str">
        <f t="shared" si="186"/>
        <v/>
      </c>
      <c r="BB104" s="166" t="str">
        <f t="shared" si="187"/>
        <v/>
      </c>
      <c r="BC104" s="166" t="str">
        <f t="shared" si="188"/>
        <v/>
      </c>
      <c r="BD104" s="166" t="str">
        <f t="shared" si="189"/>
        <v/>
      </c>
      <c r="BE104" s="166" t="str">
        <f t="shared" si="190"/>
        <v/>
      </c>
      <c r="BF104" s="166" t="str">
        <f t="shared" si="191"/>
        <v/>
      </c>
      <c r="BG104" s="166" t="str">
        <f t="shared" si="192"/>
        <v/>
      </c>
      <c r="BH104" s="166" t="str">
        <f t="shared" si="193"/>
        <v/>
      </c>
      <c r="BI104" s="166" t="str">
        <f t="shared" si="194"/>
        <v/>
      </c>
      <c r="BJ104" s="166" t="str">
        <f t="shared" si="195"/>
        <v/>
      </c>
      <c r="BK104" s="167" t="str">
        <f t="shared" si="196"/>
        <v/>
      </c>
      <c r="BL104" s="166" t="str">
        <f t="shared" si="147"/>
        <v/>
      </c>
      <c r="BM104" s="163" t="str">
        <f t="shared" si="148"/>
        <v/>
      </c>
      <c r="BN104" s="166" t="str">
        <f t="shared" si="149"/>
        <v/>
      </c>
      <c r="BO104" s="166" t="str">
        <f t="shared" si="150"/>
        <v/>
      </c>
      <c r="BP104" s="166" t="str">
        <f t="shared" si="151"/>
        <v/>
      </c>
      <c r="BQ104" s="166" t="str">
        <f t="shared" si="152"/>
        <v/>
      </c>
      <c r="BR104" s="166" t="str">
        <f t="shared" si="153"/>
        <v/>
      </c>
      <c r="BS104" s="166" t="str">
        <f t="shared" si="154"/>
        <v/>
      </c>
      <c r="BT104" s="166" t="str">
        <f t="shared" si="155"/>
        <v/>
      </c>
      <c r="BU104" s="167" t="str">
        <f t="shared" si="156"/>
        <v/>
      </c>
    </row>
    <row r="105" spans="6:73" x14ac:dyDescent="0.3">
      <c r="F105" s="36">
        <v>101</v>
      </c>
      <c r="G105" s="363" t="str">
        <f t="shared" si="158"/>
        <v/>
      </c>
      <c r="H105" s="153" t="str">
        <f t="shared" si="159"/>
        <v/>
      </c>
      <c r="I105" s="323" t="str">
        <f t="shared" si="160"/>
        <v/>
      </c>
      <c r="J105" s="163" t="str">
        <f t="shared" si="161"/>
        <v/>
      </c>
      <c r="K105" s="327" t="str">
        <f>IF($G105="","",Reserve!N105)</f>
        <v/>
      </c>
      <c r="L105" s="163" t="str">
        <f t="shared" si="142"/>
        <v/>
      </c>
      <c r="M105" s="163" t="str">
        <f t="shared" si="143"/>
        <v/>
      </c>
      <c r="N105" s="163" t="str">
        <f t="shared" si="144"/>
        <v/>
      </c>
      <c r="O105" s="163" t="str">
        <f t="shared" si="105"/>
        <v/>
      </c>
      <c r="P105" s="327" t="str">
        <f t="shared" si="106"/>
        <v/>
      </c>
      <c r="Q105" s="330" t="str">
        <f>IF($G105="","",Reserve!$I105)</f>
        <v/>
      </c>
      <c r="R105" s="323" t="str">
        <f>IF($G105="","",Reserve!$J106+Reserve!$K106)</f>
        <v/>
      </c>
      <c r="S105" s="163" t="str">
        <f>IF($G105="","",Change!$G106)</f>
        <v/>
      </c>
      <c r="T105" s="163" t="str">
        <f t="shared" si="157"/>
        <v/>
      </c>
      <c r="U105" s="331" t="str">
        <f t="shared" si="162"/>
        <v/>
      </c>
      <c r="V105" s="323" t="str">
        <f>IF($G105="","",Reserve!$Q106-$R105)</f>
        <v/>
      </c>
      <c r="W105" s="163" t="str">
        <f>IF($G105="","",Reserve!$S106)</f>
        <v/>
      </c>
      <c r="X105" s="327" t="str">
        <f t="shared" si="163"/>
        <v/>
      </c>
      <c r="Y105" s="334" t="str">
        <f t="shared" si="164"/>
        <v/>
      </c>
      <c r="Z105" s="220" t="str">
        <f>IF($G105="","",VLOOKUP(H105,Life!$A$3:$Q$113,$B$6+1,FALSE))</f>
        <v/>
      </c>
      <c r="AA105" s="220" t="str">
        <f t="shared" si="165"/>
        <v/>
      </c>
      <c r="AB105" s="220" t="str">
        <f t="shared" si="166"/>
        <v/>
      </c>
      <c r="AC105" s="331" t="str">
        <f>IF($G105="","",HLOOKUP($G105,AssetShare_Table!$B$84:$G$85,2)*$D$11)</f>
        <v/>
      </c>
      <c r="AD105" s="334" t="str">
        <f t="shared" si="167"/>
        <v/>
      </c>
      <c r="AE105" s="220" t="str">
        <f t="shared" si="168"/>
        <v/>
      </c>
      <c r="AF105" s="220" t="str">
        <f t="shared" si="169"/>
        <v/>
      </c>
      <c r="AG105" s="331" t="str">
        <f t="shared" si="170"/>
        <v/>
      </c>
      <c r="AH105" s="323" t="str">
        <f t="shared" si="171"/>
        <v/>
      </c>
      <c r="AI105" s="163" t="str">
        <f t="shared" si="172"/>
        <v/>
      </c>
      <c r="AJ105" s="163" t="str">
        <f t="shared" si="173"/>
        <v/>
      </c>
      <c r="AK105" s="163" t="str">
        <f t="shared" si="174"/>
        <v/>
      </c>
      <c r="AL105" s="163" t="str">
        <f t="shared" si="175"/>
        <v/>
      </c>
      <c r="AM105" s="163" t="str">
        <f t="shared" si="176"/>
        <v/>
      </c>
      <c r="AN105" s="163" t="str">
        <f t="shared" si="145"/>
        <v/>
      </c>
      <c r="AO105" s="163" t="str">
        <f t="shared" si="146"/>
        <v/>
      </c>
      <c r="AP105" s="163" t="str">
        <f t="shared" si="177"/>
        <v/>
      </c>
      <c r="AQ105" s="163" t="str">
        <f t="shared" si="178"/>
        <v/>
      </c>
      <c r="AR105" s="327" t="str">
        <f t="shared" si="179"/>
        <v/>
      </c>
      <c r="AS105" s="323" t="str">
        <f t="shared" si="180"/>
        <v/>
      </c>
      <c r="AT105" s="163" t="str">
        <f t="shared" si="181"/>
        <v/>
      </c>
      <c r="AU105" s="163" t="str">
        <f t="shared" si="182"/>
        <v/>
      </c>
      <c r="AV105" s="163" t="str">
        <f t="shared" si="183"/>
        <v/>
      </c>
      <c r="AW105" s="327" t="str">
        <f t="shared" si="184"/>
        <v/>
      </c>
      <c r="AX105" s="323" t="str">
        <f>IF($G105="","",Reserve!$P106-$R105)</f>
        <v/>
      </c>
      <c r="AY105" s="220" t="str">
        <f t="shared" si="185"/>
        <v/>
      </c>
      <c r="AZ105" s="331" t="str">
        <f>IF($G105="","",VLOOKUP($H105,Life!$A$3:$R$113,18,FALSE))</f>
        <v/>
      </c>
      <c r="BA105" s="162" t="str">
        <f t="shared" si="186"/>
        <v/>
      </c>
      <c r="BB105" s="163" t="str">
        <f t="shared" si="187"/>
        <v/>
      </c>
      <c r="BC105" s="163" t="str">
        <f t="shared" si="188"/>
        <v/>
      </c>
      <c r="BD105" s="163" t="str">
        <f t="shared" si="189"/>
        <v/>
      </c>
      <c r="BE105" s="163" t="str">
        <f t="shared" si="190"/>
        <v/>
      </c>
      <c r="BF105" s="163" t="str">
        <f t="shared" si="191"/>
        <v/>
      </c>
      <c r="BG105" s="163" t="str">
        <f t="shared" si="192"/>
        <v/>
      </c>
      <c r="BH105" s="163" t="str">
        <f t="shared" si="193"/>
        <v/>
      </c>
      <c r="BI105" s="163" t="str">
        <f t="shared" si="194"/>
        <v/>
      </c>
      <c r="BJ105" s="163" t="str">
        <f t="shared" si="195"/>
        <v/>
      </c>
      <c r="BK105" s="164" t="str">
        <f t="shared" si="196"/>
        <v/>
      </c>
      <c r="BL105" s="163" t="str">
        <f t="shared" si="147"/>
        <v/>
      </c>
      <c r="BM105" s="163" t="str">
        <f t="shared" si="148"/>
        <v/>
      </c>
      <c r="BN105" s="163" t="str">
        <f t="shared" si="149"/>
        <v/>
      </c>
      <c r="BO105" s="163" t="str">
        <f t="shared" si="150"/>
        <v/>
      </c>
      <c r="BP105" s="163" t="str">
        <f t="shared" si="151"/>
        <v/>
      </c>
      <c r="BQ105" s="163" t="str">
        <f t="shared" si="152"/>
        <v/>
      </c>
      <c r="BR105" s="163" t="str">
        <f t="shared" si="153"/>
        <v/>
      </c>
      <c r="BS105" s="163" t="str">
        <f t="shared" si="154"/>
        <v/>
      </c>
      <c r="BT105" s="163" t="str">
        <f t="shared" si="155"/>
        <v/>
      </c>
      <c r="BU105" s="164" t="str">
        <f t="shared" si="156"/>
        <v/>
      </c>
    </row>
    <row r="106" spans="6:73" x14ac:dyDescent="0.3">
      <c r="F106" s="36">
        <v>102</v>
      </c>
      <c r="G106" s="363" t="str">
        <f t="shared" si="158"/>
        <v/>
      </c>
      <c r="H106" s="153" t="str">
        <f t="shared" si="159"/>
        <v/>
      </c>
      <c r="I106" s="323" t="str">
        <f t="shared" si="160"/>
        <v/>
      </c>
      <c r="J106" s="163" t="str">
        <f t="shared" si="161"/>
        <v/>
      </c>
      <c r="K106" s="327" t="str">
        <f>IF($G106="","",Reserve!N106)</f>
        <v/>
      </c>
      <c r="L106" s="163" t="str">
        <f t="shared" si="142"/>
        <v/>
      </c>
      <c r="M106" s="163" t="str">
        <f t="shared" si="143"/>
        <v/>
      </c>
      <c r="N106" s="163" t="str">
        <f t="shared" si="144"/>
        <v/>
      </c>
      <c r="O106" s="163" t="str">
        <f t="shared" si="105"/>
        <v/>
      </c>
      <c r="P106" s="327" t="str">
        <f t="shared" si="106"/>
        <v/>
      </c>
      <c r="Q106" s="330" t="str">
        <f>IF($G106="","",Reserve!$I106)</f>
        <v/>
      </c>
      <c r="R106" s="323" t="str">
        <f>IF($G106="","",Reserve!$J107+Reserve!$K107)</f>
        <v/>
      </c>
      <c r="S106" s="163" t="str">
        <f>IF($G106="","",Change!$G107)</f>
        <v/>
      </c>
      <c r="T106" s="163" t="str">
        <f t="shared" si="157"/>
        <v/>
      </c>
      <c r="U106" s="331" t="str">
        <f t="shared" si="162"/>
        <v/>
      </c>
      <c r="V106" s="323" t="str">
        <f>IF($G106="","",Reserve!$Q107-$R106)</f>
        <v/>
      </c>
      <c r="W106" s="163" t="str">
        <f>IF($G106="","",Reserve!$S107)</f>
        <v/>
      </c>
      <c r="X106" s="327" t="str">
        <f t="shared" si="163"/>
        <v/>
      </c>
      <c r="Y106" s="334" t="str">
        <f t="shared" si="164"/>
        <v/>
      </c>
      <c r="Z106" s="220" t="str">
        <f>IF($G106="","",VLOOKUP(H106,Life!$A$3:$Q$113,$B$6+1,FALSE))</f>
        <v/>
      </c>
      <c r="AA106" s="220" t="str">
        <f t="shared" si="165"/>
        <v/>
      </c>
      <c r="AB106" s="220" t="str">
        <f t="shared" si="166"/>
        <v/>
      </c>
      <c r="AC106" s="331" t="str">
        <f>IF($G106="","",HLOOKUP($G106,AssetShare_Table!$B$84:$G$85,2)*$D$11)</f>
        <v/>
      </c>
      <c r="AD106" s="334" t="str">
        <f t="shared" si="167"/>
        <v/>
      </c>
      <c r="AE106" s="220" t="str">
        <f t="shared" si="168"/>
        <v/>
      </c>
      <c r="AF106" s="220" t="str">
        <f t="shared" si="169"/>
        <v/>
      </c>
      <c r="AG106" s="331" t="str">
        <f t="shared" si="170"/>
        <v/>
      </c>
      <c r="AH106" s="323" t="str">
        <f t="shared" si="171"/>
        <v/>
      </c>
      <c r="AI106" s="163" t="str">
        <f t="shared" si="172"/>
        <v/>
      </c>
      <c r="AJ106" s="163" t="str">
        <f t="shared" si="173"/>
        <v/>
      </c>
      <c r="AK106" s="163" t="str">
        <f t="shared" si="174"/>
        <v/>
      </c>
      <c r="AL106" s="163" t="str">
        <f t="shared" si="175"/>
        <v/>
      </c>
      <c r="AM106" s="163" t="str">
        <f t="shared" si="176"/>
        <v/>
      </c>
      <c r="AN106" s="163" t="str">
        <f t="shared" si="145"/>
        <v/>
      </c>
      <c r="AO106" s="163" t="str">
        <f t="shared" si="146"/>
        <v/>
      </c>
      <c r="AP106" s="163" t="str">
        <f t="shared" si="177"/>
        <v/>
      </c>
      <c r="AQ106" s="163" t="str">
        <f t="shared" si="178"/>
        <v/>
      </c>
      <c r="AR106" s="327" t="str">
        <f t="shared" si="179"/>
        <v/>
      </c>
      <c r="AS106" s="323" t="str">
        <f t="shared" si="180"/>
        <v/>
      </c>
      <c r="AT106" s="163" t="str">
        <f t="shared" si="181"/>
        <v/>
      </c>
      <c r="AU106" s="163" t="str">
        <f t="shared" si="182"/>
        <v/>
      </c>
      <c r="AV106" s="163" t="str">
        <f t="shared" si="183"/>
        <v/>
      </c>
      <c r="AW106" s="327" t="str">
        <f t="shared" si="184"/>
        <v/>
      </c>
      <c r="AX106" s="323" t="str">
        <f>IF($G106="","",Reserve!$P107-$R106)</f>
        <v/>
      </c>
      <c r="AY106" s="220" t="str">
        <f t="shared" si="185"/>
        <v/>
      </c>
      <c r="AZ106" s="331" t="str">
        <f>IF($G106="","",VLOOKUP($H106,Life!$A$3:$R$113,18,FALSE))</f>
        <v/>
      </c>
      <c r="BA106" s="162" t="str">
        <f t="shared" si="186"/>
        <v/>
      </c>
      <c r="BB106" s="163" t="str">
        <f t="shared" si="187"/>
        <v/>
      </c>
      <c r="BC106" s="163" t="str">
        <f t="shared" si="188"/>
        <v/>
      </c>
      <c r="BD106" s="163" t="str">
        <f t="shared" si="189"/>
        <v/>
      </c>
      <c r="BE106" s="163" t="str">
        <f t="shared" si="190"/>
        <v/>
      </c>
      <c r="BF106" s="163" t="str">
        <f t="shared" si="191"/>
        <v/>
      </c>
      <c r="BG106" s="163" t="str">
        <f t="shared" si="192"/>
        <v/>
      </c>
      <c r="BH106" s="163" t="str">
        <f t="shared" si="193"/>
        <v/>
      </c>
      <c r="BI106" s="163" t="str">
        <f t="shared" si="194"/>
        <v/>
      </c>
      <c r="BJ106" s="163" t="str">
        <f t="shared" si="195"/>
        <v/>
      </c>
      <c r="BK106" s="164" t="str">
        <f t="shared" si="196"/>
        <v/>
      </c>
      <c r="BL106" s="163" t="str">
        <f t="shared" si="147"/>
        <v/>
      </c>
      <c r="BM106" s="163" t="str">
        <f t="shared" si="148"/>
        <v/>
      </c>
      <c r="BN106" s="163" t="str">
        <f t="shared" si="149"/>
        <v/>
      </c>
      <c r="BO106" s="163" t="str">
        <f t="shared" si="150"/>
        <v/>
      </c>
      <c r="BP106" s="163" t="str">
        <f t="shared" si="151"/>
        <v/>
      </c>
      <c r="BQ106" s="163" t="str">
        <f t="shared" si="152"/>
        <v/>
      </c>
      <c r="BR106" s="163" t="str">
        <f t="shared" si="153"/>
        <v/>
      </c>
      <c r="BS106" s="163" t="str">
        <f t="shared" si="154"/>
        <v/>
      </c>
      <c r="BT106" s="163" t="str">
        <f t="shared" si="155"/>
        <v/>
      </c>
      <c r="BU106" s="164" t="str">
        <f t="shared" si="156"/>
        <v/>
      </c>
    </row>
    <row r="107" spans="6:73" x14ac:dyDescent="0.3">
      <c r="F107" s="36">
        <v>103</v>
      </c>
      <c r="G107" s="363" t="str">
        <f t="shared" si="158"/>
        <v/>
      </c>
      <c r="H107" s="153" t="str">
        <f t="shared" si="159"/>
        <v/>
      </c>
      <c r="I107" s="323" t="str">
        <f t="shared" si="160"/>
        <v/>
      </c>
      <c r="J107" s="163" t="str">
        <f t="shared" si="161"/>
        <v/>
      </c>
      <c r="K107" s="327" t="str">
        <f>IF($G107="","",Reserve!N107)</f>
        <v/>
      </c>
      <c r="L107" s="163" t="str">
        <f t="shared" si="142"/>
        <v/>
      </c>
      <c r="M107" s="163" t="str">
        <f t="shared" si="143"/>
        <v/>
      </c>
      <c r="N107" s="163" t="str">
        <f t="shared" si="144"/>
        <v/>
      </c>
      <c r="O107" s="163" t="str">
        <f t="shared" si="105"/>
        <v/>
      </c>
      <c r="P107" s="327" t="str">
        <f t="shared" si="106"/>
        <v/>
      </c>
      <c r="Q107" s="330" t="str">
        <f>IF($G107="","",Reserve!$I107)</f>
        <v/>
      </c>
      <c r="R107" s="323" t="str">
        <f>IF($G107="","",Reserve!$J108+Reserve!$K108)</f>
        <v/>
      </c>
      <c r="S107" s="163" t="str">
        <f>IF($G107="","",Change!$G108)</f>
        <v/>
      </c>
      <c r="T107" s="163" t="str">
        <f t="shared" si="157"/>
        <v/>
      </c>
      <c r="U107" s="331" t="str">
        <f t="shared" si="162"/>
        <v/>
      </c>
      <c r="V107" s="323" t="str">
        <f>IF($G107="","",Reserve!$Q108-$R107)</f>
        <v/>
      </c>
      <c r="W107" s="163" t="str">
        <f>IF($G107="","",Reserve!$S108)</f>
        <v/>
      </c>
      <c r="X107" s="327" t="str">
        <f t="shared" si="163"/>
        <v/>
      </c>
      <c r="Y107" s="334" t="str">
        <f t="shared" si="164"/>
        <v/>
      </c>
      <c r="Z107" s="220" t="str">
        <f>IF($G107="","",VLOOKUP(H107,Life!$A$3:$Q$113,$B$6+1,FALSE))</f>
        <v/>
      </c>
      <c r="AA107" s="220" t="str">
        <f t="shared" si="165"/>
        <v/>
      </c>
      <c r="AB107" s="220" t="str">
        <f t="shared" si="166"/>
        <v/>
      </c>
      <c r="AC107" s="331" t="str">
        <f>IF($G107="","",HLOOKUP($G107,AssetShare_Table!$B$84:$G$85,2)*$D$11)</f>
        <v/>
      </c>
      <c r="AD107" s="334" t="str">
        <f t="shared" si="167"/>
        <v/>
      </c>
      <c r="AE107" s="220" t="str">
        <f t="shared" si="168"/>
        <v/>
      </c>
      <c r="AF107" s="220" t="str">
        <f t="shared" si="169"/>
        <v/>
      </c>
      <c r="AG107" s="331" t="str">
        <f t="shared" si="170"/>
        <v/>
      </c>
      <c r="AH107" s="323" t="str">
        <f t="shared" si="171"/>
        <v/>
      </c>
      <c r="AI107" s="163" t="str">
        <f t="shared" si="172"/>
        <v/>
      </c>
      <c r="AJ107" s="163" t="str">
        <f t="shared" si="173"/>
        <v/>
      </c>
      <c r="AK107" s="163" t="str">
        <f t="shared" si="174"/>
        <v/>
      </c>
      <c r="AL107" s="163" t="str">
        <f t="shared" si="175"/>
        <v/>
      </c>
      <c r="AM107" s="163" t="str">
        <f t="shared" si="176"/>
        <v/>
      </c>
      <c r="AN107" s="163" t="str">
        <f t="shared" si="145"/>
        <v/>
      </c>
      <c r="AO107" s="163" t="str">
        <f t="shared" si="146"/>
        <v/>
      </c>
      <c r="AP107" s="163" t="str">
        <f t="shared" si="177"/>
        <v/>
      </c>
      <c r="AQ107" s="163" t="str">
        <f t="shared" si="178"/>
        <v/>
      </c>
      <c r="AR107" s="327" t="str">
        <f t="shared" si="179"/>
        <v/>
      </c>
      <c r="AS107" s="323" t="str">
        <f t="shared" si="180"/>
        <v/>
      </c>
      <c r="AT107" s="163" t="str">
        <f t="shared" si="181"/>
        <v/>
      </c>
      <c r="AU107" s="163" t="str">
        <f t="shared" si="182"/>
        <v/>
      </c>
      <c r="AV107" s="163" t="str">
        <f t="shared" si="183"/>
        <v/>
      </c>
      <c r="AW107" s="327" t="str">
        <f t="shared" si="184"/>
        <v/>
      </c>
      <c r="AX107" s="323" t="str">
        <f>IF($G107="","",Reserve!$P108-$R107)</f>
        <v/>
      </c>
      <c r="AY107" s="220" t="str">
        <f t="shared" si="185"/>
        <v/>
      </c>
      <c r="AZ107" s="331" t="str">
        <f>IF($G107="","",VLOOKUP($H107,Life!$A$3:$R$113,18,FALSE))</f>
        <v/>
      </c>
      <c r="BA107" s="162" t="str">
        <f t="shared" si="186"/>
        <v/>
      </c>
      <c r="BB107" s="163" t="str">
        <f t="shared" si="187"/>
        <v/>
      </c>
      <c r="BC107" s="163" t="str">
        <f t="shared" si="188"/>
        <v/>
      </c>
      <c r="BD107" s="163" t="str">
        <f t="shared" si="189"/>
        <v/>
      </c>
      <c r="BE107" s="163" t="str">
        <f t="shared" si="190"/>
        <v/>
      </c>
      <c r="BF107" s="163" t="str">
        <f t="shared" si="191"/>
        <v/>
      </c>
      <c r="BG107" s="163" t="str">
        <f t="shared" si="192"/>
        <v/>
      </c>
      <c r="BH107" s="163" t="str">
        <f t="shared" si="193"/>
        <v/>
      </c>
      <c r="BI107" s="163" t="str">
        <f t="shared" si="194"/>
        <v/>
      </c>
      <c r="BJ107" s="163" t="str">
        <f t="shared" si="195"/>
        <v/>
      </c>
      <c r="BK107" s="164" t="str">
        <f t="shared" si="196"/>
        <v/>
      </c>
      <c r="BL107" s="163" t="str">
        <f t="shared" si="147"/>
        <v/>
      </c>
      <c r="BM107" s="163" t="str">
        <f t="shared" si="148"/>
        <v/>
      </c>
      <c r="BN107" s="163" t="str">
        <f t="shared" si="149"/>
        <v/>
      </c>
      <c r="BO107" s="163" t="str">
        <f t="shared" si="150"/>
        <v/>
      </c>
      <c r="BP107" s="163" t="str">
        <f t="shared" si="151"/>
        <v/>
      </c>
      <c r="BQ107" s="163" t="str">
        <f t="shared" si="152"/>
        <v/>
      </c>
      <c r="BR107" s="163" t="str">
        <f t="shared" si="153"/>
        <v/>
      </c>
      <c r="BS107" s="163" t="str">
        <f t="shared" si="154"/>
        <v/>
      </c>
      <c r="BT107" s="163" t="str">
        <f t="shared" si="155"/>
        <v/>
      </c>
      <c r="BU107" s="164" t="str">
        <f t="shared" si="156"/>
        <v/>
      </c>
    </row>
    <row r="108" spans="6:73" x14ac:dyDescent="0.3">
      <c r="F108" s="36">
        <v>104</v>
      </c>
      <c r="G108" s="363" t="str">
        <f t="shared" si="158"/>
        <v/>
      </c>
      <c r="H108" s="153" t="str">
        <f t="shared" si="159"/>
        <v/>
      </c>
      <c r="I108" s="323" t="str">
        <f t="shared" si="160"/>
        <v/>
      </c>
      <c r="J108" s="163" t="str">
        <f t="shared" si="161"/>
        <v/>
      </c>
      <c r="K108" s="327" t="str">
        <f>IF($G108="","",Reserve!N108)</f>
        <v/>
      </c>
      <c r="L108" s="163" t="str">
        <f t="shared" si="142"/>
        <v/>
      </c>
      <c r="M108" s="163" t="str">
        <f t="shared" si="143"/>
        <v/>
      </c>
      <c r="N108" s="163" t="str">
        <f t="shared" si="144"/>
        <v/>
      </c>
      <c r="O108" s="163" t="str">
        <f t="shared" si="105"/>
        <v/>
      </c>
      <c r="P108" s="327" t="str">
        <f t="shared" si="106"/>
        <v/>
      </c>
      <c r="Q108" s="330" t="str">
        <f>IF($G108="","",Reserve!$I108)</f>
        <v/>
      </c>
      <c r="R108" s="323" t="str">
        <f>IF($G108="","",Reserve!$J109+Reserve!$K109)</f>
        <v/>
      </c>
      <c r="S108" s="163" t="str">
        <f>IF($G108="","",Change!$G109)</f>
        <v/>
      </c>
      <c r="T108" s="163" t="str">
        <f t="shared" si="157"/>
        <v/>
      </c>
      <c r="U108" s="331" t="str">
        <f t="shared" si="162"/>
        <v/>
      </c>
      <c r="V108" s="323" t="str">
        <f>IF($G108="","",Reserve!$Q109-$R108)</f>
        <v/>
      </c>
      <c r="W108" s="163" t="str">
        <f>IF($G108="","",Reserve!$S109)</f>
        <v/>
      </c>
      <c r="X108" s="327" t="str">
        <f t="shared" si="163"/>
        <v/>
      </c>
      <c r="Y108" s="334" t="str">
        <f t="shared" si="164"/>
        <v/>
      </c>
      <c r="Z108" s="220" t="str">
        <f>IF($G108="","",VLOOKUP(H108,Life!$A$3:$Q$113,$B$6+1,FALSE))</f>
        <v/>
      </c>
      <c r="AA108" s="220" t="str">
        <f t="shared" si="165"/>
        <v/>
      </c>
      <c r="AB108" s="220" t="str">
        <f t="shared" si="166"/>
        <v/>
      </c>
      <c r="AC108" s="331" t="str">
        <f>IF($G108="","",HLOOKUP($G108,AssetShare_Table!$B$84:$G$85,2)*$D$11)</f>
        <v/>
      </c>
      <c r="AD108" s="334" t="str">
        <f t="shared" si="167"/>
        <v/>
      </c>
      <c r="AE108" s="220" t="str">
        <f t="shared" si="168"/>
        <v/>
      </c>
      <c r="AF108" s="220" t="str">
        <f t="shared" si="169"/>
        <v/>
      </c>
      <c r="AG108" s="331" t="str">
        <f t="shared" si="170"/>
        <v/>
      </c>
      <c r="AH108" s="323" t="str">
        <f t="shared" si="171"/>
        <v/>
      </c>
      <c r="AI108" s="163" t="str">
        <f t="shared" si="172"/>
        <v/>
      </c>
      <c r="AJ108" s="163" t="str">
        <f t="shared" si="173"/>
        <v/>
      </c>
      <c r="AK108" s="163" t="str">
        <f t="shared" si="174"/>
        <v/>
      </c>
      <c r="AL108" s="163" t="str">
        <f t="shared" si="175"/>
        <v/>
      </c>
      <c r="AM108" s="163" t="str">
        <f t="shared" si="176"/>
        <v/>
      </c>
      <c r="AN108" s="163" t="str">
        <f t="shared" si="145"/>
        <v/>
      </c>
      <c r="AO108" s="163" t="str">
        <f t="shared" si="146"/>
        <v/>
      </c>
      <c r="AP108" s="163" t="str">
        <f t="shared" si="177"/>
        <v/>
      </c>
      <c r="AQ108" s="163" t="str">
        <f t="shared" si="178"/>
        <v/>
      </c>
      <c r="AR108" s="327" t="str">
        <f t="shared" si="179"/>
        <v/>
      </c>
      <c r="AS108" s="323" t="str">
        <f t="shared" si="180"/>
        <v/>
      </c>
      <c r="AT108" s="163" t="str">
        <f t="shared" si="181"/>
        <v/>
      </c>
      <c r="AU108" s="163" t="str">
        <f t="shared" si="182"/>
        <v/>
      </c>
      <c r="AV108" s="163" t="str">
        <f t="shared" si="183"/>
        <v/>
      </c>
      <c r="AW108" s="327" t="str">
        <f t="shared" si="184"/>
        <v/>
      </c>
      <c r="AX108" s="323" t="str">
        <f>IF($G108="","",Reserve!$P109-$R108)</f>
        <v/>
      </c>
      <c r="AY108" s="220" t="str">
        <f t="shared" si="185"/>
        <v/>
      </c>
      <c r="AZ108" s="331" t="str">
        <f>IF($G108="","",VLOOKUP($H108,Life!$A$3:$R$113,18,FALSE))</f>
        <v/>
      </c>
      <c r="BA108" s="162" t="str">
        <f t="shared" si="186"/>
        <v/>
      </c>
      <c r="BB108" s="163" t="str">
        <f t="shared" si="187"/>
        <v/>
      </c>
      <c r="BC108" s="163" t="str">
        <f t="shared" si="188"/>
        <v/>
      </c>
      <c r="BD108" s="163" t="str">
        <f t="shared" si="189"/>
        <v/>
      </c>
      <c r="BE108" s="163" t="str">
        <f t="shared" si="190"/>
        <v/>
      </c>
      <c r="BF108" s="163" t="str">
        <f t="shared" si="191"/>
        <v/>
      </c>
      <c r="BG108" s="163" t="str">
        <f t="shared" si="192"/>
        <v/>
      </c>
      <c r="BH108" s="163" t="str">
        <f t="shared" si="193"/>
        <v/>
      </c>
      <c r="BI108" s="163" t="str">
        <f t="shared" si="194"/>
        <v/>
      </c>
      <c r="BJ108" s="163" t="str">
        <f t="shared" si="195"/>
        <v/>
      </c>
      <c r="BK108" s="164" t="str">
        <f t="shared" si="196"/>
        <v/>
      </c>
      <c r="BL108" s="163" t="str">
        <f t="shared" si="147"/>
        <v/>
      </c>
      <c r="BM108" s="163" t="str">
        <f t="shared" si="148"/>
        <v/>
      </c>
      <c r="BN108" s="163" t="str">
        <f t="shared" si="149"/>
        <v/>
      </c>
      <c r="BO108" s="163" t="str">
        <f t="shared" si="150"/>
        <v/>
      </c>
      <c r="BP108" s="163" t="str">
        <f t="shared" si="151"/>
        <v/>
      </c>
      <c r="BQ108" s="163" t="str">
        <f t="shared" si="152"/>
        <v/>
      </c>
      <c r="BR108" s="163" t="str">
        <f t="shared" si="153"/>
        <v/>
      </c>
      <c r="BS108" s="163" t="str">
        <f t="shared" si="154"/>
        <v/>
      </c>
      <c r="BT108" s="163" t="str">
        <f t="shared" si="155"/>
        <v/>
      </c>
      <c r="BU108" s="164" t="str">
        <f t="shared" si="156"/>
        <v/>
      </c>
    </row>
    <row r="109" spans="6:73" x14ac:dyDescent="0.3">
      <c r="F109" s="320">
        <v>105</v>
      </c>
      <c r="G109" s="367" t="str">
        <f t="shared" si="158"/>
        <v/>
      </c>
      <c r="H109" s="155" t="str">
        <f t="shared" si="159"/>
        <v/>
      </c>
      <c r="I109" s="324" t="str">
        <f t="shared" si="160"/>
        <v/>
      </c>
      <c r="J109" s="166" t="str">
        <f t="shared" si="161"/>
        <v/>
      </c>
      <c r="K109" s="328" t="str">
        <f>IF($G109="","",Reserve!N109)</f>
        <v/>
      </c>
      <c r="L109" s="166" t="str">
        <f t="shared" si="142"/>
        <v/>
      </c>
      <c r="M109" s="166" t="str">
        <f t="shared" si="143"/>
        <v/>
      </c>
      <c r="N109" s="166" t="str">
        <f t="shared" si="144"/>
        <v/>
      </c>
      <c r="O109" s="166" t="str">
        <f t="shared" si="105"/>
        <v/>
      </c>
      <c r="P109" s="328" t="str">
        <f t="shared" si="106"/>
        <v/>
      </c>
      <c r="Q109" s="330" t="str">
        <f>IF($G109="","",Reserve!$I109)</f>
        <v/>
      </c>
      <c r="R109" s="324" t="str">
        <f>IF($G109="","",Reserve!$J110+Reserve!$K110)</f>
        <v/>
      </c>
      <c r="S109" s="166" t="str">
        <f>IF($G109="","",Change!$G110)</f>
        <v/>
      </c>
      <c r="T109" s="163" t="str">
        <f t="shared" si="157"/>
        <v/>
      </c>
      <c r="U109" s="332" t="str">
        <f t="shared" si="162"/>
        <v/>
      </c>
      <c r="V109" s="324" t="str">
        <f>IF($G109="","",Reserve!$Q110-$R109)</f>
        <v/>
      </c>
      <c r="W109" s="166" t="str">
        <f>IF($G109="","",Reserve!$S110)</f>
        <v/>
      </c>
      <c r="X109" s="328" t="str">
        <f t="shared" si="163"/>
        <v/>
      </c>
      <c r="Y109" s="335" t="str">
        <f t="shared" si="164"/>
        <v/>
      </c>
      <c r="Z109" s="235" t="str">
        <f>IF($G109="","",VLOOKUP(H109,Life!$A$3:$Q$113,$B$6+1,FALSE))</f>
        <v/>
      </c>
      <c r="AA109" s="235" t="str">
        <f t="shared" si="165"/>
        <v/>
      </c>
      <c r="AB109" s="235" t="str">
        <f t="shared" si="166"/>
        <v/>
      </c>
      <c r="AC109" s="332" t="str">
        <f>IF($G109="","",HLOOKUP($G109,AssetShare_Table!$B$84:$G$85,2)*$D$11)</f>
        <v/>
      </c>
      <c r="AD109" s="335" t="str">
        <f t="shared" si="167"/>
        <v/>
      </c>
      <c r="AE109" s="235" t="str">
        <f t="shared" si="168"/>
        <v/>
      </c>
      <c r="AF109" s="235" t="str">
        <f t="shared" si="169"/>
        <v/>
      </c>
      <c r="AG109" s="332" t="str">
        <f t="shared" si="170"/>
        <v/>
      </c>
      <c r="AH109" s="324" t="str">
        <f t="shared" si="171"/>
        <v/>
      </c>
      <c r="AI109" s="166" t="str">
        <f t="shared" si="172"/>
        <v/>
      </c>
      <c r="AJ109" s="166" t="str">
        <f t="shared" si="173"/>
        <v/>
      </c>
      <c r="AK109" s="166" t="str">
        <f t="shared" si="174"/>
        <v/>
      </c>
      <c r="AL109" s="166" t="str">
        <f t="shared" si="175"/>
        <v/>
      </c>
      <c r="AM109" s="166" t="str">
        <f t="shared" si="176"/>
        <v/>
      </c>
      <c r="AN109" s="163" t="str">
        <f t="shared" si="145"/>
        <v/>
      </c>
      <c r="AO109" s="166" t="str">
        <f t="shared" si="146"/>
        <v/>
      </c>
      <c r="AP109" s="166" t="str">
        <f t="shared" si="177"/>
        <v/>
      </c>
      <c r="AQ109" s="166" t="str">
        <f t="shared" si="178"/>
        <v/>
      </c>
      <c r="AR109" s="328" t="str">
        <f t="shared" si="179"/>
        <v/>
      </c>
      <c r="AS109" s="324" t="str">
        <f t="shared" si="180"/>
        <v/>
      </c>
      <c r="AT109" s="166" t="str">
        <f t="shared" si="181"/>
        <v/>
      </c>
      <c r="AU109" s="166" t="str">
        <f t="shared" si="182"/>
        <v/>
      </c>
      <c r="AV109" s="166" t="str">
        <f t="shared" si="183"/>
        <v/>
      </c>
      <c r="AW109" s="328" t="str">
        <f t="shared" si="184"/>
        <v/>
      </c>
      <c r="AX109" s="324" t="str">
        <f>IF($G109="","",Reserve!$P110-$R109)</f>
        <v/>
      </c>
      <c r="AY109" s="235" t="str">
        <f t="shared" si="185"/>
        <v/>
      </c>
      <c r="AZ109" s="332" t="str">
        <f>IF($G109="","",VLOOKUP($H109,Life!$A$3:$R$113,18,FALSE))</f>
        <v/>
      </c>
      <c r="BA109" s="165" t="str">
        <f t="shared" si="186"/>
        <v/>
      </c>
      <c r="BB109" s="166" t="str">
        <f t="shared" si="187"/>
        <v/>
      </c>
      <c r="BC109" s="166" t="str">
        <f t="shared" si="188"/>
        <v/>
      </c>
      <c r="BD109" s="166" t="str">
        <f t="shared" si="189"/>
        <v/>
      </c>
      <c r="BE109" s="166" t="str">
        <f t="shared" si="190"/>
        <v/>
      </c>
      <c r="BF109" s="166" t="str">
        <f t="shared" si="191"/>
        <v/>
      </c>
      <c r="BG109" s="166" t="str">
        <f t="shared" si="192"/>
        <v/>
      </c>
      <c r="BH109" s="166" t="str">
        <f t="shared" si="193"/>
        <v/>
      </c>
      <c r="BI109" s="166" t="str">
        <f t="shared" si="194"/>
        <v/>
      </c>
      <c r="BJ109" s="166" t="str">
        <f t="shared" si="195"/>
        <v/>
      </c>
      <c r="BK109" s="167" t="str">
        <f t="shared" si="196"/>
        <v/>
      </c>
      <c r="BL109" s="166" t="str">
        <f t="shared" si="147"/>
        <v/>
      </c>
      <c r="BM109" s="163" t="str">
        <f t="shared" si="148"/>
        <v/>
      </c>
      <c r="BN109" s="166" t="str">
        <f t="shared" si="149"/>
        <v/>
      </c>
      <c r="BO109" s="166" t="str">
        <f t="shared" si="150"/>
        <v/>
      </c>
      <c r="BP109" s="166" t="str">
        <f t="shared" si="151"/>
        <v/>
      </c>
      <c r="BQ109" s="166" t="str">
        <f t="shared" si="152"/>
        <v/>
      </c>
      <c r="BR109" s="166" t="str">
        <f t="shared" si="153"/>
        <v/>
      </c>
      <c r="BS109" s="166" t="str">
        <f t="shared" si="154"/>
        <v/>
      </c>
      <c r="BT109" s="166" t="str">
        <f t="shared" si="155"/>
        <v/>
      </c>
      <c r="BU109" s="167" t="str">
        <f t="shared" si="156"/>
        <v/>
      </c>
    </row>
    <row r="110" spans="6:73" x14ac:dyDescent="0.3">
      <c r="F110" s="36">
        <v>106</v>
      </c>
      <c r="G110" s="363" t="str">
        <f t="shared" si="158"/>
        <v/>
      </c>
      <c r="H110" s="153" t="str">
        <f t="shared" si="159"/>
        <v/>
      </c>
      <c r="I110" s="323" t="str">
        <f t="shared" si="160"/>
        <v/>
      </c>
      <c r="J110" s="163" t="str">
        <f t="shared" si="161"/>
        <v/>
      </c>
      <c r="K110" s="327" t="str">
        <f>IF($G110="","",Reserve!N110)</f>
        <v/>
      </c>
      <c r="L110" s="163" t="str">
        <f t="shared" si="142"/>
        <v/>
      </c>
      <c r="M110" s="163" t="str">
        <f t="shared" si="143"/>
        <v/>
      </c>
      <c r="N110" s="163" t="str">
        <f t="shared" si="144"/>
        <v/>
      </c>
      <c r="O110" s="163" t="str">
        <f t="shared" si="105"/>
        <v/>
      </c>
      <c r="P110" s="327" t="str">
        <f t="shared" si="106"/>
        <v/>
      </c>
      <c r="Q110" s="330" t="str">
        <f>IF($G110="","",Reserve!$I110)</f>
        <v/>
      </c>
      <c r="R110" s="323" t="str">
        <f>IF($G110="","",Reserve!$J111+Reserve!$K111)</f>
        <v/>
      </c>
      <c r="S110" s="163" t="str">
        <f>IF($G110="","",Change!$G111)</f>
        <v/>
      </c>
      <c r="T110" s="163" t="str">
        <f t="shared" si="157"/>
        <v/>
      </c>
      <c r="U110" s="331" t="str">
        <f t="shared" si="162"/>
        <v/>
      </c>
      <c r="V110" s="323" t="str">
        <f>IF($G110="","",Reserve!$Q111-$R110)</f>
        <v/>
      </c>
      <c r="W110" s="163" t="str">
        <f>IF($G110="","",Reserve!$S111)</f>
        <v/>
      </c>
      <c r="X110" s="327" t="str">
        <f t="shared" si="163"/>
        <v/>
      </c>
      <c r="Y110" s="334" t="str">
        <f t="shared" si="164"/>
        <v/>
      </c>
      <c r="Z110" s="220" t="str">
        <f>IF($G110="","",VLOOKUP(H110,Life!$A$3:$Q$113,$B$6+1,FALSE))</f>
        <v/>
      </c>
      <c r="AA110" s="220" t="str">
        <f t="shared" si="165"/>
        <v/>
      </c>
      <c r="AB110" s="220" t="str">
        <f t="shared" si="166"/>
        <v/>
      </c>
      <c r="AC110" s="331" t="str">
        <f>IF($G110="","",HLOOKUP($G110,AssetShare_Table!$B$84:$G$85,2)*$D$11)</f>
        <v/>
      </c>
      <c r="AD110" s="334" t="str">
        <f t="shared" si="167"/>
        <v/>
      </c>
      <c r="AE110" s="220" t="str">
        <f t="shared" si="168"/>
        <v/>
      </c>
      <c r="AF110" s="220" t="str">
        <f t="shared" si="169"/>
        <v/>
      </c>
      <c r="AG110" s="331" t="str">
        <f t="shared" si="170"/>
        <v/>
      </c>
      <c r="AH110" s="323" t="str">
        <f t="shared" si="171"/>
        <v/>
      </c>
      <c r="AI110" s="163" t="str">
        <f t="shared" si="172"/>
        <v/>
      </c>
      <c r="AJ110" s="163" t="str">
        <f t="shared" si="173"/>
        <v/>
      </c>
      <c r="AK110" s="163" t="str">
        <f t="shared" si="174"/>
        <v/>
      </c>
      <c r="AL110" s="163" t="str">
        <f t="shared" si="175"/>
        <v/>
      </c>
      <c r="AM110" s="163" t="str">
        <f t="shared" si="176"/>
        <v/>
      </c>
      <c r="AN110" s="163" t="str">
        <f t="shared" si="145"/>
        <v/>
      </c>
      <c r="AO110" s="163" t="str">
        <f t="shared" si="146"/>
        <v/>
      </c>
      <c r="AP110" s="163" t="str">
        <f t="shared" si="177"/>
        <v/>
      </c>
      <c r="AQ110" s="163" t="str">
        <f t="shared" si="178"/>
        <v/>
      </c>
      <c r="AR110" s="327" t="str">
        <f t="shared" si="179"/>
        <v/>
      </c>
      <c r="AS110" s="323" t="str">
        <f t="shared" si="180"/>
        <v/>
      </c>
      <c r="AT110" s="163" t="str">
        <f t="shared" si="181"/>
        <v/>
      </c>
      <c r="AU110" s="163" t="str">
        <f t="shared" si="182"/>
        <v/>
      </c>
      <c r="AV110" s="163" t="str">
        <f t="shared" si="183"/>
        <v/>
      </c>
      <c r="AW110" s="327" t="str">
        <f t="shared" si="184"/>
        <v/>
      </c>
      <c r="AX110" s="323" t="str">
        <f>IF($G110="","",Reserve!$P111-$R110)</f>
        <v/>
      </c>
      <c r="AY110" s="220" t="str">
        <f t="shared" si="185"/>
        <v/>
      </c>
      <c r="AZ110" s="331" t="str">
        <f>IF($G110="","",VLOOKUP($H110,Life!$A$3:$R$113,18,FALSE))</f>
        <v/>
      </c>
      <c r="BA110" s="162" t="str">
        <f t="shared" si="186"/>
        <v/>
      </c>
      <c r="BB110" s="163" t="str">
        <f t="shared" si="187"/>
        <v/>
      </c>
      <c r="BC110" s="163" t="str">
        <f t="shared" si="188"/>
        <v/>
      </c>
      <c r="BD110" s="163" t="str">
        <f t="shared" si="189"/>
        <v/>
      </c>
      <c r="BE110" s="163" t="str">
        <f t="shared" si="190"/>
        <v/>
      </c>
      <c r="BF110" s="163" t="str">
        <f t="shared" si="191"/>
        <v/>
      </c>
      <c r="BG110" s="163" t="str">
        <f t="shared" si="192"/>
        <v/>
      </c>
      <c r="BH110" s="163" t="str">
        <f t="shared" si="193"/>
        <v/>
      </c>
      <c r="BI110" s="163" t="str">
        <f t="shared" si="194"/>
        <v/>
      </c>
      <c r="BJ110" s="163" t="str">
        <f t="shared" si="195"/>
        <v/>
      </c>
      <c r="BK110" s="164" t="str">
        <f t="shared" si="196"/>
        <v/>
      </c>
      <c r="BL110" s="163" t="str">
        <f t="shared" si="147"/>
        <v/>
      </c>
      <c r="BM110" s="163" t="str">
        <f t="shared" si="148"/>
        <v/>
      </c>
      <c r="BN110" s="163" t="str">
        <f t="shared" si="149"/>
        <v/>
      </c>
      <c r="BO110" s="163" t="str">
        <f t="shared" si="150"/>
        <v/>
      </c>
      <c r="BP110" s="163" t="str">
        <f t="shared" si="151"/>
        <v/>
      </c>
      <c r="BQ110" s="163" t="str">
        <f t="shared" si="152"/>
        <v/>
      </c>
      <c r="BR110" s="163" t="str">
        <f t="shared" si="153"/>
        <v/>
      </c>
      <c r="BS110" s="163" t="str">
        <f t="shared" si="154"/>
        <v/>
      </c>
      <c r="BT110" s="163" t="str">
        <f t="shared" si="155"/>
        <v/>
      </c>
      <c r="BU110" s="164" t="str">
        <f t="shared" si="156"/>
        <v/>
      </c>
    </row>
    <row r="111" spans="6:73" x14ac:dyDescent="0.3">
      <c r="F111" s="36">
        <v>107</v>
      </c>
      <c r="G111" s="363" t="str">
        <f t="shared" si="158"/>
        <v/>
      </c>
      <c r="H111" s="153" t="str">
        <f t="shared" si="159"/>
        <v/>
      </c>
      <c r="I111" s="323" t="str">
        <f t="shared" si="160"/>
        <v/>
      </c>
      <c r="J111" s="163" t="str">
        <f t="shared" si="161"/>
        <v/>
      </c>
      <c r="K111" s="327" t="str">
        <f>IF($G111="","",Reserve!N111)</f>
        <v/>
      </c>
      <c r="L111" s="163" t="str">
        <f t="shared" si="142"/>
        <v/>
      </c>
      <c r="M111" s="163" t="str">
        <f t="shared" si="143"/>
        <v/>
      </c>
      <c r="N111" s="163" t="str">
        <f t="shared" si="144"/>
        <v/>
      </c>
      <c r="O111" s="163" t="str">
        <f t="shared" si="105"/>
        <v/>
      </c>
      <c r="P111" s="327" t="str">
        <f t="shared" si="106"/>
        <v/>
      </c>
      <c r="Q111" s="330" t="str">
        <f>IF($G111="","",Reserve!$I111)</f>
        <v/>
      </c>
      <c r="R111" s="323" t="str">
        <f>IF($G111="","",Reserve!$J112+Reserve!$K112)</f>
        <v/>
      </c>
      <c r="S111" s="163" t="str">
        <f>IF($G111="","",Change!$G112)</f>
        <v/>
      </c>
      <c r="T111" s="163" t="str">
        <f t="shared" si="157"/>
        <v/>
      </c>
      <c r="U111" s="331" t="str">
        <f t="shared" si="162"/>
        <v/>
      </c>
      <c r="V111" s="323" t="str">
        <f>IF($G111="","",Reserve!$Q112-$R111)</f>
        <v/>
      </c>
      <c r="W111" s="163" t="str">
        <f>IF($G111="","",Reserve!$S112)</f>
        <v/>
      </c>
      <c r="X111" s="327" t="str">
        <f t="shared" si="163"/>
        <v/>
      </c>
      <c r="Y111" s="334" t="str">
        <f t="shared" si="164"/>
        <v/>
      </c>
      <c r="Z111" s="220" t="str">
        <f>IF($G111="","",VLOOKUP(H111,Life!$A$3:$Q$113,$B$6+1,FALSE))</f>
        <v/>
      </c>
      <c r="AA111" s="220" t="str">
        <f t="shared" si="165"/>
        <v/>
      </c>
      <c r="AB111" s="220" t="str">
        <f t="shared" si="166"/>
        <v/>
      </c>
      <c r="AC111" s="331" t="str">
        <f>IF($G111="","",HLOOKUP($G111,AssetShare_Table!$B$84:$G$85,2)*$D$11)</f>
        <v/>
      </c>
      <c r="AD111" s="334" t="str">
        <f t="shared" si="167"/>
        <v/>
      </c>
      <c r="AE111" s="220" t="str">
        <f t="shared" si="168"/>
        <v/>
      </c>
      <c r="AF111" s="220" t="str">
        <f t="shared" si="169"/>
        <v/>
      </c>
      <c r="AG111" s="331" t="str">
        <f t="shared" si="170"/>
        <v/>
      </c>
      <c r="AH111" s="323" t="str">
        <f t="shared" si="171"/>
        <v/>
      </c>
      <c r="AI111" s="163" t="str">
        <f t="shared" si="172"/>
        <v/>
      </c>
      <c r="AJ111" s="163" t="str">
        <f t="shared" si="173"/>
        <v/>
      </c>
      <c r="AK111" s="163" t="str">
        <f t="shared" si="174"/>
        <v/>
      </c>
      <c r="AL111" s="163" t="str">
        <f t="shared" si="175"/>
        <v/>
      </c>
      <c r="AM111" s="163" t="str">
        <f t="shared" si="176"/>
        <v/>
      </c>
      <c r="AN111" s="163" t="str">
        <f t="shared" si="145"/>
        <v/>
      </c>
      <c r="AO111" s="163" t="str">
        <f t="shared" si="146"/>
        <v/>
      </c>
      <c r="AP111" s="163" t="str">
        <f t="shared" si="177"/>
        <v/>
      </c>
      <c r="AQ111" s="163" t="str">
        <f t="shared" si="178"/>
        <v/>
      </c>
      <c r="AR111" s="327" t="str">
        <f t="shared" si="179"/>
        <v/>
      </c>
      <c r="AS111" s="323" t="str">
        <f t="shared" si="180"/>
        <v/>
      </c>
      <c r="AT111" s="163" t="str">
        <f t="shared" si="181"/>
        <v/>
      </c>
      <c r="AU111" s="163" t="str">
        <f t="shared" si="182"/>
        <v/>
      </c>
      <c r="AV111" s="163" t="str">
        <f t="shared" si="183"/>
        <v/>
      </c>
      <c r="AW111" s="327" t="str">
        <f t="shared" si="184"/>
        <v/>
      </c>
      <c r="AX111" s="323" t="str">
        <f>IF($G111="","",Reserve!$P112-$R111)</f>
        <v/>
      </c>
      <c r="AY111" s="220" t="str">
        <f t="shared" si="185"/>
        <v/>
      </c>
      <c r="AZ111" s="331" t="str">
        <f>IF($G111="","",VLOOKUP($H111,Life!$A$3:$R$113,18,FALSE))</f>
        <v/>
      </c>
      <c r="BA111" s="162" t="str">
        <f t="shared" si="186"/>
        <v/>
      </c>
      <c r="BB111" s="163" t="str">
        <f t="shared" si="187"/>
        <v/>
      </c>
      <c r="BC111" s="163" t="str">
        <f t="shared" si="188"/>
        <v/>
      </c>
      <c r="BD111" s="163" t="str">
        <f t="shared" si="189"/>
        <v/>
      </c>
      <c r="BE111" s="163" t="str">
        <f t="shared" si="190"/>
        <v/>
      </c>
      <c r="BF111" s="163" t="str">
        <f t="shared" si="191"/>
        <v/>
      </c>
      <c r="BG111" s="163" t="str">
        <f t="shared" si="192"/>
        <v/>
      </c>
      <c r="BH111" s="163" t="str">
        <f t="shared" si="193"/>
        <v/>
      </c>
      <c r="BI111" s="163" t="str">
        <f t="shared" si="194"/>
        <v/>
      </c>
      <c r="BJ111" s="163" t="str">
        <f t="shared" si="195"/>
        <v/>
      </c>
      <c r="BK111" s="164" t="str">
        <f t="shared" si="196"/>
        <v/>
      </c>
      <c r="BL111" s="163" t="str">
        <f t="shared" si="147"/>
        <v/>
      </c>
      <c r="BM111" s="163" t="str">
        <f t="shared" si="148"/>
        <v/>
      </c>
      <c r="BN111" s="163" t="str">
        <f t="shared" si="149"/>
        <v/>
      </c>
      <c r="BO111" s="163" t="str">
        <f t="shared" si="150"/>
        <v/>
      </c>
      <c r="BP111" s="163" t="str">
        <f t="shared" si="151"/>
        <v/>
      </c>
      <c r="BQ111" s="163" t="str">
        <f t="shared" si="152"/>
        <v/>
      </c>
      <c r="BR111" s="163" t="str">
        <f t="shared" si="153"/>
        <v/>
      </c>
      <c r="BS111" s="163" t="str">
        <f t="shared" si="154"/>
        <v/>
      </c>
      <c r="BT111" s="163" t="str">
        <f t="shared" si="155"/>
        <v/>
      </c>
      <c r="BU111" s="164" t="str">
        <f t="shared" si="156"/>
        <v/>
      </c>
    </row>
    <row r="112" spans="6:73" x14ac:dyDescent="0.3">
      <c r="F112" s="36">
        <v>108</v>
      </c>
      <c r="G112" s="363" t="str">
        <f t="shared" si="158"/>
        <v/>
      </c>
      <c r="H112" s="153" t="str">
        <f t="shared" si="159"/>
        <v/>
      </c>
      <c r="I112" s="323" t="str">
        <f t="shared" si="160"/>
        <v/>
      </c>
      <c r="J112" s="163" t="str">
        <f t="shared" si="161"/>
        <v/>
      </c>
      <c r="K112" s="327" t="str">
        <f>IF($G112="","",Reserve!N112)</f>
        <v/>
      </c>
      <c r="L112" s="163" t="str">
        <f t="shared" si="142"/>
        <v/>
      </c>
      <c r="M112" s="163" t="str">
        <f t="shared" si="143"/>
        <v/>
      </c>
      <c r="N112" s="163" t="str">
        <f t="shared" si="144"/>
        <v/>
      </c>
      <c r="O112" s="163" t="str">
        <f t="shared" si="105"/>
        <v/>
      </c>
      <c r="P112" s="327" t="str">
        <f t="shared" si="106"/>
        <v/>
      </c>
      <c r="Q112" s="330" t="str">
        <f>IF($G112="","",Reserve!$I112)</f>
        <v/>
      </c>
      <c r="R112" s="323" t="str">
        <f>IF($G112="","",Reserve!$J113+Reserve!$K113)</f>
        <v/>
      </c>
      <c r="S112" s="163" t="str">
        <f>IF($G112="","",Change!$G113)</f>
        <v/>
      </c>
      <c r="T112" s="163" t="str">
        <f t="shared" si="157"/>
        <v/>
      </c>
      <c r="U112" s="331" t="str">
        <f t="shared" si="162"/>
        <v/>
      </c>
      <c r="V112" s="323" t="str">
        <f>IF($G112="","",Reserve!$Q113-$R112)</f>
        <v/>
      </c>
      <c r="W112" s="163" t="str">
        <f>IF($G112="","",Reserve!$S113)</f>
        <v/>
      </c>
      <c r="X112" s="327" t="str">
        <f t="shared" si="163"/>
        <v/>
      </c>
      <c r="Y112" s="334" t="str">
        <f t="shared" si="164"/>
        <v/>
      </c>
      <c r="Z112" s="220" t="str">
        <f>IF($G112="","",VLOOKUP(H112,Life!$A$3:$Q$113,$B$6+1,FALSE))</f>
        <v/>
      </c>
      <c r="AA112" s="220" t="str">
        <f t="shared" si="165"/>
        <v/>
      </c>
      <c r="AB112" s="220" t="str">
        <f t="shared" si="166"/>
        <v/>
      </c>
      <c r="AC112" s="331" t="str">
        <f>IF($G112="","",HLOOKUP($G112,AssetShare_Table!$B$84:$G$85,2)*$D$11)</f>
        <v/>
      </c>
      <c r="AD112" s="334" t="str">
        <f t="shared" si="167"/>
        <v/>
      </c>
      <c r="AE112" s="220" t="str">
        <f t="shared" si="168"/>
        <v/>
      </c>
      <c r="AF112" s="220" t="str">
        <f t="shared" si="169"/>
        <v/>
      </c>
      <c r="AG112" s="331" t="str">
        <f t="shared" si="170"/>
        <v/>
      </c>
      <c r="AH112" s="323" t="str">
        <f t="shared" si="171"/>
        <v/>
      </c>
      <c r="AI112" s="163" t="str">
        <f t="shared" si="172"/>
        <v/>
      </c>
      <c r="AJ112" s="163" t="str">
        <f t="shared" si="173"/>
        <v/>
      </c>
      <c r="AK112" s="163" t="str">
        <f t="shared" si="174"/>
        <v/>
      </c>
      <c r="AL112" s="163" t="str">
        <f t="shared" si="175"/>
        <v/>
      </c>
      <c r="AM112" s="163" t="str">
        <f t="shared" si="176"/>
        <v/>
      </c>
      <c r="AN112" s="163" t="str">
        <f t="shared" si="145"/>
        <v/>
      </c>
      <c r="AO112" s="163" t="str">
        <f t="shared" si="146"/>
        <v/>
      </c>
      <c r="AP112" s="163" t="str">
        <f t="shared" si="177"/>
        <v/>
      </c>
      <c r="AQ112" s="163" t="str">
        <f t="shared" si="178"/>
        <v/>
      </c>
      <c r="AR112" s="327" t="str">
        <f t="shared" si="179"/>
        <v/>
      </c>
      <c r="AS112" s="323" t="str">
        <f t="shared" si="180"/>
        <v/>
      </c>
      <c r="AT112" s="163" t="str">
        <f t="shared" si="181"/>
        <v/>
      </c>
      <c r="AU112" s="163" t="str">
        <f t="shared" si="182"/>
        <v/>
      </c>
      <c r="AV112" s="163" t="str">
        <f t="shared" si="183"/>
        <v/>
      </c>
      <c r="AW112" s="327" t="str">
        <f t="shared" si="184"/>
        <v/>
      </c>
      <c r="AX112" s="323" t="str">
        <f>IF($G112="","",Reserve!$P113-$R112)</f>
        <v/>
      </c>
      <c r="AY112" s="220" t="str">
        <f t="shared" si="185"/>
        <v/>
      </c>
      <c r="AZ112" s="331" t="str">
        <f>IF($G112="","",VLOOKUP($H112,Life!$A$3:$R$113,18,FALSE))</f>
        <v/>
      </c>
      <c r="BA112" s="162" t="str">
        <f t="shared" si="186"/>
        <v/>
      </c>
      <c r="BB112" s="163" t="str">
        <f t="shared" si="187"/>
        <v/>
      </c>
      <c r="BC112" s="163" t="str">
        <f t="shared" si="188"/>
        <v/>
      </c>
      <c r="BD112" s="163" t="str">
        <f t="shared" si="189"/>
        <v/>
      </c>
      <c r="BE112" s="163" t="str">
        <f t="shared" si="190"/>
        <v/>
      </c>
      <c r="BF112" s="163" t="str">
        <f t="shared" si="191"/>
        <v/>
      </c>
      <c r="BG112" s="163" t="str">
        <f t="shared" si="192"/>
        <v/>
      </c>
      <c r="BH112" s="163" t="str">
        <f t="shared" si="193"/>
        <v/>
      </c>
      <c r="BI112" s="163" t="str">
        <f t="shared" si="194"/>
        <v/>
      </c>
      <c r="BJ112" s="163" t="str">
        <f t="shared" si="195"/>
        <v/>
      </c>
      <c r="BK112" s="164" t="str">
        <f t="shared" si="196"/>
        <v/>
      </c>
      <c r="BL112" s="163" t="str">
        <f t="shared" si="147"/>
        <v/>
      </c>
      <c r="BM112" s="163" t="str">
        <f t="shared" si="148"/>
        <v/>
      </c>
      <c r="BN112" s="163" t="str">
        <f t="shared" si="149"/>
        <v/>
      </c>
      <c r="BO112" s="163" t="str">
        <f t="shared" si="150"/>
        <v/>
      </c>
      <c r="BP112" s="163" t="str">
        <f t="shared" si="151"/>
        <v/>
      </c>
      <c r="BQ112" s="163" t="str">
        <f t="shared" si="152"/>
        <v/>
      </c>
      <c r="BR112" s="163" t="str">
        <f t="shared" si="153"/>
        <v/>
      </c>
      <c r="BS112" s="163" t="str">
        <f t="shared" si="154"/>
        <v/>
      </c>
      <c r="BT112" s="163" t="str">
        <f t="shared" si="155"/>
        <v/>
      </c>
      <c r="BU112" s="164" t="str">
        <f t="shared" si="156"/>
        <v/>
      </c>
    </row>
    <row r="113" spans="6:73" x14ac:dyDescent="0.3">
      <c r="F113" s="36">
        <v>109</v>
      </c>
      <c r="G113" s="363" t="str">
        <f t="shared" si="158"/>
        <v/>
      </c>
      <c r="H113" s="153" t="str">
        <f t="shared" si="159"/>
        <v/>
      </c>
      <c r="I113" s="323" t="str">
        <f t="shared" si="160"/>
        <v/>
      </c>
      <c r="J113" s="163" t="str">
        <f t="shared" si="161"/>
        <v/>
      </c>
      <c r="K113" s="327" t="str">
        <f>IF($G113="","",Reserve!N113)</f>
        <v/>
      </c>
      <c r="L113" s="163" t="str">
        <f t="shared" si="142"/>
        <v/>
      </c>
      <c r="M113" s="163" t="str">
        <f t="shared" si="143"/>
        <v/>
      </c>
      <c r="N113" s="163" t="str">
        <f t="shared" si="144"/>
        <v/>
      </c>
      <c r="O113" s="163" t="str">
        <f t="shared" si="105"/>
        <v/>
      </c>
      <c r="P113" s="327" t="str">
        <f t="shared" si="106"/>
        <v/>
      </c>
      <c r="Q113" s="330" t="str">
        <f>IF($G113="","",Reserve!$I113)</f>
        <v/>
      </c>
      <c r="R113" s="323" t="str">
        <f>IF($G113="","",Reserve!$J114+Reserve!$K114)</f>
        <v/>
      </c>
      <c r="S113" s="163" t="str">
        <f>IF($G113="","",Change!$G114)</f>
        <v/>
      </c>
      <c r="T113" s="163" t="str">
        <f t="shared" si="157"/>
        <v/>
      </c>
      <c r="U113" s="331" t="str">
        <f t="shared" si="162"/>
        <v/>
      </c>
      <c r="V113" s="323" t="str">
        <f>IF($G113="","",Reserve!$Q114-$R113)</f>
        <v/>
      </c>
      <c r="W113" s="163" t="str">
        <f>IF($G113="","",Reserve!$S114)</f>
        <v/>
      </c>
      <c r="X113" s="327" t="str">
        <f t="shared" si="163"/>
        <v/>
      </c>
      <c r="Y113" s="334" t="str">
        <f t="shared" si="164"/>
        <v/>
      </c>
      <c r="Z113" s="220" t="str">
        <f>IF($G113="","",VLOOKUP(H113,Life!$A$3:$Q$113,$B$6+1,FALSE))</f>
        <v/>
      </c>
      <c r="AA113" s="220" t="str">
        <f t="shared" si="165"/>
        <v/>
      </c>
      <c r="AB113" s="220" t="str">
        <f t="shared" si="166"/>
        <v/>
      </c>
      <c r="AC113" s="331" t="str">
        <f>IF($G113="","",HLOOKUP($G113,AssetShare_Table!$B$84:$G$85,2)*$D$11)</f>
        <v/>
      </c>
      <c r="AD113" s="334" t="str">
        <f t="shared" si="167"/>
        <v/>
      </c>
      <c r="AE113" s="220" t="str">
        <f t="shared" si="168"/>
        <v/>
      </c>
      <c r="AF113" s="220" t="str">
        <f t="shared" si="169"/>
        <v/>
      </c>
      <c r="AG113" s="331" t="str">
        <f t="shared" si="170"/>
        <v/>
      </c>
      <c r="AH113" s="323" t="str">
        <f t="shared" si="171"/>
        <v/>
      </c>
      <c r="AI113" s="163" t="str">
        <f t="shared" si="172"/>
        <v/>
      </c>
      <c r="AJ113" s="163" t="str">
        <f t="shared" si="173"/>
        <v/>
      </c>
      <c r="AK113" s="163" t="str">
        <f t="shared" si="174"/>
        <v/>
      </c>
      <c r="AL113" s="163" t="str">
        <f t="shared" si="175"/>
        <v/>
      </c>
      <c r="AM113" s="163" t="str">
        <f t="shared" si="176"/>
        <v/>
      </c>
      <c r="AN113" s="163" t="str">
        <f t="shared" si="145"/>
        <v/>
      </c>
      <c r="AO113" s="163" t="str">
        <f t="shared" si="146"/>
        <v/>
      </c>
      <c r="AP113" s="163" t="str">
        <f t="shared" si="177"/>
        <v/>
      </c>
      <c r="AQ113" s="163" t="str">
        <f t="shared" si="178"/>
        <v/>
      </c>
      <c r="AR113" s="327" t="str">
        <f t="shared" si="179"/>
        <v/>
      </c>
      <c r="AS113" s="323" t="str">
        <f t="shared" si="180"/>
        <v/>
      </c>
      <c r="AT113" s="163" t="str">
        <f t="shared" si="181"/>
        <v/>
      </c>
      <c r="AU113" s="163" t="str">
        <f t="shared" si="182"/>
        <v/>
      </c>
      <c r="AV113" s="163" t="str">
        <f t="shared" si="183"/>
        <v/>
      </c>
      <c r="AW113" s="327" t="str">
        <f t="shared" si="184"/>
        <v/>
      </c>
      <c r="AX113" s="323" t="str">
        <f>IF($G113="","",Reserve!$P114-$R113)</f>
        <v/>
      </c>
      <c r="AY113" s="220" t="str">
        <f t="shared" si="185"/>
        <v/>
      </c>
      <c r="AZ113" s="331" t="str">
        <f>IF($G113="","",VLOOKUP($H113,Life!$A$3:$R$113,18,FALSE))</f>
        <v/>
      </c>
      <c r="BA113" s="162" t="str">
        <f t="shared" si="186"/>
        <v/>
      </c>
      <c r="BB113" s="163" t="str">
        <f t="shared" si="187"/>
        <v/>
      </c>
      <c r="BC113" s="163" t="str">
        <f t="shared" si="188"/>
        <v/>
      </c>
      <c r="BD113" s="163" t="str">
        <f t="shared" si="189"/>
        <v/>
      </c>
      <c r="BE113" s="163" t="str">
        <f t="shared" si="190"/>
        <v/>
      </c>
      <c r="BF113" s="163" t="str">
        <f t="shared" si="191"/>
        <v/>
      </c>
      <c r="BG113" s="163" t="str">
        <f t="shared" si="192"/>
        <v/>
      </c>
      <c r="BH113" s="163" t="str">
        <f t="shared" si="193"/>
        <v/>
      </c>
      <c r="BI113" s="163" t="str">
        <f t="shared" si="194"/>
        <v/>
      </c>
      <c r="BJ113" s="163" t="str">
        <f t="shared" si="195"/>
        <v/>
      </c>
      <c r="BK113" s="164" t="str">
        <f t="shared" si="196"/>
        <v/>
      </c>
      <c r="BL113" s="163" t="str">
        <f t="shared" si="147"/>
        <v/>
      </c>
      <c r="BM113" s="163" t="str">
        <f t="shared" si="148"/>
        <v/>
      </c>
      <c r="BN113" s="163" t="str">
        <f t="shared" si="149"/>
        <v/>
      </c>
      <c r="BO113" s="163" t="str">
        <f t="shared" si="150"/>
        <v/>
      </c>
      <c r="BP113" s="163" t="str">
        <f t="shared" si="151"/>
        <v/>
      </c>
      <c r="BQ113" s="163" t="str">
        <f t="shared" si="152"/>
        <v/>
      </c>
      <c r="BR113" s="163" t="str">
        <f t="shared" si="153"/>
        <v/>
      </c>
      <c r="BS113" s="163" t="str">
        <f t="shared" si="154"/>
        <v/>
      </c>
      <c r="BT113" s="163" t="str">
        <f t="shared" si="155"/>
        <v/>
      </c>
      <c r="BU113" s="164" t="str">
        <f t="shared" si="156"/>
        <v/>
      </c>
    </row>
    <row r="114" spans="6:73" x14ac:dyDescent="0.3">
      <c r="F114" s="320">
        <v>110</v>
      </c>
      <c r="G114" s="367" t="str">
        <f t="shared" si="158"/>
        <v/>
      </c>
      <c r="H114" s="155" t="str">
        <f t="shared" si="159"/>
        <v/>
      </c>
      <c r="I114" s="324" t="str">
        <f t="shared" si="160"/>
        <v/>
      </c>
      <c r="J114" s="166" t="str">
        <f t="shared" si="161"/>
        <v/>
      </c>
      <c r="K114" s="328" t="str">
        <f>IF($G114="","",Reserve!N114)</f>
        <v/>
      </c>
      <c r="L114" s="166" t="str">
        <f t="shared" si="142"/>
        <v/>
      </c>
      <c r="M114" s="166" t="str">
        <f t="shared" si="143"/>
        <v/>
      </c>
      <c r="N114" s="166" t="str">
        <f t="shared" si="144"/>
        <v/>
      </c>
      <c r="O114" s="166" t="str">
        <f t="shared" si="105"/>
        <v/>
      </c>
      <c r="P114" s="328" t="str">
        <f t="shared" si="106"/>
        <v/>
      </c>
      <c r="Q114" s="330" t="str">
        <f>IF($G114="","",Reserve!$I114)</f>
        <v/>
      </c>
      <c r="R114" s="324" t="str">
        <f>IF($G114="","",Reserve!$J115+Reserve!$K115)</f>
        <v/>
      </c>
      <c r="S114" s="166" t="str">
        <f>IF($G114="","",Change!$G115)</f>
        <v/>
      </c>
      <c r="T114" s="163" t="str">
        <f t="shared" si="157"/>
        <v/>
      </c>
      <c r="U114" s="332" t="str">
        <f t="shared" si="162"/>
        <v/>
      </c>
      <c r="V114" s="324" t="str">
        <f>IF($G114="","",Reserve!$Q115-$R114)</f>
        <v/>
      </c>
      <c r="W114" s="166" t="str">
        <f>IF($G114="","",Reserve!$S115)</f>
        <v/>
      </c>
      <c r="X114" s="328" t="str">
        <f t="shared" si="163"/>
        <v/>
      </c>
      <c r="Y114" s="335" t="str">
        <f t="shared" si="164"/>
        <v/>
      </c>
      <c r="Z114" s="235" t="str">
        <f>IF($G114="","",VLOOKUP(H114,Life!$A$3:$Q$113,$B$6+1,FALSE))</f>
        <v/>
      </c>
      <c r="AA114" s="235" t="str">
        <f t="shared" si="165"/>
        <v/>
      </c>
      <c r="AB114" s="235" t="str">
        <f t="shared" si="166"/>
        <v/>
      </c>
      <c r="AC114" s="332" t="str">
        <f>IF($G114="","",HLOOKUP($G114,AssetShare_Table!$B$84:$G$85,2)*$D$11)</f>
        <v/>
      </c>
      <c r="AD114" s="335" t="str">
        <f t="shared" si="167"/>
        <v/>
      </c>
      <c r="AE114" s="235" t="str">
        <f t="shared" si="168"/>
        <v/>
      </c>
      <c r="AF114" s="235" t="str">
        <f t="shared" si="169"/>
        <v/>
      </c>
      <c r="AG114" s="332" t="str">
        <f t="shared" si="170"/>
        <v/>
      </c>
      <c r="AH114" s="324" t="str">
        <f t="shared" si="171"/>
        <v/>
      </c>
      <c r="AI114" s="166" t="str">
        <f t="shared" si="172"/>
        <v/>
      </c>
      <c r="AJ114" s="166" t="str">
        <f t="shared" si="173"/>
        <v/>
      </c>
      <c r="AK114" s="166" t="str">
        <f t="shared" si="174"/>
        <v/>
      </c>
      <c r="AL114" s="166" t="str">
        <f t="shared" si="175"/>
        <v/>
      </c>
      <c r="AM114" s="166" t="str">
        <f t="shared" si="176"/>
        <v/>
      </c>
      <c r="AN114" s="163" t="str">
        <f t="shared" si="145"/>
        <v/>
      </c>
      <c r="AO114" s="166" t="str">
        <f t="shared" si="146"/>
        <v/>
      </c>
      <c r="AP114" s="166" t="str">
        <f t="shared" si="177"/>
        <v/>
      </c>
      <c r="AQ114" s="166" t="str">
        <f t="shared" si="178"/>
        <v/>
      </c>
      <c r="AR114" s="328" t="str">
        <f t="shared" si="179"/>
        <v/>
      </c>
      <c r="AS114" s="324" t="str">
        <f t="shared" si="180"/>
        <v/>
      </c>
      <c r="AT114" s="166" t="str">
        <f t="shared" si="181"/>
        <v/>
      </c>
      <c r="AU114" s="166" t="str">
        <f t="shared" si="182"/>
        <v/>
      </c>
      <c r="AV114" s="166" t="str">
        <f t="shared" si="183"/>
        <v/>
      </c>
      <c r="AW114" s="328" t="str">
        <f t="shared" si="184"/>
        <v/>
      </c>
      <c r="AX114" s="324" t="str">
        <f>IF($G114="","",Reserve!$P115-$R114)</f>
        <v/>
      </c>
      <c r="AY114" s="235" t="str">
        <f t="shared" si="185"/>
        <v/>
      </c>
      <c r="AZ114" s="332" t="str">
        <f>IF($G114="","",VLOOKUP($H114,Life!$A$3:$R$113,18,FALSE))</f>
        <v/>
      </c>
      <c r="BA114" s="165" t="str">
        <f t="shared" si="186"/>
        <v/>
      </c>
      <c r="BB114" s="166" t="str">
        <f t="shared" si="187"/>
        <v/>
      </c>
      <c r="BC114" s="166" t="str">
        <f t="shared" si="188"/>
        <v/>
      </c>
      <c r="BD114" s="166" t="str">
        <f t="shared" si="189"/>
        <v/>
      </c>
      <c r="BE114" s="166" t="str">
        <f t="shared" si="190"/>
        <v/>
      </c>
      <c r="BF114" s="166" t="str">
        <f t="shared" si="191"/>
        <v/>
      </c>
      <c r="BG114" s="166" t="str">
        <f t="shared" si="192"/>
        <v/>
      </c>
      <c r="BH114" s="166" t="str">
        <f t="shared" si="193"/>
        <v/>
      </c>
      <c r="BI114" s="166" t="str">
        <f t="shared" si="194"/>
        <v/>
      </c>
      <c r="BJ114" s="166" t="str">
        <f t="shared" si="195"/>
        <v/>
      </c>
      <c r="BK114" s="167" t="str">
        <f t="shared" si="196"/>
        <v/>
      </c>
      <c r="BL114" s="166" t="str">
        <f t="shared" si="147"/>
        <v/>
      </c>
      <c r="BM114" s="163" t="str">
        <f t="shared" si="148"/>
        <v/>
      </c>
      <c r="BN114" s="166" t="str">
        <f t="shared" si="149"/>
        <v/>
      </c>
      <c r="BO114" s="166" t="str">
        <f t="shared" si="150"/>
        <v/>
      </c>
      <c r="BP114" s="166" t="str">
        <f t="shared" si="151"/>
        <v/>
      </c>
      <c r="BQ114" s="166" t="str">
        <f t="shared" si="152"/>
        <v/>
      </c>
      <c r="BR114" s="166" t="str">
        <f t="shared" si="153"/>
        <v/>
      </c>
      <c r="BS114" s="166" t="str">
        <f t="shared" si="154"/>
        <v/>
      </c>
      <c r="BT114" s="166" t="str">
        <f t="shared" si="155"/>
        <v/>
      </c>
      <c r="BU114" s="167" t="str">
        <f t="shared" si="156"/>
        <v/>
      </c>
    </row>
    <row r="115" spans="6:73" ht="15" thickBot="1" x14ac:dyDescent="0.35">
      <c r="F115" s="37">
        <v>111</v>
      </c>
      <c r="G115" s="38" t="str">
        <f t="shared" si="158"/>
        <v/>
      </c>
      <c r="H115" s="154" t="str">
        <f t="shared" si="159"/>
        <v/>
      </c>
      <c r="I115" s="325" t="str">
        <f t="shared" si="160"/>
        <v/>
      </c>
      <c r="J115" s="169" t="str">
        <f t="shared" si="161"/>
        <v/>
      </c>
      <c r="K115" s="329" t="str">
        <f>IF($G115="","",Reserve!N115)</f>
        <v/>
      </c>
      <c r="L115" s="169" t="str">
        <f t="shared" si="142"/>
        <v/>
      </c>
      <c r="M115" s="169" t="str">
        <f t="shared" si="143"/>
        <v/>
      </c>
      <c r="N115" s="169" t="str">
        <f t="shared" si="144"/>
        <v/>
      </c>
      <c r="O115" s="169" t="str">
        <f t="shared" si="105"/>
        <v/>
      </c>
      <c r="P115" s="329" t="str">
        <f t="shared" si="106"/>
        <v/>
      </c>
      <c r="Q115" s="330" t="str">
        <f>IF($G115="","",Reserve!$I115)</f>
        <v/>
      </c>
      <c r="R115" s="325" t="str">
        <f>IF($G115="","",Reserve!$J116+Reserve!$K116)</f>
        <v/>
      </c>
      <c r="S115" s="169" t="str">
        <f>IF($G115="","",Change!$G116)</f>
        <v/>
      </c>
      <c r="T115" s="163" t="str">
        <f t="shared" si="157"/>
        <v/>
      </c>
      <c r="U115" s="333" t="str">
        <f t="shared" si="162"/>
        <v/>
      </c>
      <c r="V115" s="325" t="str">
        <f>IF($G115="","",Reserve!$Q116-$R115)</f>
        <v/>
      </c>
      <c r="W115" s="169" t="str">
        <f>IF($G115="","",Reserve!$S116)</f>
        <v/>
      </c>
      <c r="X115" s="329" t="str">
        <f t="shared" si="163"/>
        <v/>
      </c>
      <c r="Y115" s="336" t="str">
        <f t="shared" si="164"/>
        <v/>
      </c>
      <c r="Z115" s="221" t="str">
        <f>IF($G115="","",VLOOKUP(H115,Life!$A$3:$Q$113,$B$6+1,FALSE))</f>
        <v/>
      </c>
      <c r="AA115" s="221" t="str">
        <f t="shared" si="165"/>
        <v/>
      </c>
      <c r="AB115" s="221" t="str">
        <f t="shared" si="166"/>
        <v/>
      </c>
      <c r="AC115" s="333" t="str">
        <f>IF($G115="","",HLOOKUP($G115,AssetShare_Table!$B$84:$G$85,2)*$D$11)</f>
        <v/>
      </c>
      <c r="AD115" s="336" t="str">
        <f t="shared" si="167"/>
        <v/>
      </c>
      <c r="AE115" s="221" t="str">
        <f t="shared" si="168"/>
        <v/>
      </c>
      <c r="AF115" s="221" t="str">
        <f t="shared" si="169"/>
        <v/>
      </c>
      <c r="AG115" s="333" t="str">
        <f t="shared" si="170"/>
        <v/>
      </c>
      <c r="AH115" s="325" t="str">
        <f t="shared" si="171"/>
        <v/>
      </c>
      <c r="AI115" s="169" t="str">
        <f t="shared" si="172"/>
        <v/>
      </c>
      <c r="AJ115" s="169" t="str">
        <f t="shared" si="173"/>
        <v/>
      </c>
      <c r="AK115" s="169" t="str">
        <f t="shared" si="174"/>
        <v/>
      </c>
      <c r="AL115" s="169" t="str">
        <f t="shared" si="175"/>
        <v/>
      </c>
      <c r="AM115" s="169" t="str">
        <f t="shared" si="176"/>
        <v/>
      </c>
      <c r="AN115" s="163" t="str">
        <f t="shared" si="145"/>
        <v/>
      </c>
      <c r="AO115" s="169" t="str">
        <f t="shared" si="146"/>
        <v/>
      </c>
      <c r="AP115" s="169" t="str">
        <f t="shared" si="177"/>
        <v/>
      </c>
      <c r="AQ115" s="169" t="str">
        <f t="shared" si="178"/>
        <v/>
      </c>
      <c r="AR115" s="329" t="str">
        <f t="shared" si="179"/>
        <v/>
      </c>
      <c r="AS115" s="325" t="str">
        <f t="shared" si="180"/>
        <v/>
      </c>
      <c r="AT115" s="169" t="str">
        <f t="shared" si="181"/>
        <v/>
      </c>
      <c r="AU115" s="169" t="str">
        <f t="shared" si="182"/>
        <v/>
      </c>
      <c r="AV115" s="169" t="str">
        <f t="shared" si="183"/>
        <v/>
      </c>
      <c r="AW115" s="329" t="str">
        <f t="shared" si="184"/>
        <v/>
      </c>
      <c r="AX115" s="325" t="str">
        <f>IF($G115="","",Reserve!$P116-$R115)</f>
        <v/>
      </c>
      <c r="AY115" s="221" t="str">
        <f t="shared" si="185"/>
        <v/>
      </c>
      <c r="AZ115" s="333" t="str">
        <f>IF($G115="","",VLOOKUP($H115,Life!$A$3:$R$113,18,FALSE))</f>
        <v/>
      </c>
      <c r="BA115" s="168" t="str">
        <f t="shared" si="186"/>
        <v/>
      </c>
      <c r="BB115" s="169" t="str">
        <f t="shared" si="187"/>
        <v/>
      </c>
      <c r="BC115" s="169" t="str">
        <f t="shared" si="188"/>
        <v/>
      </c>
      <c r="BD115" s="169" t="str">
        <f t="shared" si="189"/>
        <v/>
      </c>
      <c r="BE115" s="169" t="str">
        <f t="shared" si="190"/>
        <v/>
      </c>
      <c r="BF115" s="169" t="str">
        <f t="shared" si="191"/>
        <v/>
      </c>
      <c r="BG115" s="169" t="str">
        <f t="shared" si="192"/>
        <v/>
      </c>
      <c r="BH115" s="169" t="str">
        <f t="shared" si="193"/>
        <v/>
      </c>
      <c r="BI115" s="169" t="str">
        <f t="shared" si="194"/>
        <v/>
      </c>
      <c r="BJ115" s="169" t="str">
        <f t="shared" si="195"/>
        <v/>
      </c>
      <c r="BK115" s="170" t="str">
        <f t="shared" si="196"/>
        <v/>
      </c>
      <c r="BL115" s="169" t="str">
        <f t="shared" si="147"/>
        <v/>
      </c>
      <c r="BM115" s="163" t="str">
        <f t="shared" si="148"/>
        <v/>
      </c>
      <c r="BN115" s="169" t="str">
        <f t="shared" si="149"/>
        <v/>
      </c>
      <c r="BO115" s="169" t="str">
        <f t="shared" si="150"/>
        <v/>
      </c>
      <c r="BP115" s="169" t="str">
        <f t="shared" si="151"/>
        <v/>
      </c>
      <c r="BQ115" s="169" t="str">
        <f t="shared" si="152"/>
        <v/>
      </c>
      <c r="BR115" s="169" t="str">
        <f t="shared" si="153"/>
        <v/>
      </c>
      <c r="BS115" s="169" t="str">
        <f t="shared" si="154"/>
        <v/>
      </c>
      <c r="BT115" s="169" t="str">
        <f t="shared" si="155"/>
        <v/>
      </c>
      <c r="BU115" s="170" t="str">
        <f t="shared" si="156"/>
        <v/>
      </c>
    </row>
  </sheetData>
  <mergeCells count="23">
    <mergeCell ref="A24:B24"/>
    <mergeCell ref="A25:A26"/>
    <mergeCell ref="B25:B26"/>
    <mergeCell ref="F3:F4"/>
    <mergeCell ref="A47:A49"/>
    <mergeCell ref="A16:B16"/>
    <mergeCell ref="C16:D16"/>
    <mergeCell ref="BL3:BU3"/>
    <mergeCell ref="G3:H3"/>
    <mergeCell ref="A1:E1"/>
    <mergeCell ref="A2:E2"/>
    <mergeCell ref="A5:B5"/>
    <mergeCell ref="C5:D5"/>
    <mergeCell ref="AH3:AR3"/>
    <mergeCell ref="AS3:AW3"/>
    <mergeCell ref="AX3:AZ3"/>
    <mergeCell ref="BA3:BK3"/>
    <mergeCell ref="I3:K3"/>
    <mergeCell ref="L3:P3"/>
    <mergeCell ref="R3:U3"/>
    <mergeCell ref="V3:X3"/>
    <mergeCell ref="Y3:AC3"/>
    <mergeCell ref="AD3:AG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 Down 1">
              <controlPr defaultSize="0" autoFill="0" autoPict="0">
                <anchor moveWithCells="1">
                  <from>
                    <xdr:col>1</xdr:col>
                    <xdr:colOff>7620</xdr:colOff>
                    <xdr:row>5</xdr:row>
                    <xdr:rowOff>0</xdr:rowOff>
                  </from>
                  <to>
                    <xdr:col>1</xdr:col>
                    <xdr:colOff>609600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Drop Down 2">
              <controlPr defaultSize="0" autoFill="0" autoPict="0">
                <anchor moveWithCells="1">
                  <from>
                    <xdr:col>1</xdr:col>
                    <xdr:colOff>7620</xdr:colOff>
                    <xdr:row>6</xdr:row>
                    <xdr:rowOff>0</xdr:rowOff>
                  </from>
                  <to>
                    <xdr:col>1</xdr:col>
                    <xdr:colOff>609600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Drop Down 3">
              <controlPr defaultSize="0" autoFill="0" autoPict="0">
                <anchor moveWithCells="1">
                  <from>
                    <xdr:col>1</xdr:col>
                    <xdr:colOff>7620</xdr:colOff>
                    <xdr:row>7</xdr:row>
                    <xdr:rowOff>0</xdr:rowOff>
                  </from>
                  <to>
                    <xdr:col>1</xdr:col>
                    <xdr:colOff>609600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autoFill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609600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Drop Down 5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609600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Drop Down 6">
              <controlPr defaultSize="0" autoFill="0" autoPict="0">
                <anchor moveWithCells="1">
                  <from>
                    <xdr:col>28</xdr:col>
                    <xdr:colOff>7620</xdr:colOff>
                    <xdr:row>3</xdr:row>
                    <xdr:rowOff>76200</xdr:rowOff>
                  </from>
                  <to>
                    <xdr:col>29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85"/>
  <sheetViews>
    <sheetView showGridLines="0" zoomScale="80" zoomScaleNormal="80" workbookViewId="0">
      <pane xSplit="1" ySplit="5" topLeftCell="B6" activePane="bottomRight" state="frozenSplit"/>
      <selection sqref="A1:E1"/>
      <selection pane="topRight" sqref="A1:E1"/>
      <selection pane="bottomLeft" sqref="A1:E1"/>
      <selection pane="bottomRight" sqref="A1:I1"/>
    </sheetView>
  </sheetViews>
  <sheetFormatPr defaultColWidth="11.109375" defaultRowHeight="16.2" x14ac:dyDescent="0.3"/>
  <cols>
    <col min="1" max="16384" width="11.109375" style="1"/>
  </cols>
  <sheetData>
    <row r="1" spans="1:9" ht="28.2" x14ac:dyDescent="0.3">
      <c r="A1" s="495" t="s">
        <v>0</v>
      </c>
      <c r="B1" s="495"/>
      <c r="C1" s="495"/>
      <c r="D1" s="495"/>
      <c r="E1" s="495"/>
      <c r="F1" s="495"/>
      <c r="G1" s="495"/>
      <c r="H1" s="495"/>
      <c r="I1" s="495"/>
    </row>
    <row r="2" spans="1:9" ht="22.2" x14ac:dyDescent="0.3">
      <c r="A2" s="496" t="s">
        <v>1</v>
      </c>
      <c r="B2" s="496"/>
      <c r="C2" s="496"/>
      <c r="D2" s="496"/>
      <c r="E2" s="496"/>
      <c r="F2" s="496"/>
      <c r="G2" s="496"/>
      <c r="H2" s="496"/>
      <c r="I2" s="496"/>
    </row>
    <row r="3" spans="1:9" ht="16.8" thickBot="1" x14ac:dyDescent="0.35">
      <c r="I3" s="2" t="s">
        <v>2</v>
      </c>
    </row>
    <row r="4" spans="1:9" x14ac:dyDescent="0.3">
      <c r="A4" s="11" t="s">
        <v>3</v>
      </c>
      <c r="B4" s="461" t="s">
        <v>4</v>
      </c>
      <c r="C4" s="497"/>
      <c r="D4" s="461" t="s">
        <v>5</v>
      </c>
      <c r="E4" s="497"/>
      <c r="F4" s="461" t="s">
        <v>6</v>
      </c>
      <c r="G4" s="497"/>
      <c r="H4" s="461" t="s">
        <v>7</v>
      </c>
      <c r="I4" s="498"/>
    </row>
    <row r="5" spans="1:9" ht="16.8" thickBot="1" x14ac:dyDescent="0.35">
      <c r="A5" s="12" t="s">
        <v>8</v>
      </c>
      <c r="B5" s="8" t="s">
        <v>9</v>
      </c>
      <c r="C5" s="13" t="s">
        <v>10</v>
      </c>
      <c r="D5" s="8" t="s">
        <v>9</v>
      </c>
      <c r="E5" s="13" t="s">
        <v>10</v>
      </c>
      <c r="F5" s="8" t="s">
        <v>9</v>
      </c>
      <c r="G5" s="13" t="s">
        <v>10</v>
      </c>
      <c r="H5" s="8" t="s">
        <v>9</v>
      </c>
      <c r="I5" s="7" t="s">
        <v>10</v>
      </c>
    </row>
    <row r="6" spans="1:9" ht="16.8" thickTop="1" x14ac:dyDescent="0.3">
      <c r="A6" s="16">
        <v>0</v>
      </c>
      <c r="B6" s="17">
        <v>1642</v>
      </c>
      <c r="C6" s="18">
        <v>1641</v>
      </c>
      <c r="D6" s="17">
        <v>1203</v>
      </c>
      <c r="E6" s="18">
        <v>1202</v>
      </c>
      <c r="F6" s="17">
        <v>941</v>
      </c>
      <c r="G6" s="18">
        <v>940</v>
      </c>
      <c r="H6" s="17">
        <v>422</v>
      </c>
      <c r="I6" s="19">
        <v>421</v>
      </c>
    </row>
    <row r="7" spans="1:9" x14ac:dyDescent="0.3">
      <c r="A7" s="3">
        <v>1</v>
      </c>
      <c r="B7" s="9">
        <v>1642</v>
      </c>
      <c r="C7" s="14">
        <v>1641</v>
      </c>
      <c r="D7" s="9">
        <v>1203</v>
      </c>
      <c r="E7" s="14">
        <v>1202</v>
      </c>
      <c r="F7" s="9">
        <v>941</v>
      </c>
      <c r="G7" s="14">
        <v>940</v>
      </c>
      <c r="H7" s="9">
        <v>422</v>
      </c>
      <c r="I7" s="5">
        <v>421</v>
      </c>
    </row>
    <row r="8" spans="1:9" x14ac:dyDescent="0.3">
      <c r="A8" s="3">
        <v>2</v>
      </c>
      <c r="B8" s="9">
        <v>1642</v>
      </c>
      <c r="C8" s="14">
        <v>1641</v>
      </c>
      <c r="D8" s="9">
        <v>1203</v>
      </c>
      <c r="E8" s="14">
        <v>1202</v>
      </c>
      <c r="F8" s="9">
        <v>941</v>
      </c>
      <c r="G8" s="14">
        <v>940</v>
      </c>
      <c r="H8" s="9">
        <v>422</v>
      </c>
      <c r="I8" s="5">
        <v>421</v>
      </c>
    </row>
    <row r="9" spans="1:9" x14ac:dyDescent="0.3">
      <c r="A9" s="3">
        <v>3</v>
      </c>
      <c r="B9" s="9">
        <v>1642</v>
      </c>
      <c r="C9" s="14">
        <v>1641</v>
      </c>
      <c r="D9" s="9">
        <v>1203</v>
      </c>
      <c r="E9" s="14">
        <v>1202</v>
      </c>
      <c r="F9" s="9">
        <v>941</v>
      </c>
      <c r="G9" s="14">
        <v>940</v>
      </c>
      <c r="H9" s="9">
        <v>422</v>
      </c>
      <c r="I9" s="5">
        <v>421</v>
      </c>
    </row>
    <row r="10" spans="1:9" x14ac:dyDescent="0.3">
      <c r="A10" s="3">
        <v>4</v>
      </c>
      <c r="B10" s="9">
        <v>1642</v>
      </c>
      <c r="C10" s="14">
        <v>1641</v>
      </c>
      <c r="D10" s="9">
        <v>1203</v>
      </c>
      <c r="E10" s="14">
        <v>1202</v>
      </c>
      <c r="F10" s="9">
        <v>941</v>
      </c>
      <c r="G10" s="14">
        <v>940</v>
      </c>
      <c r="H10" s="9">
        <v>422</v>
      </c>
      <c r="I10" s="5">
        <v>421</v>
      </c>
    </row>
    <row r="11" spans="1:9" x14ac:dyDescent="0.3">
      <c r="A11" s="303">
        <v>5</v>
      </c>
      <c r="B11" s="20">
        <v>1642</v>
      </c>
      <c r="C11" s="21">
        <v>1641</v>
      </c>
      <c r="D11" s="20">
        <v>1203</v>
      </c>
      <c r="E11" s="21">
        <v>1202</v>
      </c>
      <c r="F11" s="20">
        <v>941</v>
      </c>
      <c r="G11" s="21">
        <v>940</v>
      </c>
      <c r="H11" s="20">
        <v>422</v>
      </c>
      <c r="I11" s="22">
        <v>421</v>
      </c>
    </row>
    <row r="12" spans="1:9" x14ac:dyDescent="0.3">
      <c r="A12" s="3">
        <v>6</v>
      </c>
      <c r="B12" s="9">
        <v>1642</v>
      </c>
      <c r="C12" s="14">
        <v>1641</v>
      </c>
      <c r="D12" s="9">
        <v>1203</v>
      </c>
      <c r="E12" s="14">
        <v>1202</v>
      </c>
      <c r="F12" s="9">
        <v>941</v>
      </c>
      <c r="G12" s="14">
        <v>940</v>
      </c>
      <c r="H12" s="9">
        <v>422</v>
      </c>
      <c r="I12" s="5">
        <v>421</v>
      </c>
    </row>
    <row r="13" spans="1:9" x14ac:dyDescent="0.3">
      <c r="A13" s="3">
        <v>7</v>
      </c>
      <c r="B13" s="9">
        <v>1642</v>
      </c>
      <c r="C13" s="14">
        <v>1641</v>
      </c>
      <c r="D13" s="9">
        <v>1203</v>
      </c>
      <c r="E13" s="14">
        <v>1202</v>
      </c>
      <c r="F13" s="9">
        <v>941</v>
      </c>
      <c r="G13" s="14">
        <v>940</v>
      </c>
      <c r="H13" s="9">
        <v>422</v>
      </c>
      <c r="I13" s="5">
        <v>421</v>
      </c>
    </row>
    <row r="14" spans="1:9" x14ac:dyDescent="0.3">
      <c r="A14" s="3">
        <v>8</v>
      </c>
      <c r="B14" s="9">
        <v>1642</v>
      </c>
      <c r="C14" s="14">
        <v>1641</v>
      </c>
      <c r="D14" s="9">
        <v>1203</v>
      </c>
      <c r="E14" s="14">
        <v>1202</v>
      </c>
      <c r="F14" s="9">
        <v>941</v>
      </c>
      <c r="G14" s="14">
        <v>940</v>
      </c>
      <c r="H14" s="9">
        <v>422</v>
      </c>
      <c r="I14" s="5">
        <v>421</v>
      </c>
    </row>
    <row r="15" spans="1:9" x14ac:dyDescent="0.3">
      <c r="A15" s="3">
        <v>9</v>
      </c>
      <c r="B15" s="9">
        <v>1642</v>
      </c>
      <c r="C15" s="14">
        <v>1641</v>
      </c>
      <c r="D15" s="9">
        <v>1203</v>
      </c>
      <c r="E15" s="14">
        <v>1202</v>
      </c>
      <c r="F15" s="9">
        <v>941</v>
      </c>
      <c r="G15" s="14">
        <v>940</v>
      </c>
      <c r="H15" s="9">
        <v>422</v>
      </c>
      <c r="I15" s="5">
        <v>421</v>
      </c>
    </row>
    <row r="16" spans="1:9" x14ac:dyDescent="0.3">
      <c r="A16" s="303">
        <v>10</v>
      </c>
      <c r="B16" s="20">
        <v>1642</v>
      </c>
      <c r="C16" s="21">
        <v>1641</v>
      </c>
      <c r="D16" s="20">
        <v>1203</v>
      </c>
      <c r="E16" s="21">
        <v>1202</v>
      </c>
      <c r="F16" s="20">
        <v>941</v>
      </c>
      <c r="G16" s="21">
        <v>940</v>
      </c>
      <c r="H16" s="20">
        <v>422</v>
      </c>
      <c r="I16" s="22">
        <v>421</v>
      </c>
    </row>
    <row r="17" spans="1:9" x14ac:dyDescent="0.3">
      <c r="A17" s="3">
        <v>11</v>
      </c>
      <c r="B17" s="9">
        <v>1642</v>
      </c>
      <c r="C17" s="14">
        <v>1641</v>
      </c>
      <c r="D17" s="9">
        <v>1203</v>
      </c>
      <c r="E17" s="14">
        <v>1202</v>
      </c>
      <c r="F17" s="9">
        <v>941</v>
      </c>
      <c r="G17" s="14">
        <v>940</v>
      </c>
      <c r="H17" s="9">
        <v>422</v>
      </c>
      <c r="I17" s="5">
        <v>421</v>
      </c>
    </row>
    <row r="18" spans="1:9" x14ac:dyDescent="0.3">
      <c r="A18" s="3">
        <v>12</v>
      </c>
      <c r="B18" s="9">
        <v>1642</v>
      </c>
      <c r="C18" s="14">
        <v>1641</v>
      </c>
      <c r="D18" s="9">
        <v>1203</v>
      </c>
      <c r="E18" s="14">
        <v>1202</v>
      </c>
      <c r="F18" s="9">
        <v>941</v>
      </c>
      <c r="G18" s="14">
        <v>940</v>
      </c>
      <c r="H18" s="9">
        <v>422</v>
      </c>
      <c r="I18" s="5">
        <v>421</v>
      </c>
    </row>
    <row r="19" spans="1:9" x14ac:dyDescent="0.3">
      <c r="A19" s="3">
        <v>13</v>
      </c>
      <c r="B19" s="9">
        <v>1642</v>
      </c>
      <c r="C19" s="14">
        <v>1641</v>
      </c>
      <c r="D19" s="9">
        <v>1203</v>
      </c>
      <c r="E19" s="14">
        <v>1202</v>
      </c>
      <c r="F19" s="9">
        <v>941</v>
      </c>
      <c r="G19" s="14">
        <v>940</v>
      </c>
      <c r="H19" s="9">
        <v>422</v>
      </c>
      <c r="I19" s="5">
        <v>421</v>
      </c>
    </row>
    <row r="20" spans="1:9" x14ac:dyDescent="0.3">
      <c r="A20" s="3">
        <v>14</v>
      </c>
      <c r="B20" s="9">
        <v>1642</v>
      </c>
      <c r="C20" s="14">
        <v>1641</v>
      </c>
      <c r="D20" s="9">
        <v>1203</v>
      </c>
      <c r="E20" s="14">
        <v>1202</v>
      </c>
      <c r="F20" s="9">
        <v>941</v>
      </c>
      <c r="G20" s="14">
        <v>940</v>
      </c>
      <c r="H20" s="9">
        <v>422</v>
      </c>
      <c r="I20" s="5">
        <v>421</v>
      </c>
    </row>
    <row r="21" spans="1:9" x14ac:dyDescent="0.3">
      <c r="A21" s="303">
        <v>15</v>
      </c>
      <c r="B21" s="20">
        <v>1642</v>
      </c>
      <c r="C21" s="21">
        <v>1641</v>
      </c>
      <c r="D21" s="20">
        <v>1203</v>
      </c>
      <c r="E21" s="21">
        <v>1202</v>
      </c>
      <c r="F21" s="20">
        <v>941</v>
      </c>
      <c r="G21" s="21">
        <v>940</v>
      </c>
      <c r="H21" s="20">
        <v>422</v>
      </c>
      <c r="I21" s="22">
        <v>421</v>
      </c>
    </row>
    <row r="22" spans="1:9" x14ac:dyDescent="0.3">
      <c r="A22" s="3">
        <v>16</v>
      </c>
      <c r="B22" s="9">
        <v>1642</v>
      </c>
      <c r="C22" s="14">
        <v>1641</v>
      </c>
      <c r="D22" s="9">
        <v>1203</v>
      </c>
      <c r="E22" s="14">
        <v>1202</v>
      </c>
      <c r="F22" s="9">
        <v>941</v>
      </c>
      <c r="G22" s="14">
        <v>940</v>
      </c>
      <c r="H22" s="9">
        <v>422</v>
      </c>
      <c r="I22" s="5">
        <v>421</v>
      </c>
    </row>
    <row r="23" spans="1:9" x14ac:dyDescent="0.3">
      <c r="A23" s="3">
        <v>17</v>
      </c>
      <c r="B23" s="9">
        <v>1642</v>
      </c>
      <c r="C23" s="14">
        <v>1641</v>
      </c>
      <c r="D23" s="9">
        <v>1203</v>
      </c>
      <c r="E23" s="14">
        <v>1202</v>
      </c>
      <c r="F23" s="9">
        <v>941</v>
      </c>
      <c r="G23" s="14">
        <v>940</v>
      </c>
      <c r="H23" s="9">
        <v>422</v>
      </c>
      <c r="I23" s="5">
        <v>421</v>
      </c>
    </row>
    <row r="24" spans="1:9" x14ac:dyDescent="0.3">
      <c r="A24" s="3">
        <v>18</v>
      </c>
      <c r="B24" s="9">
        <v>1642</v>
      </c>
      <c r="C24" s="14">
        <v>1641</v>
      </c>
      <c r="D24" s="9">
        <v>1203</v>
      </c>
      <c r="E24" s="14">
        <v>1202</v>
      </c>
      <c r="F24" s="9">
        <v>941</v>
      </c>
      <c r="G24" s="14">
        <v>940</v>
      </c>
      <c r="H24" s="9">
        <v>422</v>
      </c>
      <c r="I24" s="5">
        <v>421</v>
      </c>
    </row>
    <row r="25" spans="1:9" x14ac:dyDescent="0.3">
      <c r="A25" s="3">
        <v>19</v>
      </c>
      <c r="B25" s="9">
        <v>1642</v>
      </c>
      <c r="C25" s="14">
        <v>1641</v>
      </c>
      <c r="D25" s="9">
        <v>1203</v>
      </c>
      <c r="E25" s="14">
        <v>1202</v>
      </c>
      <c r="F25" s="9">
        <v>941</v>
      </c>
      <c r="G25" s="14">
        <v>940</v>
      </c>
      <c r="H25" s="9">
        <v>422</v>
      </c>
      <c r="I25" s="5">
        <v>421</v>
      </c>
    </row>
    <row r="26" spans="1:9" x14ac:dyDescent="0.3">
      <c r="A26" s="303">
        <v>20</v>
      </c>
      <c r="B26" s="20">
        <v>1642</v>
      </c>
      <c r="C26" s="21">
        <v>1641</v>
      </c>
      <c r="D26" s="20">
        <v>1203</v>
      </c>
      <c r="E26" s="21">
        <v>1202</v>
      </c>
      <c r="F26" s="20">
        <v>941</v>
      </c>
      <c r="G26" s="21">
        <v>940</v>
      </c>
      <c r="H26" s="20">
        <v>422</v>
      </c>
      <c r="I26" s="22">
        <v>421</v>
      </c>
    </row>
    <row r="27" spans="1:9" x14ac:dyDescent="0.3">
      <c r="A27" s="3">
        <v>21</v>
      </c>
      <c r="B27" s="9">
        <v>1642</v>
      </c>
      <c r="C27" s="14">
        <v>1641</v>
      </c>
      <c r="D27" s="9">
        <v>1203</v>
      </c>
      <c r="E27" s="14">
        <v>1202</v>
      </c>
      <c r="F27" s="9">
        <v>941</v>
      </c>
      <c r="G27" s="14">
        <v>940</v>
      </c>
      <c r="H27" s="9">
        <v>422</v>
      </c>
      <c r="I27" s="5">
        <v>421</v>
      </c>
    </row>
    <row r="28" spans="1:9" x14ac:dyDescent="0.3">
      <c r="A28" s="3">
        <v>22</v>
      </c>
      <c r="B28" s="9">
        <v>1642</v>
      </c>
      <c r="C28" s="14">
        <v>1641</v>
      </c>
      <c r="D28" s="9">
        <v>1203</v>
      </c>
      <c r="E28" s="14">
        <v>1202</v>
      </c>
      <c r="F28" s="9">
        <v>941</v>
      </c>
      <c r="G28" s="14">
        <v>940</v>
      </c>
      <c r="H28" s="9">
        <v>422</v>
      </c>
      <c r="I28" s="5">
        <v>421</v>
      </c>
    </row>
    <row r="29" spans="1:9" x14ac:dyDescent="0.3">
      <c r="A29" s="3">
        <v>23</v>
      </c>
      <c r="B29" s="9">
        <v>1642</v>
      </c>
      <c r="C29" s="14">
        <v>1641</v>
      </c>
      <c r="D29" s="9">
        <v>1203</v>
      </c>
      <c r="E29" s="14">
        <v>1202</v>
      </c>
      <c r="F29" s="9">
        <v>941</v>
      </c>
      <c r="G29" s="14">
        <v>940</v>
      </c>
      <c r="H29" s="9">
        <v>422</v>
      </c>
      <c r="I29" s="5">
        <v>421</v>
      </c>
    </row>
    <row r="30" spans="1:9" x14ac:dyDescent="0.3">
      <c r="A30" s="3">
        <v>24</v>
      </c>
      <c r="B30" s="9">
        <v>1642</v>
      </c>
      <c r="C30" s="14">
        <v>1641</v>
      </c>
      <c r="D30" s="9">
        <v>1203</v>
      </c>
      <c r="E30" s="14">
        <v>1202</v>
      </c>
      <c r="F30" s="9">
        <v>941</v>
      </c>
      <c r="G30" s="14">
        <v>940</v>
      </c>
      <c r="H30" s="9">
        <v>422</v>
      </c>
      <c r="I30" s="5">
        <v>421</v>
      </c>
    </row>
    <row r="31" spans="1:9" x14ac:dyDescent="0.3">
      <c r="A31" s="303">
        <v>25</v>
      </c>
      <c r="B31" s="20">
        <v>1642</v>
      </c>
      <c r="C31" s="21">
        <v>1641</v>
      </c>
      <c r="D31" s="20">
        <v>1203</v>
      </c>
      <c r="E31" s="21">
        <v>1202</v>
      </c>
      <c r="F31" s="20">
        <v>941</v>
      </c>
      <c r="G31" s="21">
        <v>940</v>
      </c>
      <c r="H31" s="20">
        <v>422</v>
      </c>
      <c r="I31" s="22">
        <v>421</v>
      </c>
    </row>
    <row r="32" spans="1:9" x14ac:dyDescent="0.3">
      <c r="A32" s="3">
        <v>26</v>
      </c>
      <c r="B32" s="9">
        <v>1642</v>
      </c>
      <c r="C32" s="14">
        <v>1642</v>
      </c>
      <c r="D32" s="9">
        <v>1203</v>
      </c>
      <c r="E32" s="14">
        <v>1203</v>
      </c>
      <c r="F32" s="9">
        <v>941</v>
      </c>
      <c r="G32" s="14">
        <v>940</v>
      </c>
      <c r="H32" s="9">
        <v>422</v>
      </c>
      <c r="I32" s="5">
        <v>421</v>
      </c>
    </row>
    <row r="33" spans="1:9" x14ac:dyDescent="0.3">
      <c r="A33" s="3">
        <v>27</v>
      </c>
      <c r="B33" s="9">
        <v>1642</v>
      </c>
      <c r="C33" s="14">
        <v>1642</v>
      </c>
      <c r="D33" s="9">
        <v>1203</v>
      </c>
      <c r="E33" s="14">
        <v>1203</v>
      </c>
      <c r="F33" s="9">
        <v>941</v>
      </c>
      <c r="G33" s="14">
        <v>940</v>
      </c>
      <c r="H33" s="9">
        <v>422</v>
      </c>
      <c r="I33" s="5">
        <v>421</v>
      </c>
    </row>
    <row r="34" spans="1:9" x14ac:dyDescent="0.3">
      <c r="A34" s="3">
        <v>28</v>
      </c>
      <c r="B34" s="9">
        <v>1642</v>
      </c>
      <c r="C34" s="14">
        <v>1642</v>
      </c>
      <c r="D34" s="9">
        <v>1203</v>
      </c>
      <c r="E34" s="14">
        <v>1203</v>
      </c>
      <c r="F34" s="9">
        <v>942</v>
      </c>
      <c r="G34" s="14">
        <v>941</v>
      </c>
      <c r="H34" s="9">
        <v>422</v>
      </c>
      <c r="I34" s="5">
        <v>421</v>
      </c>
    </row>
    <row r="35" spans="1:9" x14ac:dyDescent="0.3">
      <c r="A35" s="3">
        <v>29</v>
      </c>
      <c r="B35" s="9">
        <v>1642</v>
      </c>
      <c r="C35" s="14">
        <v>1642</v>
      </c>
      <c r="D35" s="9">
        <v>1203</v>
      </c>
      <c r="E35" s="14">
        <v>1203</v>
      </c>
      <c r="F35" s="9">
        <v>942</v>
      </c>
      <c r="G35" s="14">
        <v>941</v>
      </c>
      <c r="H35" s="9">
        <v>422</v>
      </c>
      <c r="I35" s="5">
        <v>421</v>
      </c>
    </row>
    <row r="36" spans="1:9" x14ac:dyDescent="0.3">
      <c r="A36" s="303">
        <v>30</v>
      </c>
      <c r="B36" s="20">
        <v>1642</v>
      </c>
      <c r="C36" s="21">
        <v>1642</v>
      </c>
      <c r="D36" s="20">
        <v>1203</v>
      </c>
      <c r="E36" s="21">
        <v>1203</v>
      </c>
      <c r="F36" s="20">
        <v>942</v>
      </c>
      <c r="G36" s="21">
        <v>941</v>
      </c>
      <c r="H36" s="20">
        <v>422</v>
      </c>
      <c r="I36" s="22">
        <v>421</v>
      </c>
    </row>
    <row r="37" spans="1:9" x14ac:dyDescent="0.3">
      <c r="A37" s="3">
        <v>31</v>
      </c>
      <c r="B37" s="9">
        <v>1643</v>
      </c>
      <c r="C37" s="14">
        <v>1642</v>
      </c>
      <c r="D37" s="9">
        <v>1203</v>
      </c>
      <c r="E37" s="14">
        <v>1203</v>
      </c>
      <c r="F37" s="9">
        <v>942</v>
      </c>
      <c r="G37" s="14">
        <v>941</v>
      </c>
      <c r="H37" s="9">
        <v>423</v>
      </c>
      <c r="I37" s="5">
        <v>422</v>
      </c>
    </row>
    <row r="38" spans="1:9" x14ac:dyDescent="0.3">
      <c r="A38" s="3">
        <v>32</v>
      </c>
      <c r="B38" s="9">
        <v>1643</v>
      </c>
      <c r="C38" s="14">
        <v>1642</v>
      </c>
      <c r="D38" s="9">
        <v>1204</v>
      </c>
      <c r="E38" s="14">
        <v>1203</v>
      </c>
      <c r="F38" s="9">
        <v>942</v>
      </c>
      <c r="G38" s="14">
        <v>941</v>
      </c>
      <c r="H38" s="9">
        <v>423</v>
      </c>
      <c r="I38" s="5">
        <v>422</v>
      </c>
    </row>
    <row r="39" spans="1:9" x14ac:dyDescent="0.3">
      <c r="A39" s="3">
        <v>33</v>
      </c>
      <c r="B39" s="9">
        <v>1644</v>
      </c>
      <c r="C39" s="14">
        <v>1642</v>
      </c>
      <c r="D39" s="9">
        <v>1204</v>
      </c>
      <c r="E39" s="14">
        <v>1203</v>
      </c>
      <c r="F39" s="9">
        <v>942</v>
      </c>
      <c r="G39" s="14">
        <v>941</v>
      </c>
      <c r="H39" s="9">
        <v>423</v>
      </c>
      <c r="I39" s="5">
        <v>422</v>
      </c>
    </row>
    <row r="40" spans="1:9" x14ac:dyDescent="0.3">
      <c r="A40" s="3">
        <v>34</v>
      </c>
      <c r="B40" s="9">
        <v>1645</v>
      </c>
      <c r="C40" s="14">
        <v>1642</v>
      </c>
      <c r="D40" s="9">
        <v>1204</v>
      </c>
      <c r="E40" s="14">
        <v>1203</v>
      </c>
      <c r="F40" s="9">
        <v>942</v>
      </c>
      <c r="G40" s="14">
        <v>941</v>
      </c>
      <c r="H40" s="9">
        <v>423</v>
      </c>
      <c r="I40" s="5">
        <v>422</v>
      </c>
    </row>
    <row r="41" spans="1:9" x14ac:dyDescent="0.3">
      <c r="A41" s="303">
        <v>35</v>
      </c>
      <c r="B41" s="20">
        <v>1645</v>
      </c>
      <c r="C41" s="21">
        <v>1642</v>
      </c>
      <c r="D41" s="20">
        <v>1205</v>
      </c>
      <c r="E41" s="21">
        <v>1203</v>
      </c>
      <c r="F41" s="20">
        <v>942</v>
      </c>
      <c r="G41" s="21">
        <v>941</v>
      </c>
      <c r="H41" s="20">
        <v>423</v>
      </c>
      <c r="I41" s="22">
        <v>422</v>
      </c>
    </row>
    <row r="42" spans="1:9" x14ac:dyDescent="0.3">
      <c r="A42" s="3">
        <v>36</v>
      </c>
      <c r="B42" s="9">
        <v>1646</v>
      </c>
      <c r="C42" s="14">
        <v>1643</v>
      </c>
      <c r="D42" s="9">
        <v>1205</v>
      </c>
      <c r="E42" s="14">
        <v>1203</v>
      </c>
      <c r="F42" s="9">
        <v>942</v>
      </c>
      <c r="G42" s="14">
        <v>941</v>
      </c>
      <c r="H42" s="9">
        <v>423</v>
      </c>
      <c r="I42" s="5">
        <v>422</v>
      </c>
    </row>
    <row r="43" spans="1:9" x14ac:dyDescent="0.3">
      <c r="A43" s="3">
        <v>37</v>
      </c>
      <c r="B43" s="9">
        <v>1646</v>
      </c>
      <c r="C43" s="14">
        <v>1643</v>
      </c>
      <c r="D43" s="9">
        <v>1205</v>
      </c>
      <c r="E43" s="14">
        <v>1203</v>
      </c>
      <c r="F43" s="9">
        <v>942</v>
      </c>
      <c r="G43" s="14">
        <v>941</v>
      </c>
      <c r="H43" s="9">
        <v>423</v>
      </c>
      <c r="I43" s="5">
        <v>422</v>
      </c>
    </row>
    <row r="44" spans="1:9" x14ac:dyDescent="0.3">
      <c r="A44" s="3">
        <v>38</v>
      </c>
      <c r="B44" s="9">
        <v>1646</v>
      </c>
      <c r="C44" s="14">
        <v>1644</v>
      </c>
      <c r="D44" s="9">
        <v>1205</v>
      </c>
      <c r="E44" s="14">
        <v>1204</v>
      </c>
      <c r="F44" s="9">
        <v>942</v>
      </c>
      <c r="G44" s="14">
        <v>941</v>
      </c>
      <c r="H44" s="9">
        <v>423</v>
      </c>
      <c r="I44" s="5">
        <v>423</v>
      </c>
    </row>
    <row r="45" spans="1:9" x14ac:dyDescent="0.3">
      <c r="A45" s="3">
        <v>39</v>
      </c>
      <c r="B45" s="9">
        <v>1646</v>
      </c>
      <c r="C45" s="14">
        <v>1644</v>
      </c>
      <c r="D45" s="9">
        <v>1205</v>
      </c>
      <c r="E45" s="14">
        <v>1204</v>
      </c>
      <c r="F45" s="9">
        <v>942</v>
      </c>
      <c r="G45" s="14">
        <v>941</v>
      </c>
      <c r="H45" s="9">
        <v>424</v>
      </c>
      <c r="I45" s="5">
        <v>423</v>
      </c>
    </row>
    <row r="46" spans="1:9" x14ac:dyDescent="0.3">
      <c r="A46" s="303">
        <v>40</v>
      </c>
      <c r="B46" s="20">
        <v>1646</v>
      </c>
      <c r="C46" s="21">
        <v>1645</v>
      </c>
      <c r="D46" s="20">
        <v>1206</v>
      </c>
      <c r="E46" s="21">
        <v>1205</v>
      </c>
      <c r="F46" s="20">
        <v>943</v>
      </c>
      <c r="G46" s="21">
        <v>942</v>
      </c>
      <c r="H46" s="20">
        <v>424</v>
      </c>
      <c r="I46" s="22">
        <v>424</v>
      </c>
    </row>
    <row r="47" spans="1:9" x14ac:dyDescent="0.3">
      <c r="A47" s="3">
        <v>41</v>
      </c>
      <c r="B47" s="9">
        <v>1647</v>
      </c>
      <c r="C47" s="14">
        <v>1645</v>
      </c>
      <c r="D47" s="9">
        <v>1206</v>
      </c>
      <c r="E47" s="14">
        <v>1205</v>
      </c>
      <c r="F47" s="9">
        <v>943</v>
      </c>
      <c r="G47" s="14">
        <v>942</v>
      </c>
      <c r="H47" s="9">
        <v>425</v>
      </c>
      <c r="I47" s="5">
        <v>424</v>
      </c>
    </row>
    <row r="48" spans="1:9" x14ac:dyDescent="0.3">
      <c r="A48" s="3">
        <v>42</v>
      </c>
      <c r="B48" s="9">
        <v>1648</v>
      </c>
      <c r="C48" s="14">
        <v>1646</v>
      </c>
      <c r="D48" s="9">
        <v>1206</v>
      </c>
      <c r="E48" s="14">
        <v>1205</v>
      </c>
      <c r="F48" s="9">
        <v>943</v>
      </c>
      <c r="G48" s="14">
        <v>942</v>
      </c>
      <c r="H48" s="9">
        <v>425</v>
      </c>
      <c r="I48" s="5">
        <v>425</v>
      </c>
    </row>
    <row r="49" spans="1:9" x14ac:dyDescent="0.3">
      <c r="A49" s="3">
        <v>43</v>
      </c>
      <c r="B49" s="9">
        <v>1648</v>
      </c>
      <c r="C49" s="14">
        <v>1647</v>
      </c>
      <c r="D49" s="9">
        <v>1207</v>
      </c>
      <c r="E49" s="14">
        <v>1206</v>
      </c>
      <c r="F49" s="9">
        <v>944</v>
      </c>
      <c r="G49" s="14">
        <v>943</v>
      </c>
      <c r="H49" s="9">
        <v>427</v>
      </c>
      <c r="I49" s="5">
        <v>425</v>
      </c>
    </row>
    <row r="50" spans="1:9" x14ac:dyDescent="0.3">
      <c r="A50" s="3">
        <v>44</v>
      </c>
      <c r="B50" s="9">
        <v>1649</v>
      </c>
      <c r="C50" s="14">
        <v>1647</v>
      </c>
      <c r="D50" s="9">
        <v>1207</v>
      </c>
      <c r="E50" s="14">
        <v>1206</v>
      </c>
      <c r="F50" s="9">
        <v>944</v>
      </c>
      <c r="G50" s="14">
        <v>943</v>
      </c>
      <c r="H50" s="9">
        <v>427</v>
      </c>
      <c r="I50" s="5">
        <v>427</v>
      </c>
    </row>
    <row r="51" spans="1:9" x14ac:dyDescent="0.3">
      <c r="A51" s="303">
        <v>45</v>
      </c>
      <c r="B51" s="20">
        <v>1649</v>
      </c>
      <c r="C51" s="21">
        <v>1648</v>
      </c>
      <c r="D51" s="20">
        <v>1208</v>
      </c>
      <c r="E51" s="21">
        <v>1207</v>
      </c>
      <c r="F51" s="20">
        <v>944</v>
      </c>
      <c r="G51" s="21">
        <v>943</v>
      </c>
      <c r="H51" s="20">
        <v>427</v>
      </c>
      <c r="I51" s="22">
        <v>427</v>
      </c>
    </row>
    <row r="52" spans="1:9" x14ac:dyDescent="0.3">
      <c r="A52" s="3">
        <v>46</v>
      </c>
      <c r="B52" s="9">
        <v>1650</v>
      </c>
      <c r="C52" s="14">
        <v>1649</v>
      </c>
      <c r="D52" s="9">
        <v>1209</v>
      </c>
      <c r="E52" s="14">
        <v>1207</v>
      </c>
      <c r="F52" s="9">
        <v>945</v>
      </c>
      <c r="G52" s="14">
        <v>944</v>
      </c>
      <c r="H52" s="9">
        <v>428</v>
      </c>
      <c r="I52" s="5">
        <v>428</v>
      </c>
    </row>
    <row r="53" spans="1:9" x14ac:dyDescent="0.3">
      <c r="A53" s="3">
        <v>47</v>
      </c>
      <c r="B53" s="9">
        <v>1652</v>
      </c>
      <c r="C53" s="14">
        <v>1650</v>
      </c>
      <c r="D53" s="9">
        <v>1209</v>
      </c>
      <c r="E53" s="14">
        <v>1208</v>
      </c>
      <c r="F53" s="9">
        <v>946</v>
      </c>
      <c r="G53" s="14">
        <v>945</v>
      </c>
      <c r="H53" s="9">
        <v>429</v>
      </c>
      <c r="I53" s="5">
        <v>428</v>
      </c>
    </row>
    <row r="54" spans="1:9" x14ac:dyDescent="0.3">
      <c r="A54" s="3">
        <v>48</v>
      </c>
      <c r="B54" s="9">
        <v>1653</v>
      </c>
      <c r="C54" s="14">
        <v>1651</v>
      </c>
      <c r="D54" s="9">
        <v>1210</v>
      </c>
      <c r="E54" s="14">
        <v>1209</v>
      </c>
      <c r="F54" s="9">
        <v>947</v>
      </c>
      <c r="G54" s="14">
        <v>946</v>
      </c>
      <c r="H54" s="9">
        <v>430</v>
      </c>
      <c r="I54" s="5">
        <v>429</v>
      </c>
    </row>
    <row r="55" spans="1:9" x14ac:dyDescent="0.3">
      <c r="A55" s="3">
        <v>49</v>
      </c>
      <c r="B55" s="9">
        <v>1654</v>
      </c>
      <c r="C55" s="14">
        <v>1652</v>
      </c>
      <c r="D55" s="9">
        <v>1211</v>
      </c>
      <c r="E55" s="14">
        <v>1210</v>
      </c>
      <c r="F55" s="9">
        <v>948</v>
      </c>
      <c r="G55" s="14">
        <v>947</v>
      </c>
      <c r="H55" s="9">
        <v>430</v>
      </c>
      <c r="I55" s="5">
        <v>430</v>
      </c>
    </row>
    <row r="56" spans="1:9" x14ac:dyDescent="0.3">
      <c r="A56" s="303">
        <v>50</v>
      </c>
      <c r="B56" s="20">
        <v>1655</v>
      </c>
      <c r="C56" s="21">
        <v>1654</v>
      </c>
      <c r="D56" s="20">
        <v>1212</v>
      </c>
      <c r="E56" s="21">
        <v>1211</v>
      </c>
      <c r="F56" s="20">
        <v>949</v>
      </c>
      <c r="G56" s="21">
        <v>948</v>
      </c>
      <c r="H56" s="20">
        <v>431</v>
      </c>
      <c r="I56" s="22">
        <v>431</v>
      </c>
    </row>
    <row r="57" spans="1:9" x14ac:dyDescent="0.3">
      <c r="A57" s="3">
        <v>51</v>
      </c>
      <c r="B57" s="9">
        <v>1657</v>
      </c>
      <c r="C57" s="14">
        <v>1655</v>
      </c>
      <c r="D57" s="9">
        <v>1214</v>
      </c>
      <c r="E57" s="14">
        <v>1212</v>
      </c>
      <c r="F57" s="9">
        <v>950</v>
      </c>
      <c r="G57" s="14">
        <v>949</v>
      </c>
      <c r="H57" s="9">
        <v>432</v>
      </c>
      <c r="I57" s="5">
        <v>432</v>
      </c>
    </row>
    <row r="58" spans="1:9" x14ac:dyDescent="0.3">
      <c r="A58" s="3">
        <v>52</v>
      </c>
      <c r="B58" s="9">
        <v>1659</v>
      </c>
      <c r="C58" s="14">
        <v>1656</v>
      </c>
      <c r="D58" s="9">
        <v>1215</v>
      </c>
      <c r="E58" s="14">
        <v>1214</v>
      </c>
      <c r="F58" s="9">
        <v>951</v>
      </c>
      <c r="G58" s="14">
        <v>950</v>
      </c>
      <c r="H58" s="9">
        <v>433</v>
      </c>
      <c r="I58" s="5">
        <v>432</v>
      </c>
    </row>
    <row r="59" spans="1:9" x14ac:dyDescent="0.3">
      <c r="A59" s="3">
        <v>53</v>
      </c>
      <c r="B59" s="9">
        <v>1660</v>
      </c>
      <c r="C59" s="14">
        <v>1658</v>
      </c>
      <c r="D59" s="9">
        <v>1217</v>
      </c>
      <c r="E59" s="14">
        <v>1215</v>
      </c>
      <c r="F59" s="9">
        <v>953</v>
      </c>
      <c r="G59" s="14">
        <v>952</v>
      </c>
      <c r="H59" s="9">
        <v>434</v>
      </c>
      <c r="I59" s="5">
        <v>433</v>
      </c>
    </row>
    <row r="60" spans="1:9" x14ac:dyDescent="0.3">
      <c r="A60" s="3">
        <v>54</v>
      </c>
      <c r="B60" s="9">
        <v>1662</v>
      </c>
      <c r="C60" s="14">
        <v>1660</v>
      </c>
      <c r="D60" s="9">
        <v>1218</v>
      </c>
      <c r="E60" s="14">
        <v>1217</v>
      </c>
      <c r="F60" s="9">
        <v>954</v>
      </c>
      <c r="G60" s="14">
        <v>953</v>
      </c>
      <c r="H60" s="9">
        <v>435</v>
      </c>
      <c r="I60" s="5">
        <v>434</v>
      </c>
    </row>
    <row r="61" spans="1:9" x14ac:dyDescent="0.3">
      <c r="A61" s="303">
        <v>55</v>
      </c>
      <c r="B61" s="20">
        <v>1664</v>
      </c>
      <c r="C61" s="21">
        <v>1662</v>
      </c>
      <c r="D61" s="20">
        <v>1220</v>
      </c>
      <c r="E61" s="21">
        <v>1218</v>
      </c>
      <c r="F61" s="20">
        <v>955</v>
      </c>
      <c r="G61" s="21">
        <v>954</v>
      </c>
      <c r="H61" s="20">
        <v>436</v>
      </c>
      <c r="I61" s="22">
        <v>435</v>
      </c>
    </row>
    <row r="62" spans="1:9" x14ac:dyDescent="0.3">
      <c r="A62" s="3">
        <v>56</v>
      </c>
      <c r="B62" s="9">
        <v>1666</v>
      </c>
      <c r="C62" s="14">
        <v>1664</v>
      </c>
      <c r="D62" s="9">
        <v>1221</v>
      </c>
      <c r="E62" s="14">
        <v>1220</v>
      </c>
      <c r="F62" s="9">
        <v>957</v>
      </c>
      <c r="G62" s="14">
        <v>956</v>
      </c>
      <c r="H62" s="9">
        <v>437</v>
      </c>
      <c r="I62" s="5">
        <v>436</v>
      </c>
    </row>
    <row r="63" spans="1:9" x14ac:dyDescent="0.3">
      <c r="A63" s="3">
        <v>57</v>
      </c>
      <c r="B63" s="9">
        <v>1668</v>
      </c>
      <c r="C63" s="14">
        <v>1666</v>
      </c>
      <c r="D63" s="9">
        <v>1223</v>
      </c>
      <c r="E63" s="14">
        <v>1222</v>
      </c>
      <c r="F63" s="9">
        <v>958</v>
      </c>
      <c r="G63" s="14">
        <v>957</v>
      </c>
      <c r="H63" s="9">
        <v>438</v>
      </c>
      <c r="I63" s="5">
        <v>437</v>
      </c>
    </row>
    <row r="64" spans="1:9" x14ac:dyDescent="0.3">
      <c r="A64" s="3">
        <v>58</v>
      </c>
      <c r="B64" s="9">
        <v>1671</v>
      </c>
      <c r="C64" s="14">
        <v>1669</v>
      </c>
      <c r="D64" s="9">
        <v>1225</v>
      </c>
      <c r="E64" s="14">
        <v>1224</v>
      </c>
      <c r="F64" s="9">
        <v>960</v>
      </c>
      <c r="G64" s="14">
        <v>959</v>
      </c>
      <c r="H64" s="9">
        <v>439</v>
      </c>
      <c r="I64" s="5">
        <v>438</v>
      </c>
    </row>
    <row r="65" spans="1:9" x14ac:dyDescent="0.3">
      <c r="A65" s="3">
        <v>59</v>
      </c>
      <c r="B65" s="9">
        <v>1673</v>
      </c>
      <c r="C65" s="14">
        <v>1671</v>
      </c>
      <c r="D65" s="9">
        <v>1227</v>
      </c>
      <c r="E65" s="14">
        <v>1226</v>
      </c>
      <c r="F65" s="9">
        <v>962</v>
      </c>
      <c r="G65" s="14">
        <v>960</v>
      </c>
      <c r="H65" s="9">
        <v>440</v>
      </c>
      <c r="I65" s="5">
        <v>439</v>
      </c>
    </row>
    <row r="66" spans="1:9" x14ac:dyDescent="0.3">
      <c r="A66" s="303">
        <v>60</v>
      </c>
      <c r="B66" s="20">
        <v>1675</v>
      </c>
      <c r="C66" s="21">
        <v>1673</v>
      </c>
      <c r="D66" s="20">
        <v>1229</v>
      </c>
      <c r="E66" s="21">
        <v>1227</v>
      </c>
      <c r="F66" s="20">
        <v>963</v>
      </c>
      <c r="G66" s="21">
        <v>962</v>
      </c>
      <c r="H66" s="20">
        <v>441</v>
      </c>
      <c r="I66" s="22">
        <v>441</v>
      </c>
    </row>
    <row r="67" spans="1:9" x14ac:dyDescent="0.3">
      <c r="A67" s="3">
        <v>61</v>
      </c>
      <c r="B67" s="9">
        <v>1678</v>
      </c>
      <c r="C67" s="14">
        <v>1676</v>
      </c>
      <c r="D67" s="9">
        <v>1231</v>
      </c>
      <c r="E67" s="14">
        <v>1229</v>
      </c>
      <c r="F67" s="9">
        <v>965</v>
      </c>
      <c r="G67" s="14">
        <v>964</v>
      </c>
      <c r="H67" s="9">
        <v>442</v>
      </c>
      <c r="I67" s="5">
        <v>442</v>
      </c>
    </row>
    <row r="68" spans="1:9" x14ac:dyDescent="0.3">
      <c r="A68" s="3">
        <v>62</v>
      </c>
      <c r="B68" s="9">
        <v>1681</v>
      </c>
      <c r="C68" s="14">
        <v>1678</v>
      </c>
      <c r="D68" s="9">
        <v>1234</v>
      </c>
      <c r="E68" s="14">
        <v>1231</v>
      </c>
      <c r="F68" s="9">
        <v>967</v>
      </c>
      <c r="G68" s="14">
        <v>965</v>
      </c>
      <c r="H68" s="9">
        <v>443</v>
      </c>
      <c r="I68" s="5">
        <v>443</v>
      </c>
    </row>
    <row r="69" spans="1:9" x14ac:dyDescent="0.3">
      <c r="A69" s="3">
        <v>63</v>
      </c>
      <c r="B69" s="9">
        <v>1684</v>
      </c>
      <c r="C69" s="14">
        <v>1680</v>
      </c>
      <c r="D69" s="9">
        <v>1236</v>
      </c>
      <c r="E69" s="14">
        <v>1233</v>
      </c>
      <c r="F69" s="9">
        <v>969</v>
      </c>
      <c r="G69" s="14">
        <v>967</v>
      </c>
      <c r="H69" s="9">
        <v>446</v>
      </c>
      <c r="I69" s="5">
        <v>445</v>
      </c>
    </row>
    <row r="70" spans="1:9" x14ac:dyDescent="0.3">
      <c r="A70" s="3">
        <v>64</v>
      </c>
      <c r="B70" s="9">
        <v>1688</v>
      </c>
      <c r="C70" s="14">
        <v>1683</v>
      </c>
      <c r="D70" s="9">
        <v>1239</v>
      </c>
      <c r="E70" s="14">
        <v>1235</v>
      </c>
      <c r="F70" s="9">
        <v>971</v>
      </c>
      <c r="G70" s="14">
        <v>968</v>
      </c>
      <c r="H70" s="9">
        <v>450</v>
      </c>
      <c r="I70" s="5">
        <v>447</v>
      </c>
    </row>
    <row r="71" spans="1:9" x14ac:dyDescent="0.3">
      <c r="A71" s="303">
        <v>65</v>
      </c>
      <c r="B71" s="20">
        <v>1692</v>
      </c>
      <c r="C71" s="21">
        <v>1686</v>
      </c>
      <c r="D71" s="20">
        <v>1242</v>
      </c>
      <c r="E71" s="21">
        <v>1237</v>
      </c>
      <c r="F71" s="20">
        <v>974</v>
      </c>
      <c r="G71" s="21">
        <v>970</v>
      </c>
      <c r="H71" s="20">
        <v>453</v>
      </c>
      <c r="I71" s="22">
        <v>449</v>
      </c>
    </row>
    <row r="72" spans="1:9" x14ac:dyDescent="0.3">
      <c r="A72" s="3">
        <v>66</v>
      </c>
      <c r="B72" s="9">
        <v>1699</v>
      </c>
      <c r="C72" s="14">
        <v>1690</v>
      </c>
      <c r="D72" s="9">
        <v>1247</v>
      </c>
      <c r="E72" s="14">
        <v>1240</v>
      </c>
      <c r="F72" s="9">
        <v>978</v>
      </c>
      <c r="G72" s="14">
        <v>973</v>
      </c>
      <c r="H72" s="9"/>
      <c r="I72" s="5"/>
    </row>
    <row r="73" spans="1:9" x14ac:dyDescent="0.3">
      <c r="A73" s="3">
        <v>67</v>
      </c>
      <c r="B73" s="9">
        <v>1708</v>
      </c>
      <c r="C73" s="14">
        <v>1697</v>
      </c>
      <c r="D73" s="9">
        <v>1254</v>
      </c>
      <c r="E73" s="14">
        <v>1246</v>
      </c>
      <c r="F73" s="9">
        <v>983</v>
      </c>
      <c r="G73" s="14">
        <v>977</v>
      </c>
      <c r="H73" s="9"/>
      <c r="I73" s="5"/>
    </row>
    <row r="74" spans="1:9" x14ac:dyDescent="0.3">
      <c r="A74" s="3">
        <v>68</v>
      </c>
      <c r="B74" s="9">
        <v>1719</v>
      </c>
      <c r="C74" s="14">
        <v>1707</v>
      </c>
      <c r="D74" s="9">
        <v>1261</v>
      </c>
      <c r="E74" s="14">
        <v>1253</v>
      </c>
      <c r="F74" s="9">
        <v>990</v>
      </c>
      <c r="G74" s="14">
        <v>983</v>
      </c>
      <c r="H74" s="9"/>
      <c r="I74" s="5"/>
    </row>
    <row r="75" spans="1:9" x14ac:dyDescent="0.3">
      <c r="A75" s="3">
        <v>69</v>
      </c>
      <c r="B75" s="9">
        <v>1733</v>
      </c>
      <c r="C75" s="14">
        <v>1718</v>
      </c>
      <c r="D75" s="9">
        <v>1271</v>
      </c>
      <c r="E75" s="14">
        <v>1261</v>
      </c>
      <c r="F75" s="9">
        <v>997</v>
      </c>
      <c r="G75" s="14">
        <v>989</v>
      </c>
      <c r="H75" s="9"/>
      <c r="I75" s="5"/>
    </row>
    <row r="76" spans="1:9" x14ac:dyDescent="0.3">
      <c r="A76" s="303">
        <v>70</v>
      </c>
      <c r="B76" s="20">
        <v>1749</v>
      </c>
      <c r="C76" s="21">
        <v>1728</v>
      </c>
      <c r="D76" s="20">
        <v>1282</v>
      </c>
      <c r="E76" s="21">
        <v>1268</v>
      </c>
      <c r="F76" s="20">
        <v>1005</v>
      </c>
      <c r="G76" s="21">
        <v>995</v>
      </c>
      <c r="H76" s="20"/>
      <c r="I76" s="22"/>
    </row>
    <row r="77" spans="1:9" x14ac:dyDescent="0.3">
      <c r="A77" s="3">
        <v>71</v>
      </c>
      <c r="B77" s="9">
        <v>1769</v>
      </c>
      <c r="C77" s="14">
        <v>1739</v>
      </c>
      <c r="D77" s="9">
        <v>1295</v>
      </c>
      <c r="E77" s="14">
        <v>1276</v>
      </c>
      <c r="F77" s="9">
        <v>1015</v>
      </c>
      <c r="G77" s="14">
        <v>1001</v>
      </c>
      <c r="H77" s="9"/>
      <c r="I77" s="5"/>
    </row>
    <row r="78" spans="1:9" x14ac:dyDescent="0.3">
      <c r="A78" s="3">
        <v>72</v>
      </c>
      <c r="B78" s="9">
        <v>1786</v>
      </c>
      <c r="C78" s="14">
        <v>1752</v>
      </c>
      <c r="D78" s="9">
        <v>1306</v>
      </c>
      <c r="E78" s="14">
        <v>1285</v>
      </c>
      <c r="F78" s="9">
        <v>1023</v>
      </c>
      <c r="G78" s="14">
        <v>1008</v>
      </c>
      <c r="H78" s="9"/>
      <c r="I78" s="5"/>
    </row>
    <row r="79" spans="1:9" x14ac:dyDescent="0.3">
      <c r="A79" s="3">
        <v>73</v>
      </c>
      <c r="B79" s="9">
        <v>1804</v>
      </c>
      <c r="C79" s="14">
        <v>1766</v>
      </c>
      <c r="D79" s="9">
        <v>1318</v>
      </c>
      <c r="E79" s="14">
        <v>1294</v>
      </c>
      <c r="F79" s="9">
        <v>1031</v>
      </c>
      <c r="G79" s="14">
        <v>1015</v>
      </c>
      <c r="H79" s="9"/>
      <c r="I79" s="5"/>
    </row>
    <row r="80" spans="1:9" x14ac:dyDescent="0.3">
      <c r="A80" s="3">
        <v>74</v>
      </c>
      <c r="B80" s="9">
        <v>1823</v>
      </c>
      <c r="C80" s="14">
        <v>1780</v>
      </c>
      <c r="D80" s="9">
        <v>1330</v>
      </c>
      <c r="E80" s="14">
        <v>1304</v>
      </c>
      <c r="F80" s="9">
        <v>1040</v>
      </c>
      <c r="G80" s="14">
        <v>1022</v>
      </c>
      <c r="H80" s="9"/>
      <c r="I80" s="5"/>
    </row>
    <row r="81" spans="1:9" x14ac:dyDescent="0.3">
      <c r="A81" s="303">
        <v>75</v>
      </c>
      <c r="B81" s="20">
        <v>1847</v>
      </c>
      <c r="C81" s="21">
        <v>1796</v>
      </c>
      <c r="D81" s="20">
        <v>1344</v>
      </c>
      <c r="E81" s="21">
        <v>1315</v>
      </c>
      <c r="F81" s="20">
        <v>1050</v>
      </c>
      <c r="G81" s="21">
        <v>1030</v>
      </c>
      <c r="H81" s="20"/>
      <c r="I81" s="22"/>
    </row>
    <row r="82" spans="1:9" x14ac:dyDescent="0.3">
      <c r="A82" s="3">
        <v>76</v>
      </c>
      <c r="B82" s="9">
        <v>1874</v>
      </c>
      <c r="C82" s="14">
        <v>1813</v>
      </c>
      <c r="D82" s="9">
        <v>1361</v>
      </c>
      <c r="E82" s="14">
        <v>1326</v>
      </c>
      <c r="F82" s="9"/>
      <c r="G82" s="14"/>
      <c r="H82" s="9"/>
      <c r="I82" s="5"/>
    </row>
    <row r="83" spans="1:9" x14ac:dyDescent="0.3">
      <c r="A83" s="3">
        <v>77</v>
      </c>
      <c r="B83" s="9">
        <v>1908</v>
      </c>
      <c r="C83" s="14">
        <v>1831</v>
      </c>
      <c r="D83" s="9">
        <v>1381</v>
      </c>
      <c r="E83" s="14">
        <v>1337</v>
      </c>
      <c r="F83" s="9"/>
      <c r="G83" s="14"/>
      <c r="H83" s="9"/>
      <c r="I83" s="5"/>
    </row>
    <row r="84" spans="1:9" x14ac:dyDescent="0.3">
      <c r="A84" s="3">
        <v>78</v>
      </c>
      <c r="B84" s="9">
        <v>1959</v>
      </c>
      <c r="C84" s="14">
        <v>1852</v>
      </c>
      <c r="D84" s="9"/>
      <c r="E84" s="14"/>
      <c r="F84" s="9"/>
      <c r="G84" s="14"/>
      <c r="H84" s="9"/>
      <c r="I84" s="5"/>
    </row>
    <row r="85" spans="1:9" ht="16.8" thickBot="1" x14ac:dyDescent="0.35">
      <c r="A85" s="4">
        <v>79</v>
      </c>
      <c r="B85" s="10">
        <v>2052</v>
      </c>
      <c r="C85" s="15">
        <v>1877</v>
      </c>
      <c r="D85" s="10"/>
      <c r="E85" s="15"/>
      <c r="F85" s="10"/>
      <c r="G85" s="15"/>
      <c r="H85" s="10"/>
      <c r="I85" s="6"/>
    </row>
  </sheetData>
  <mergeCells count="6">
    <mergeCell ref="A1:I1"/>
    <mergeCell ref="A2:I2"/>
    <mergeCell ref="B4:C4"/>
    <mergeCell ref="D4:E4"/>
    <mergeCell ref="F4:G4"/>
    <mergeCell ref="H4:I4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85"/>
  <sheetViews>
    <sheetView showGridLines="0" zoomScale="80" zoomScaleNormal="80" workbookViewId="0">
      <pane xSplit="1" ySplit="5" topLeftCell="B6" activePane="bottomRight" state="frozenSplit"/>
      <selection sqref="A1:E1"/>
      <selection pane="topRight" sqref="A1:E1"/>
      <selection pane="bottomLeft" sqref="A1:E1"/>
      <selection pane="bottomRight" sqref="A1:I1"/>
    </sheetView>
  </sheetViews>
  <sheetFormatPr defaultColWidth="11.109375" defaultRowHeight="16.2" x14ac:dyDescent="0.3"/>
  <cols>
    <col min="1" max="16384" width="11.109375" style="1"/>
  </cols>
  <sheetData>
    <row r="1" spans="1:9" ht="28.2" x14ac:dyDescent="0.3">
      <c r="A1" s="495" t="s">
        <v>0</v>
      </c>
      <c r="B1" s="495"/>
      <c r="C1" s="495"/>
      <c r="D1" s="495"/>
      <c r="E1" s="495"/>
      <c r="F1" s="495"/>
      <c r="G1" s="495"/>
      <c r="H1" s="495"/>
      <c r="I1" s="495"/>
    </row>
    <row r="2" spans="1:9" ht="22.2" x14ac:dyDescent="0.3">
      <c r="A2" s="496" t="s">
        <v>11</v>
      </c>
      <c r="B2" s="496"/>
      <c r="C2" s="496"/>
      <c r="D2" s="496"/>
      <c r="E2" s="496"/>
      <c r="F2" s="496"/>
      <c r="G2" s="496"/>
      <c r="H2" s="496"/>
      <c r="I2" s="496"/>
    </row>
    <row r="3" spans="1:9" ht="16.8" thickBot="1" x14ac:dyDescent="0.35">
      <c r="I3" s="2"/>
    </row>
    <row r="4" spans="1:9" x14ac:dyDescent="0.3">
      <c r="A4" s="11" t="s">
        <v>3</v>
      </c>
      <c r="B4" s="461" t="s">
        <v>4</v>
      </c>
      <c r="C4" s="497"/>
      <c r="D4" s="461" t="s">
        <v>5</v>
      </c>
      <c r="E4" s="497"/>
      <c r="F4" s="461" t="s">
        <v>6</v>
      </c>
      <c r="G4" s="497"/>
      <c r="H4" s="461" t="s">
        <v>7</v>
      </c>
      <c r="I4" s="498"/>
    </row>
    <row r="5" spans="1:9" ht="16.8" thickBot="1" x14ac:dyDescent="0.35">
      <c r="A5" s="12" t="s">
        <v>8</v>
      </c>
      <c r="B5" s="8" t="s">
        <v>9</v>
      </c>
      <c r="C5" s="13" t="s">
        <v>10</v>
      </c>
      <c r="D5" s="8" t="s">
        <v>9</v>
      </c>
      <c r="E5" s="13" t="s">
        <v>10</v>
      </c>
      <c r="F5" s="8" t="s">
        <v>9</v>
      </c>
      <c r="G5" s="13" t="s">
        <v>10</v>
      </c>
      <c r="H5" s="8" t="s">
        <v>9</v>
      </c>
      <c r="I5" s="7" t="s">
        <v>10</v>
      </c>
    </row>
    <row r="6" spans="1:9" ht="16.8" thickTop="1" x14ac:dyDescent="0.3">
      <c r="A6" s="16">
        <v>0</v>
      </c>
      <c r="B6" s="29"/>
      <c r="C6" s="30"/>
      <c r="D6" s="29"/>
      <c r="E6" s="30"/>
      <c r="F6" s="29"/>
      <c r="G6" s="30"/>
      <c r="H6" s="29"/>
      <c r="I6" s="31"/>
    </row>
    <row r="7" spans="1:9" x14ac:dyDescent="0.3">
      <c r="A7" s="3">
        <v>1</v>
      </c>
      <c r="B7" s="25"/>
      <c r="C7" s="27"/>
      <c r="D7" s="25"/>
      <c r="E7" s="27"/>
      <c r="F7" s="25"/>
      <c r="G7" s="27"/>
      <c r="H7" s="25"/>
      <c r="I7" s="23"/>
    </row>
    <row r="8" spans="1:9" x14ac:dyDescent="0.3">
      <c r="A8" s="3">
        <v>2</v>
      </c>
      <c r="B8" s="25"/>
      <c r="C8" s="27"/>
      <c r="D8" s="25"/>
      <c r="E8" s="27"/>
      <c r="F8" s="25"/>
      <c r="G8" s="27"/>
      <c r="H8" s="25"/>
      <c r="I8" s="23"/>
    </row>
    <row r="9" spans="1:9" x14ac:dyDescent="0.3">
      <c r="A9" s="3">
        <v>3</v>
      </c>
      <c r="B9" s="25"/>
      <c r="C9" s="27"/>
      <c r="D9" s="25"/>
      <c r="E9" s="27"/>
      <c r="F9" s="25"/>
      <c r="G9" s="27"/>
      <c r="H9" s="25"/>
      <c r="I9" s="23"/>
    </row>
    <row r="10" spans="1:9" x14ac:dyDescent="0.3">
      <c r="A10" s="3">
        <v>4</v>
      </c>
      <c r="B10" s="25"/>
      <c r="C10" s="27"/>
      <c r="D10" s="25"/>
      <c r="E10" s="27"/>
      <c r="F10" s="25"/>
      <c r="G10" s="27"/>
      <c r="H10" s="25"/>
      <c r="I10" s="23"/>
    </row>
    <row r="11" spans="1:9" x14ac:dyDescent="0.3">
      <c r="A11" s="303">
        <v>5</v>
      </c>
      <c r="B11" s="32"/>
      <c r="C11" s="33"/>
      <c r="D11" s="32"/>
      <c r="E11" s="33"/>
      <c r="F11" s="32"/>
      <c r="G11" s="33"/>
      <c r="H11" s="32"/>
      <c r="I11" s="34"/>
    </row>
    <row r="12" spans="1:9" x14ac:dyDescent="0.3">
      <c r="A12" s="3">
        <v>6</v>
      </c>
      <c r="B12" s="25"/>
      <c r="C12" s="27"/>
      <c r="D12" s="25"/>
      <c r="E12" s="27"/>
      <c r="F12" s="25"/>
      <c r="G12" s="27"/>
      <c r="H12" s="25"/>
      <c r="I12" s="23"/>
    </row>
    <row r="13" spans="1:9" x14ac:dyDescent="0.3">
      <c r="A13" s="3">
        <v>7</v>
      </c>
      <c r="B13" s="25"/>
      <c r="C13" s="27"/>
      <c r="D13" s="25"/>
      <c r="E13" s="27"/>
      <c r="F13" s="25"/>
      <c r="G13" s="27"/>
      <c r="H13" s="25"/>
      <c r="I13" s="23"/>
    </row>
    <row r="14" spans="1:9" x14ac:dyDescent="0.3">
      <c r="A14" s="3">
        <v>8</v>
      </c>
      <c r="B14" s="25"/>
      <c r="C14" s="27"/>
      <c r="D14" s="25"/>
      <c r="E14" s="27"/>
      <c r="F14" s="25"/>
      <c r="G14" s="27"/>
      <c r="H14" s="25"/>
      <c r="I14" s="23"/>
    </row>
    <row r="15" spans="1:9" x14ac:dyDescent="0.3">
      <c r="A15" s="3">
        <v>9</v>
      </c>
      <c r="B15" s="25"/>
      <c r="C15" s="27"/>
      <c r="D15" s="25"/>
      <c r="E15" s="27"/>
      <c r="F15" s="25"/>
      <c r="G15" s="27"/>
      <c r="H15" s="25"/>
      <c r="I15" s="23"/>
    </row>
    <row r="16" spans="1:9" x14ac:dyDescent="0.3">
      <c r="A16" s="303">
        <v>10</v>
      </c>
      <c r="B16" s="32"/>
      <c r="C16" s="33"/>
      <c r="D16" s="32"/>
      <c r="E16" s="33"/>
      <c r="F16" s="32"/>
      <c r="G16" s="33"/>
      <c r="H16" s="32"/>
      <c r="I16" s="34"/>
    </row>
    <row r="17" spans="1:9" x14ac:dyDescent="0.3">
      <c r="A17" s="3">
        <v>11</v>
      </c>
      <c r="B17" s="25"/>
      <c r="C17" s="27"/>
      <c r="D17" s="25"/>
      <c r="E17" s="27"/>
      <c r="F17" s="25"/>
      <c r="G17" s="27"/>
      <c r="H17" s="25"/>
      <c r="I17" s="23"/>
    </row>
    <row r="18" spans="1:9" x14ac:dyDescent="0.3">
      <c r="A18" s="3">
        <v>12</v>
      </c>
      <c r="B18" s="25"/>
      <c r="C18" s="27"/>
      <c r="D18" s="25"/>
      <c r="E18" s="27"/>
      <c r="F18" s="25"/>
      <c r="G18" s="27"/>
      <c r="H18" s="25"/>
      <c r="I18" s="23"/>
    </row>
    <row r="19" spans="1:9" x14ac:dyDescent="0.3">
      <c r="A19" s="3">
        <v>13</v>
      </c>
      <c r="B19" s="25"/>
      <c r="C19" s="27"/>
      <c r="D19" s="25"/>
      <c r="E19" s="27"/>
      <c r="F19" s="25"/>
      <c r="G19" s="27"/>
      <c r="H19" s="25"/>
      <c r="I19" s="23"/>
    </row>
    <row r="20" spans="1:9" x14ac:dyDescent="0.3">
      <c r="A20" s="3">
        <v>14</v>
      </c>
      <c r="B20" s="25"/>
      <c r="C20" s="27"/>
      <c r="D20" s="25"/>
      <c r="E20" s="27"/>
      <c r="F20" s="25"/>
      <c r="G20" s="27"/>
      <c r="H20" s="25"/>
      <c r="I20" s="23"/>
    </row>
    <row r="21" spans="1:9" x14ac:dyDescent="0.3">
      <c r="A21" s="303">
        <v>15</v>
      </c>
      <c r="B21" s="32"/>
      <c r="C21" s="33"/>
      <c r="D21" s="32"/>
      <c r="E21" s="33"/>
      <c r="F21" s="32"/>
      <c r="G21" s="33"/>
      <c r="H21" s="32"/>
      <c r="I21" s="34"/>
    </row>
    <row r="22" spans="1:9" x14ac:dyDescent="0.3">
      <c r="A22" s="3">
        <v>16</v>
      </c>
      <c r="B22" s="25"/>
      <c r="C22" s="27"/>
      <c r="D22" s="25"/>
      <c r="E22" s="27"/>
      <c r="F22" s="25"/>
      <c r="G22" s="27"/>
      <c r="H22" s="25"/>
      <c r="I22" s="23"/>
    </row>
    <row r="23" spans="1:9" x14ac:dyDescent="0.3">
      <c r="A23" s="3">
        <v>17</v>
      </c>
      <c r="B23" s="25"/>
      <c r="C23" s="27"/>
      <c r="D23" s="25"/>
      <c r="E23" s="27"/>
      <c r="F23" s="25"/>
      <c r="G23" s="27"/>
      <c r="H23" s="25"/>
      <c r="I23" s="23"/>
    </row>
    <row r="24" spans="1:9" x14ac:dyDescent="0.3">
      <c r="A24" s="3">
        <v>18</v>
      </c>
      <c r="B24" s="25"/>
      <c r="C24" s="27"/>
      <c r="D24" s="25"/>
      <c r="E24" s="27"/>
      <c r="F24" s="25"/>
      <c r="G24" s="27"/>
      <c r="H24" s="25"/>
      <c r="I24" s="23"/>
    </row>
    <row r="25" spans="1:9" x14ac:dyDescent="0.3">
      <c r="A25" s="3">
        <v>19</v>
      </c>
      <c r="B25" s="25"/>
      <c r="C25" s="27"/>
      <c r="D25" s="25"/>
      <c r="E25" s="27"/>
      <c r="F25" s="25"/>
      <c r="G25" s="27"/>
      <c r="H25" s="25"/>
      <c r="I25" s="23"/>
    </row>
    <row r="26" spans="1:9" x14ac:dyDescent="0.3">
      <c r="A26" s="303">
        <v>20</v>
      </c>
      <c r="B26" s="32"/>
      <c r="C26" s="33"/>
      <c r="D26" s="32"/>
      <c r="E26" s="33"/>
      <c r="F26" s="32"/>
      <c r="G26" s="33"/>
      <c r="H26" s="32"/>
      <c r="I26" s="34"/>
    </row>
    <row r="27" spans="1:9" x14ac:dyDescent="0.3">
      <c r="A27" s="3">
        <v>21</v>
      </c>
      <c r="B27" s="25"/>
      <c r="C27" s="27"/>
      <c r="D27" s="25"/>
      <c r="E27" s="27"/>
      <c r="F27" s="25"/>
      <c r="G27" s="27"/>
      <c r="H27" s="25"/>
      <c r="I27" s="23"/>
    </row>
    <row r="28" spans="1:9" x14ac:dyDescent="0.3">
      <c r="A28" s="3">
        <v>22</v>
      </c>
      <c r="B28" s="25"/>
      <c r="C28" s="27"/>
      <c r="D28" s="25"/>
      <c r="E28" s="27"/>
      <c r="F28" s="25"/>
      <c r="G28" s="27"/>
      <c r="H28" s="25"/>
      <c r="I28" s="23"/>
    </row>
    <row r="29" spans="1:9" x14ac:dyDescent="0.3">
      <c r="A29" s="3">
        <v>23</v>
      </c>
      <c r="B29" s="25"/>
      <c r="C29" s="27"/>
      <c r="D29" s="25"/>
      <c r="E29" s="27"/>
      <c r="F29" s="25"/>
      <c r="G29" s="27"/>
      <c r="H29" s="25"/>
      <c r="I29" s="23"/>
    </row>
    <row r="30" spans="1:9" x14ac:dyDescent="0.3">
      <c r="A30" s="3">
        <v>24</v>
      </c>
      <c r="B30" s="25"/>
      <c r="C30" s="27"/>
      <c r="D30" s="25"/>
      <c r="E30" s="27"/>
      <c r="F30" s="25"/>
      <c r="G30" s="27"/>
      <c r="H30" s="25"/>
      <c r="I30" s="23"/>
    </row>
    <row r="31" spans="1:9" x14ac:dyDescent="0.3">
      <c r="A31" s="303">
        <v>25</v>
      </c>
      <c r="B31" s="32"/>
      <c r="C31" s="33"/>
      <c r="D31" s="32"/>
      <c r="E31" s="33"/>
      <c r="F31" s="32"/>
      <c r="G31" s="33"/>
      <c r="H31" s="32"/>
      <c r="I31" s="34"/>
    </row>
    <row r="32" spans="1:9" x14ac:dyDescent="0.3">
      <c r="A32" s="3">
        <v>26</v>
      </c>
      <c r="B32" s="25"/>
      <c r="C32" s="27"/>
      <c r="D32" s="25"/>
      <c r="E32" s="27"/>
      <c r="F32" s="25"/>
      <c r="G32" s="27"/>
      <c r="H32" s="25"/>
      <c r="I32" s="23"/>
    </row>
    <row r="33" spans="1:9" x14ac:dyDescent="0.3">
      <c r="A33" s="3">
        <v>27</v>
      </c>
      <c r="B33" s="25"/>
      <c r="C33" s="27"/>
      <c r="D33" s="25"/>
      <c r="E33" s="27"/>
      <c r="F33" s="25"/>
      <c r="G33" s="27"/>
      <c r="H33" s="25"/>
      <c r="I33" s="23"/>
    </row>
    <row r="34" spans="1:9" x14ac:dyDescent="0.3">
      <c r="A34" s="3">
        <v>28</v>
      </c>
      <c r="B34" s="25"/>
      <c r="C34" s="27"/>
      <c r="D34" s="25"/>
      <c r="E34" s="27"/>
      <c r="F34" s="25"/>
      <c r="G34" s="27"/>
      <c r="H34" s="25"/>
      <c r="I34" s="23"/>
    </row>
    <row r="35" spans="1:9" x14ac:dyDescent="0.3">
      <c r="A35" s="3">
        <v>29</v>
      </c>
      <c r="B35" s="25"/>
      <c r="C35" s="27"/>
      <c r="D35" s="25"/>
      <c r="E35" s="27"/>
      <c r="F35" s="25"/>
      <c r="G35" s="27"/>
      <c r="H35" s="25"/>
      <c r="I35" s="23"/>
    </row>
    <row r="36" spans="1:9" x14ac:dyDescent="0.3">
      <c r="A36" s="303">
        <v>30</v>
      </c>
      <c r="B36" s="32"/>
      <c r="C36" s="33"/>
      <c r="D36" s="32"/>
      <c r="E36" s="33"/>
      <c r="F36" s="32"/>
      <c r="G36" s="33"/>
      <c r="H36" s="32"/>
      <c r="I36" s="34"/>
    </row>
    <row r="37" spans="1:9" x14ac:dyDescent="0.3">
      <c r="A37" s="3">
        <v>31</v>
      </c>
      <c r="B37" s="25"/>
      <c r="C37" s="27"/>
      <c r="D37" s="25"/>
      <c r="E37" s="27"/>
      <c r="F37" s="25"/>
      <c r="G37" s="27"/>
      <c r="H37" s="25"/>
      <c r="I37" s="23"/>
    </row>
    <row r="38" spans="1:9" x14ac:dyDescent="0.3">
      <c r="A38" s="3">
        <v>32</v>
      </c>
      <c r="B38" s="25"/>
      <c r="C38" s="27"/>
      <c r="D38" s="25"/>
      <c r="E38" s="27"/>
      <c r="F38" s="25"/>
      <c r="G38" s="27"/>
      <c r="H38" s="25"/>
      <c r="I38" s="23"/>
    </row>
    <row r="39" spans="1:9" x14ac:dyDescent="0.3">
      <c r="A39" s="3">
        <v>33</v>
      </c>
      <c r="B39" s="25"/>
      <c r="C39" s="27"/>
      <c r="D39" s="25"/>
      <c r="E39" s="27"/>
      <c r="F39" s="25"/>
      <c r="G39" s="27"/>
      <c r="H39" s="25"/>
      <c r="I39" s="23"/>
    </row>
    <row r="40" spans="1:9" x14ac:dyDescent="0.3">
      <c r="A40" s="3">
        <v>34</v>
      </c>
      <c r="B40" s="25"/>
      <c r="C40" s="27"/>
      <c r="D40" s="25"/>
      <c r="E40" s="27"/>
      <c r="F40" s="25"/>
      <c r="G40" s="27"/>
      <c r="H40" s="25"/>
      <c r="I40" s="23"/>
    </row>
    <row r="41" spans="1:9" x14ac:dyDescent="0.3">
      <c r="A41" s="303">
        <v>35</v>
      </c>
      <c r="B41" s="32"/>
      <c r="C41" s="33"/>
      <c r="D41" s="32"/>
      <c r="E41" s="33"/>
      <c r="F41" s="32"/>
      <c r="G41" s="33"/>
      <c r="H41" s="32"/>
      <c r="I41" s="34"/>
    </row>
    <row r="42" spans="1:9" x14ac:dyDescent="0.3">
      <c r="A42" s="3">
        <v>36</v>
      </c>
      <c r="B42" s="25"/>
      <c r="C42" s="27"/>
      <c r="D42" s="25"/>
      <c r="E42" s="27"/>
      <c r="F42" s="25"/>
      <c r="G42" s="27"/>
      <c r="H42" s="25"/>
      <c r="I42" s="23"/>
    </row>
    <row r="43" spans="1:9" x14ac:dyDescent="0.3">
      <c r="A43" s="3">
        <v>37</v>
      </c>
      <c r="B43" s="25"/>
      <c r="C43" s="27"/>
      <c r="D43" s="25"/>
      <c r="E43" s="27"/>
      <c r="F43" s="25"/>
      <c r="G43" s="27"/>
      <c r="H43" s="25"/>
      <c r="I43" s="23"/>
    </row>
    <row r="44" spans="1:9" x14ac:dyDescent="0.3">
      <c r="A44" s="3">
        <v>38</v>
      </c>
      <c r="B44" s="25"/>
      <c r="C44" s="27"/>
      <c r="D44" s="25"/>
      <c r="E44" s="27"/>
      <c r="F44" s="25"/>
      <c r="G44" s="27"/>
      <c r="H44" s="25"/>
      <c r="I44" s="23"/>
    </row>
    <row r="45" spans="1:9" x14ac:dyDescent="0.3">
      <c r="A45" s="3">
        <v>39</v>
      </c>
      <c r="B45" s="25"/>
      <c r="C45" s="27"/>
      <c r="D45" s="25"/>
      <c r="E45" s="27"/>
      <c r="F45" s="25"/>
      <c r="G45" s="27"/>
      <c r="H45" s="25"/>
      <c r="I45" s="23"/>
    </row>
    <row r="46" spans="1:9" x14ac:dyDescent="0.3">
      <c r="A46" s="303">
        <v>40</v>
      </c>
      <c r="B46" s="32"/>
      <c r="C46" s="33"/>
      <c r="D46" s="32"/>
      <c r="E46" s="33"/>
      <c r="F46" s="32"/>
      <c r="G46" s="33"/>
      <c r="H46" s="32"/>
      <c r="I46" s="34"/>
    </row>
    <row r="47" spans="1:9" x14ac:dyDescent="0.3">
      <c r="A47" s="3">
        <v>41</v>
      </c>
      <c r="B47" s="25"/>
      <c r="C47" s="27"/>
      <c r="D47" s="25"/>
      <c r="E47" s="27"/>
      <c r="F47" s="25"/>
      <c r="G47" s="27"/>
      <c r="H47" s="25"/>
      <c r="I47" s="23"/>
    </row>
    <row r="48" spans="1:9" x14ac:dyDescent="0.3">
      <c r="A48" s="3">
        <v>42</v>
      </c>
      <c r="B48" s="25"/>
      <c r="C48" s="27"/>
      <c r="D48" s="25"/>
      <c r="E48" s="27"/>
      <c r="F48" s="25"/>
      <c r="G48" s="27"/>
      <c r="H48" s="25"/>
      <c r="I48" s="23"/>
    </row>
    <row r="49" spans="1:9" x14ac:dyDescent="0.3">
      <c r="A49" s="3">
        <v>43</v>
      </c>
      <c r="B49" s="25"/>
      <c r="C49" s="27"/>
      <c r="D49" s="25"/>
      <c r="E49" s="27"/>
      <c r="F49" s="25"/>
      <c r="G49" s="27"/>
      <c r="H49" s="25"/>
      <c r="I49" s="23"/>
    </row>
    <row r="50" spans="1:9" x14ac:dyDescent="0.3">
      <c r="A50" s="3">
        <v>44</v>
      </c>
      <c r="B50" s="25"/>
      <c r="C50" s="27"/>
      <c r="D50" s="25"/>
      <c r="E50" s="27"/>
      <c r="F50" s="25"/>
      <c r="G50" s="27"/>
      <c r="H50" s="25"/>
      <c r="I50" s="23"/>
    </row>
    <row r="51" spans="1:9" x14ac:dyDescent="0.3">
      <c r="A51" s="303">
        <v>45</v>
      </c>
      <c r="B51" s="32"/>
      <c r="C51" s="33"/>
      <c r="D51" s="32"/>
      <c r="E51" s="33"/>
      <c r="F51" s="32"/>
      <c r="G51" s="33"/>
      <c r="H51" s="32"/>
      <c r="I51" s="34"/>
    </row>
    <row r="52" spans="1:9" x14ac:dyDescent="0.3">
      <c r="A52" s="3">
        <v>46</v>
      </c>
      <c r="B52" s="25"/>
      <c r="C52" s="27"/>
      <c r="D52" s="25"/>
      <c r="E52" s="27"/>
      <c r="F52" s="25"/>
      <c r="G52" s="27"/>
      <c r="H52" s="25"/>
      <c r="I52" s="23"/>
    </row>
    <row r="53" spans="1:9" x14ac:dyDescent="0.3">
      <c r="A53" s="3">
        <v>47</v>
      </c>
      <c r="B53" s="25"/>
      <c r="C53" s="27"/>
      <c r="D53" s="25"/>
      <c r="E53" s="27"/>
      <c r="F53" s="25"/>
      <c r="G53" s="27"/>
      <c r="H53" s="25"/>
      <c r="I53" s="23"/>
    </row>
    <row r="54" spans="1:9" x14ac:dyDescent="0.3">
      <c r="A54" s="3">
        <v>48</v>
      </c>
      <c r="B54" s="25"/>
      <c r="C54" s="27"/>
      <c r="D54" s="25"/>
      <c r="E54" s="27"/>
      <c r="F54" s="25"/>
      <c r="G54" s="27"/>
      <c r="H54" s="25"/>
      <c r="I54" s="23"/>
    </row>
    <row r="55" spans="1:9" x14ac:dyDescent="0.3">
      <c r="A55" s="3">
        <v>49</v>
      </c>
      <c r="B55" s="25"/>
      <c r="C55" s="27"/>
      <c r="D55" s="25"/>
      <c r="E55" s="27"/>
      <c r="F55" s="25"/>
      <c r="G55" s="27"/>
      <c r="H55" s="25"/>
      <c r="I55" s="23"/>
    </row>
    <row r="56" spans="1:9" x14ac:dyDescent="0.3">
      <c r="A56" s="303">
        <v>50</v>
      </c>
      <c r="B56" s="32"/>
      <c r="C56" s="33"/>
      <c r="D56" s="32"/>
      <c r="E56" s="33"/>
      <c r="F56" s="32"/>
      <c r="G56" s="33"/>
      <c r="H56" s="32"/>
      <c r="I56" s="34"/>
    </row>
    <row r="57" spans="1:9" x14ac:dyDescent="0.3">
      <c r="A57" s="3">
        <v>51</v>
      </c>
      <c r="B57" s="25"/>
      <c r="C57" s="27"/>
      <c r="D57" s="25"/>
      <c r="E57" s="27"/>
      <c r="F57" s="25"/>
      <c r="G57" s="27"/>
      <c r="H57" s="25"/>
      <c r="I57" s="23"/>
    </row>
    <row r="58" spans="1:9" x14ac:dyDescent="0.3">
      <c r="A58" s="3">
        <v>52</v>
      </c>
      <c r="B58" s="25"/>
      <c r="C58" s="27"/>
      <c r="D58" s="25"/>
      <c r="E58" s="27"/>
      <c r="F58" s="25"/>
      <c r="G58" s="27"/>
      <c r="H58" s="25"/>
      <c r="I58" s="23"/>
    </row>
    <row r="59" spans="1:9" x14ac:dyDescent="0.3">
      <c r="A59" s="3">
        <v>53</v>
      </c>
      <c r="B59" s="25"/>
      <c r="C59" s="27"/>
      <c r="D59" s="25"/>
      <c r="E59" s="27"/>
      <c r="F59" s="25"/>
      <c r="G59" s="27"/>
      <c r="H59" s="25"/>
      <c r="I59" s="23"/>
    </row>
    <row r="60" spans="1:9" x14ac:dyDescent="0.3">
      <c r="A60" s="3">
        <v>54</v>
      </c>
      <c r="B60" s="25"/>
      <c r="C60" s="27"/>
      <c r="D60" s="25"/>
      <c r="E60" s="27"/>
      <c r="F60" s="25"/>
      <c r="G60" s="27"/>
      <c r="H60" s="25"/>
      <c r="I60" s="23"/>
    </row>
    <row r="61" spans="1:9" x14ac:dyDescent="0.3">
      <c r="A61" s="303">
        <v>55</v>
      </c>
      <c r="B61" s="32"/>
      <c r="C61" s="33"/>
      <c r="D61" s="32"/>
      <c r="E61" s="33"/>
      <c r="F61" s="32"/>
      <c r="G61" s="33"/>
      <c r="H61" s="32"/>
      <c r="I61" s="34"/>
    </row>
    <row r="62" spans="1:9" x14ac:dyDescent="0.3">
      <c r="A62" s="3">
        <v>56</v>
      </c>
      <c r="B62" s="25"/>
      <c r="C62" s="27"/>
      <c r="D62" s="25"/>
      <c r="E62" s="27"/>
      <c r="F62" s="25"/>
      <c r="G62" s="27"/>
      <c r="H62" s="25"/>
      <c r="I62" s="23"/>
    </row>
    <row r="63" spans="1:9" x14ac:dyDescent="0.3">
      <c r="A63" s="3">
        <v>57</v>
      </c>
      <c r="B63" s="25"/>
      <c r="C63" s="27"/>
      <c r="D63" s="25"/>
      <c r="E63" s="27"/>
      <c r="F63" s="25"/>
      <c r="G63" s="27"/>
      <c r="H63" s="25"/>
      <c r="I63" s="23"/>
    </row>
    <row r="64" spans="1:9" x14ac:dyDescent="0.3">
      <c r="A64" s="3">
        <v>58</v>
      </c>
      <c r="B64" s="25"/>
      <c r="C64" s="27"/>
      <c r="D64" s="25"/>
      <c r="E64" s="27"/>
      <c r="F64" s="25"/>
      <c r="G64" s="27"/>
      <c r="H64" s="25"/>
      <c r="I64" s="23"/>
    </row>
    <row r="65" spans="1:9" x14ac:dyDescent="0.3">
      <c r="A65" s="3">
        <v>59</v>
      </c>
      <c r="B65" s="25"/>
      <c r="C65" s="27"/>
      <c r="D65" s="25"/>
      <c r="E65" s="27"/>
      <c r="F65" s="25"/>
      <c r="G65" s="27"/>
      <c r="H65" s="25"/>
      <c r="I65" s="23"/>
    </row>
    <row r="66" spans="1:9" x14ac:dyDescent="0.3">
      <c r="A66" s="303">
        <v>60</v>
      </c>
      <c r="B66" s="32"/>
      <c r="C66" s="33"/>
      <c r="D66" s="32"/>
      <c r="E66" s="33"/>
      <c r="F66" s="32"/>
      <c r="G66" s="33"/>
      <c r="H66" s="32"/>
      <c r="I66" s="34"/>
    </row>
    <row r="67" spans="1:9" x14ac:dyDescent="0.3">
      <c r="A67" s="3">
        <v>61</v>
      </c>
      <c r="B67" s="25"/>
      <c r="C67" s="27"/>
      <c r="D67" s="25"/>
      <c r="E67" s="27"/>
      <c r="F67" s="25"/>
      <c r="G67" s="27"/>
      <c r="H67" s="25"/>
      <c r="I67" s="23"/>
    </row>
    <row r="68" spans="1:9" x14ac:dyDescent="0.3">
      <c r="A68" s="3">
        <v>62</v>
      </c>
      <c r="B68" s="25"/>
      <c r="C68" s="27"/>
      <c r="D68" s="25"/>
      <c r="E68" s="27"/>
      <c r="F68" s="25"/>
      <c r="G68" s="27"/>
      <c r="H68" s="25"/>
      <c r="I68" s="23"/>
    </row>
    <row r="69" spans="1:9" x14ac:dyDescent="0.3">
      <c r="A69" s="3">
        <v>63</v>
      </c>
      <c r="B69" s="25"/>
      <c r="C69" s="27"/>
      <c r="D69" s="25"/>
      <c r="E69" s="27"/>
      <c r="F69" s="25"/>
      <c r="G69" s="27"/>
      <c r="H69" s="25"/>
      <c r="I69" s="23"/>
    </row>
    <row r="70" spans="1:9" x14ac:dyDescent="0.3">
      <c r="A70" s="3">
        <v>64</v>
      </c>
      <c r="B70" s="25"/>
      <c r="C70" s="27"/>
      <c r="D70" s="25"/>
      <c r="E70" s="27"/>
      <c r="F70" s="25"/>
      <c r="G70" s="27"/>
      <c r="H70" s="25"/>
      <c r="I70" s="23"/>
    </row>
    <row r="71" spans="1:9" x14ac:dyDescent="0.3">
      <c r="A71" s="303">
        <v>65</v>
      </c>
      <c r="B71" s="32"/>
      <c r="C71" s="33"/>
      <c r="D71" s="32"/>
      <c r="E71" s="33"/>
      <c r="F71" s="32"/>
      <c r="G71" s="33"/>
      <c r="H71" s="32"/>
      <c r="I71" s="34"/>
    </row>
    <row r="72" spans="1:9" x14ac:dyDescent="0.3">
      <c r="A72" s="3">
        <v>66</v>
      </c>
      <c r="B72" s="25"/>
      <c r="C72" s="27"/>
      <c r="D72" s="25"/>
      <c r="E72" s="27"/>
      <c r="F72" s="25"/>
      <c r="G72" s="27"/>
      <c r="H72" s="25"/>
      <c r="I72" s="23"/>
    </row>
    <row r="73" spans="1:9" x14ac:dyDescent="0.3">
      <c r="A73" s="3">
        <v>67</v>
      </c>
      <c r="B73" s="25"/>
      <c r="C73" s="27"/>
      <c r="D73" s="25"/>
      <c r="E73" s="27"/>
      <c r="F73" s="25"/>
      <c r="G73" s="27"/>
      <c r="H73" s="25"/>
      <c r="I73" s="23"/>
    </row>
    <row r="74" spans="1:9" x14ac:dyDescent="0.3">
      <c r="A74" s="3">
        <v>68</v>
      </c>
      <c r="B74" s="25"/>
      <c r="C74" s="27"/>
      <c r="D74" s="25"/>
      <c r="E74" s="27"/>
      <c r="F74" s="25"/>
      <c r="G74" s="27"/>
      <c r="H74" s="25"/>
      <c r="I74" s="23"/>
    </row>
    <row r="75" spans="1:9" x14ac:dyDescent="0.3">
      <c r="A75" s="3">
        <v>69</v>
      </c>
      <c r="B75" s="25"/>
      <c r="C75" s="27"/>
      <c r="D75" s="25"/>
      <c r="E75" s="27"/>
      <c r="F75" s="25"/>
      <c r="G75" s="27"/>
      <c r="H75" s="25"/>
      <c r="I75" s="23"/>
    </row>
    <row r="76" spans="1:9" x14ac:dyDescent="0.3">
      <c r="A76" s="303">
        <v>70</v>
      </c>
      <c r="B76" s="32"/>
      <c r="C76" s="33"/>
      <c r="D76" s="32"/>
      <c r="E76" s="33"/>
      <c r="F76" s="32"/>
      <c r="G76" s="33"/>
      <c r="H76" s="32"/>
      <c r="I76" s="34"/>
    </row>
    <row r="77" spans="1:9" x14ac:dyDescent="0.3">
      <c r="A77" s="3">
        <v>71</v>
      </c>
      <c r="B77" s="25"/>
      <c r="C77" s="27"/>
      <c r="D77" s="25"/>
      <c r="E77" s="27"/>
      <c r="F77" s="25"/>
      <c r="G77" s="27"/>
      <c r="H77" s="25"/>
      <c r="I77" s="23"/>
    </row>
    <row r="78" spans="1:9" x14ac:dyDescent="0.3">
      <c r="A78" s="3">
        <v>72</v>
      </c>
      <c r="B78" s="25"/>
      <c r="C78" s="27"/>
      <c r="D78" s="25"/>
      <c r="E78" s="27"/>
      <c r="F78" s="25"/>
      <c r="G78" s="27"/>
      <c r="H78" s="25"/>
      <c r="I78" s="23"/>
    </row>
    <row r="79" spans="1:9" x14ac:dyDescent="0.3">
      <c r="A79" s="3">
        <v>73</v>
      </c>
      <c r="B79" s="25"/>
      <c r="C79" s="27"/>
      <c r="D79" s="25"/>
      <c r="E79" s="27"/>
      <c r="F79" s="25"/>
      <c r="G79" s="27"/>
      <c r="H79" s="25"/>
      <c r="I79" s="23"/>
    </row>
    <row r="80" spans="1:9" x14ac:dyDescent="0.3">
      <c r="A80" s="3">
        <v>74</v>
      </c>
      <c r="B80" s="25"/>
      <c r="C80" s="27"/>
      <c r="D80" s="25"/>
      <c r="E80" s="27"/>
      <c r="F80" s="25"/>
      <c r="G80" s="27"/>
      <c r="H80" s="25"/>
      <c r="I80" s="23"/>
    </row>
    <row r="81" spans="1:9" x14ac:dyDescent="0.3">
      <c r="A81" s="303">
        <v>75</v>
      </c>
      <c r="B81" s="32"/>
      <c r="C81" s="33"/>
      <c r="D81" s="32"/>
      <c r="E81" s="33"/>
      <c r="F81" s="32"/>
      <c r="G81" s="33"/>
      <c r="H81" s="32"/>
      <c r="I81" s="34"/>
    </row>
    <row r="82" spans="1:9" x14ac:dyDescent="0.3">
      <c r="A82" s="3">
        <v>76</v>
      </c>
      <c r="B82" s="25"/>
      <c r="C82" s="27"/>
      <c r="D82" s="25"/>
      <c r="E82" s="27"/>
      <c r="F82" s="25"/>
      <c r="G82" s="27"/>
      <c r="H82" s="25"/>
      <c r="I82" s="23"/>
    </row>
    <row r="83" spans="1:9" x14ac:dyDescent="0.3">
      <c r="A83" s="3">
        <v>77</v>
      </c>
      <c r="B83" s="25"/>
      <c r="C83" s="27"/>
      <c r="D83" s="25"/>
      <c r="E83" s="27"/>
      <c r="F83" s="25"/>
      <c r="G83" s="27"/>
      <c r="H83" s="25"/>
      <c r="I83" s="23"/>
    </row>
    <row r="84" spans="1:9" x14ac:dyDescent="0.3">
      <c r="A84" s="3">
        <v>78</v>
      </c>
      <c r="B84" s="25"/>
      <c r="C84" s="27"/>
      <c r="D84" s="25"/>
      <c r="E84" s="27"/>
      <c r="F84" s="25"/>
      <c r="G84" s="27"/>
      <c r="H84" s="25"/>
      <c r="I84" s="23"/>
    </row>
    <row r="85" spans="1:9" ht="16.8" thickBot="1" x14ac:dyDescent="0.35">
      <c r="A85" s="4">
        <v>79</v>
      </c>
      <c r="B85" s="26"/>
      <c r="C85" s="28"/>
      <c r="D85" s="26"/>
      <c r="E85" s="28"/>
      <c r="F85" s="26"/>
      <c r="G85" s="28"/>
      <c r="H85" s="26"/>
      <c r="I85" s="24"/>
    </row>
  </sheetData>
  <mergeCells count="6">
    <mergeCell ref="A1:I1"/>
    <mergeCell ref="A2:I2"/>
    <mergeCell ref="B4:C4"/>
    <mergeCell ref="D4:E4"/>
    <mergeCell ref="F4:G4"/>
    <mergeCell ref="H4:I4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85"/>
  <sheetViews>
    <sheetView showGridLines="0" zoomScale="80" zoomScaleNormal="80" workbookViewId="0">
      <selection sqref="A1:I1"/>
    </sheetView>
  </sheetViews>
  <sheetFormatPr defaultColWidth="11.109375" defaultRowHeight="16.2" x14ac:dyDescent="0.3"/>
  <cols>
    <col min="1" max="16384" width="11.109375" style="1"/>
  </cols>
  <sheetData>
    <row r="1" spans="1:9" ht="28.2" x14ac:dyDescent="0.3">
      <c r="A1" s="495" t="s">
        <v>0</v>
      </c>
      <c r="B1" s="495"/>
      <c r="C1" s="495"/>
      <c r="D1" s="495"/>
      <c r="E1" s="495"/>
      <c r="F1" s="495"/>
      <c r="G1" s="495"/>
      <c r="H1" s="495"/>
      <c r="I1" s="495"/>
    </row>
    <row r="2" spans="1:9" ht="22.2" x14ac:dyDescent="0.3">
      <c r="A2" s="496" t="s">
        <v>384</v>
      </c>
      <c r="B2" s="496"/>
      <c r="C2" s="496"/>
      <c r="D2" s="496"/>
      <c r="E2" s="496"/>
      <c r="F2" s="496"/>
      <c r="G2" s="496"/>
      <c r="H2" s="496"/>
      <c r="I2" s="496"/>
    </row>
    <row r="3" spans="1:9" ht="16.8" thickBot="1" x14ac:dyDescent="0.35">
      <c r="I3" s="2"/>
    </row>
    <row r="4" spans="1:9" x14ac:dyDescent="0.3">
      <c r="A4" s="11" t="s">
        <v>3</v>
      </c>
      <c r="B4" s="461" t="s">
        <v>4</v>
      </c>
      <c r="C4" s="497"/>
      <c r="D4" s="461" t="s">
        <v>5</v>
      </c>
      <c r="E4" s="497"/>
      <c r="F4" s="461" t="s">
        <v>6</v>
      </c>
      <c r="G4" s="497"/>
      <c r="H4" s="461" t="s">
        <v>7</v>
      </c>
      <c r="I4" s="498"/>
    </row>
    <row r="5" spans="1:9" ht="16.8" thickBot="1" x14ac:dyDescent="0.35">
      <c r="A5" s="12" t="s">
        <v>8</v>
      </c>
      <c r="B5" s="8" t="s">
        <v>9</v>
      </c>
      <c r="C5" s="13" t="s">
        <v>10</v>
      </c>
      <c r="D5" s="8" t="s">
        <v>9</v>
      </c>
      <c r="E5" s="13" t="s">
        <v>10</v>
      </c>
      <c r="F5" s="8" t="s">
        <v>9</v>
      </c>
      <c r="G5" s="13" t="s">
        <v>10</v>
      </c>
      <c r="H5" s="8" t="s">
        <v>9</v>
      </c>
      <c r="I5" s="7" t="s">
        <v>10</v>
      </c>
    </row>
    <row r="6" spans="1:9" ht="16.8" thickTop="1" x14ac:dyDescent="0.3">
      <c r="A6" s="16">
        <v>0</v>
      </c>
      <c r="B6" s="29"/>
      <c r="C6" s="30"/>
      <c r="D6" s="29"/>
      <c r="E6" s="30"/>
      <c r="F6" s="29"/>
      <c r="G6" s="30"/>
      <c r="H6" s="29"/>
      <c r="I6" s="31"/>
    </row>
    <row r="7" spans="1:9" x14ac:dyDescent="0.3">
      <c r="A7" s="3">
        <v>1</v>
      </c>
      <c r="B7" s="25"/>
      <c r="C7" s="27"/>
      <c r="D7" s="25"/>
      <c r="E7" s="27"/>
      <c r="F7" s="25"/>
      <c r="G7" s="27"/>
      <c r="H7" s="25"/>
      <c r="I7" s="23"/>
    </row>
    <row r="8" spans="1:9" x14ac:dyDescent="0.3">
      <c r="A8" s="3">
        <v>2</v>
      </c>
      <c r="B8" s="25"/>
      <c r="C8" s="27"/>
      <c r="D8" s="25"/>
      <c r="E8" s="27"/>
      <c r="F8" s="25"/>
      <c r="G8" s="27"/>
      <c r="H8" s="25"/>
      <c r="I8" s="23"/>
    </row>
    <row r="9" spans="1:9" x14ac:dyDescent="0.3">
      <c r="A9" s="3">
        <v>3</v>
      </c>
      <c r="B9" s="25"/>
      <c r="C9" s="27"/>
      <c r="D9" s="25"/>
      <c r="E9" s="27"/>
      <c r="F9" s="25"/>
      <c r="G9" s="27"/>
      <c r="H9" s="25"/>
      <c r="I9" s="23"/>
    </row>
    <row r="10" spans="1:9" x14ac:dyDescent="0.3">
      <c r="A10" s="3">
        <v>4</v>
      </c>
      <c r="B10" s="25"/>
      <c r="C10" s="27"/>
      <c r="D10" s="25"/>
      <c r="E10" s="27"/>
      <c r="F10" s="25"/>
      <c r="G10" s="27"/>
      <c r="H10" s="25"/>
      <c r="I10" s="23"/>
    </row>
    <row r="11" spans="1:9" x14ac:dyDescent="0.3">
      <c r="A11" s="303">
        <v>5</v>
      </c>
      <c r="B11" s="32"/>
      <c r="C11" s="33"/>
      <c r="D11" s="32"/>
      <c r="E11" s="33"/>
      <c r="F11" s="32"/>
      <c r="G11" s="33"/>
      <c r="H11" s="32"/>
      <c r="I11" s="34"/>
    </row>
    <row r="12" spans="1:9" x14ac:dyDescent="0.3">
      <c r="A12" s="3">
        <v>6</v>
      </c>
      <c r="B12" s="25"/>
      <c r="C12" s="27"/>
      <c r="D12" s="25"/>
      <c r="E12" s="27"/>
      <c r="F12" s="25"/>
      <c r="G12" s="27"/>
      <c r="H12" s="25"/>
      <c r="I12" s="23"/>
    </row>
    <row r="13" spans="1:9" x14ac:dyDescent="0.3">
      <c r="A13" s="3">
        <v>7</v>
      </c>
      <c r="B13" s="25"/>
      <c r="C13" s="27"/>
      <c r="D13" s="25"/>
      <c r="E13" s="27"/>
      <c r="F13" s="25"/>
      <c r="G13" s="27"/>
      <c r="H13" s="25"/>
      <c r="I13" s="23"/>
    </row>
    <row r="14" spans="1:9" x14ac:dyDescent="0.3">
      <c r="A14" s="3">
        <v>8</v>
      </c>
      <c r="B14" s="25"/>
      <c r="C14" s="27"/>
      <c r="D14" s="25"/>
      <c r="E14" s="27"/>
      <c r="F14" s="25"/>
      <c r="G14" s="27"/>
      <c r="H14" s="25"/>
      <c r="I14" s="23"/>
    </row>
    <row r="15" spans="1:9" x14ac:dyDescent="0.3">
      <c r="A15" s="3">
        <v>9</v>
      </c>
      <c r="B15" s="25"/>
      <c r="C15" s="27"/>
      <c r="D15" s="25"/>
      <c r="E15" s="27"/>
      <c r="F15" s="25"/>
      <c r="G15" s="27"/>
      <c r="H15" s="25"/>
      <c r="I15" s="23"/>
    </row>
    <row r="16" spans="1:9" x14ac:dyDescent="0.3">
      <c r="A16" s="303">
        <v>10</v>
      </c>
      <c r="B16" s="32"/>
      <c r="C16" s="33"/>
      <c r="D16" s="32"/>
      <c r="E16" s="33"/>
      <c r="F16" s="32"/>
      <c r="G16" s="33"/>
      <c r="H16" s="32"/>
      <c r="I16" s="34"/>
    </row>
    <row r="17" spans="1:9" x14ac:dyDescent="0.3">
      <c r="A17" s="3">
        <v>11</v>
      </c>
      <c r="B17" s="25"/>
      <c r="C17" s="27"/>
      <c r="D17" s="25"/>
      <c r="E17" s="27"/>
      <c r="F17" s="25"/>
      <c r="G17" s="27"/>
      <c r="H17" s="25"/>
      <c r="I17" s="23"/>
    </row>
    <row r="18" spans="1:9" x14ac:dyDescent="0.3">
      <c r="A18" s="3">
        <v>12</v>
      </c>
      <c r="B18" s="25"/>
      <c r="C18" s="27"/>
      <c r="D18" s="25"/>
      <c r="E18" s="27"/>
      <c r="F18" s="25"/>
      <c r="G18" s="27"/>
      <c r="H18" s="25"/>
      <c r="I18" s="23"/>
    </row>
    <row r="19" spans="1:9" x14ac:dyDescent="0.3">
      <c r="A19" s="3">
        <v>13</v>
      </c>
      <c r="B19" s="25"/>
      <c r="C19" s="27"/>
      <c r="D19" s="25"/>
      <c r="E19" s="27"/>
      <c r="F19" s="25"/>
      <c r="G19" s="27"/>
      <c r="H19" s="25"/>
      <c r="I19" s="23"/>
    </row>
    <row r="20" spans="1:9" x14ac:dyDescent="0.3">
      <c r="A20" s="3">
        <v>14</v>
      </c>
      <c r="B20" s="25"/>
      <c r="C20" s="27"/>
      <c r="D20" s="25"/>
      <c r="E20" s="27"/>
      <c r="F20" s="25"/>
      <c r="G20" s="27"/>
      <c r="H20" s="25"/>
      <c r="I20" s="23"/>
    </row>
    <row r="21" spans="1:9" x14ac:dyDescent="0.3">
      <c r="A21" s="303">
        <v>15</v>
      </c>
      <c r="B21" s="32"/>
      <c r="C21" s="33"/>
      <c r="D21" s="32"/>
      <c r="E21" s="33"/>
      <c r="F21" s="32"/>
      <c r="G21" s="33"/>
      <c r="H21" s="32"/>
      <c r="I21" s="34"/>
    </row>
    <row r="22" spans="1:9" x14ac:dyDescent="0.3">
      <c r="A22" s="3">
        <v>16</v>
      </c>
      <c r="B22" s="25"/>
      <c r="C22" s="27"/>
      <c r="D22" s="25"/>
      <c r="E22" s="27"/>
      <c r="F22" s="25"/>
      <c r="G22" s="27"/>
      <c r="H22" s="25"/>
      <c r="I22" s="23"/>
    </row>
    <row r="23" spans="1:9" x14ac:dyDescent="0.3">
      <c r="A23" s="3">
        <v>17</v>
      </c>
      <c r="B23" s="25"/>
      <c r="C23" s="27"/>
      <c r="D23" s="25"/>
      <c r="E23" s="27"/>
      <c r="F23" s="25"/>
      <c r="G23" s="27"/>
      <c r="H23" s="25"/>
      <c r="I23" s="23"/>
    </row>
    <row r="24" spans="1:9" x14ac:dyDescent="0.3">
      <c r="A24" s="3">
        <v>18</v>
      </c>
      <c r="B24" s="25"/>
      <c r="C24" s="27"/>
      <c r="D24" s="25"/>
      <c r="E24" s="27"/>
      <c r="F24" s="25"/>
      <c r="G24" s="27"/>
      <c r="H24" s="25"/>
      <c r="I24" s="23"/>
    </row>
    <row r="25" spans="1:9" x14ac:dyDescent="0.3">
      <c r="A25" s="3">
        <v>19</v>
      </c>
      <c r="B25" s="25"/>
      <c r="C25" s="27"/>
      <c r="D25" s="25"/>
      <c r="E25" s="27"/>
      <c r="F25" s="25"/>
      <c r="G25" s="27"/>
      <c r="H25" s="25"/>
      <c r="I25" s="23"/>
    </row>
    <row r="26" spans="1:9" x14ac:dyDescent="0.3">
      <c r="A26" s="303">
        <v>20</v>
      </c>
      <c r="B26" s="32"/>
      <c r="C26" s="33"/>
      <c r="D26" s="32"/>
      <c r="E26" s="33"/>
      <c r="F26" s="32"/>
      <c r="G26" s="33"/>
      <c r="H26" s="32"/>
      <c r="I26" s="34"/>
    </row>
    <row r="27" spans="1:9" x14ac:dyDescent="0.3">
      <c r="A27" s="3">
        <v>21</v>
      </c>
      <c r="B27" s="25"/>
      <c r="C27" s="27"/>
      <c r="D27" s="25"/>
      <c r="E27" s="27"/>
      <c r="F27" s="25"/>
      <c r="G27" s="27"/>
      <c r="H27" s="25"/>
      <c r="I27" s="23"/>
    </row>
    <row r="28" spans="1:9" x14ac:dyDescent="0.3">
      <c r="A28" s="3">
        <v>22</v>
      </c>
      <c r="B28" s="25"/>
      <c r="C28" s="27"/>
      <c r="D28" s="25"/>
      <c r="E28" s="27"/>
      <c r="F28" s="25"/>
      <c r="G28" s="27"/>
      <c r="H28" s="25"/>
      <c r="I28" s="23"/>
    </row>
    <row r="29" spans="1:9" x14ac:dyDescent="0.3">
      <c r="A29" s="3">
        <v>23</v>
      </c>
      <c r="B29" s="25"/>
      <c r="C29" s="27"/>
      <c r="D29" s="25"/>
      <c r="E29" s="27"/>
      <c r="F29" s="25"/>
      <c r="G29" s="27"/>
      <c r="H29" s="25"/>
      <c r="I29" s="23"/>
    </row>
    <row r="30" spans="1:9" x14ac:dyDescent="0.3">
      <c r="A30" s="3">
        <v>24</v>
      </c>
      <c r="B30" s="25"/>
      <c r="C30" s="27"/>
      <c r="D30" s="25"/>
      <c r="E30" s="27"/>
      <c r="F30" s="25"/>
      <c r="G30" s="27"/>
      <c r="H30" s="25"/>
      <c r="I30" s="23"/>
    </row>
    <row r="31" spans="1:9" x14ac:dyDescent="0.3">
      <c r="A31" s="303">
        <v>25</v>
      </c>
      <c r="B31" s="32"/>
      <c r="C31" s="33"/>
      <c r="D31" s="32"/>
      <c r="E31" s="33"/>
      <c r="F31" s="32"/>
      <c r="G31" s="33"/>
      <c r="H31" s="32"/>
      <c r="I31" s="34"/>
    </row>
    <row r="32" spans="1:9" x14ac:dyDescent="0.3">
      <c r="A32" s="3">
        <v>26</v>
      </c>
      <c r="B32" s="25"/>
      <c r="C32" s="27"/>
      <c r="D32" s="25"/>
      <c r="E32" s="27"/>
      <c r="F32" s="25"/>
      <c r="G32" s="27"/>
      <c r="H32" s="25"/>
      <c r="I32" s="23"/>
    </row>
    <row r="33" spans="1:9" x14ac:dyDescent="0.3">
      <c r="A33" s="3">
        <v>27</v>
      </c>
      <c r="B33" s="25"/>
      <c r="C33" s="27"/>
      <c r="D33" s="25"/>
      <c r="E33" s="27"/>
      <c r="F33" s="25"/>
      <c r="G33" s="27"/>
      <c r="H33" s="25"/>
      <c r="I33" s="23"/>
    </row>
    <row r="34" spans="1:9" x14ac:dyDescent="0.3">
      <c r="A34" s="3">
        <v>28</v>
      </c>
      <c r="B34" s="25"/>
      <c r="C34" s="27"/>
      <c r="D34" s="25"/>
      <c r="E34" s="27"/>
      <c r="F34" s="25"/>
      <c r="G34" s="27"/>
      <c r="H34" s="25"/>
      <c r="I34" s="23"/>
    </row>
    <row r="35" spans="1:9" x14ac:dyDescent="0.3">
      <c r="A35" s="3">
        <v>29</v>
      </c>
      <c r="B35" s="25"/>
      <c r="C35" s="27"/>
      <c r="D35" s="25"/>
      <c r="E35" s="27"/>
      <c r="F35" s="25"/>
      <c r="G35" s="27"/>
      <c r="H35" s="25"/>
      <c r="I35" s="23"/>
    </row>
    <row r="36" spans="1:9" x14ac:dyDescent="0.3">
      <c r="A36" s="303">
        <v>30</v>
      </c>
      <c r="B36" s="32"/>
      <c r="C36" s="33"/>
      <c r="D36" s="32"/>
      <c r="E36" s="33"/>
      <c r="F36" s="32"/>
      <c r="G36" s="33"/>
      <c r="H36" s="32"/>
      <c r="I36" s="34"/>
    </row>
    <row r="37" spans="1:9" x14ac:dyDescent="0.3">
      <c r="A37" s="3">
        <v>31</v>
      </c>
      <c r="B37" s="25"/>
      <c r="C37" s="27"/>
      <c r="D37" s="25"/>
      <c r="E37" s="27"/>
      <c r="F37" s="25"/>
      <c r="G37" s="27"/>
      <c r="H37" s="25"/>
      <c r="I37" s="23"/>
    </row>
    <row r="38" spans="1:9" x14ac:dyDescent="0.3">
      <c r="A38" s="3">
        <v>32</v>
      </c>
      <c r="B38" s="25"/>
      <c r="C38" s="27"/>
      <c r="D38" s="25"/>
      <c r="E38" s="27"/>
      <c r="F38" s="25"/>
      <c r="G38" s="27"/>
      <c r="H38" s="25"/>
      <c r="I38" s="23"/>
    </row>
    <row r="39" spans="1:9" x14ac:dyDescent="0.3">
      <c r="A39" s="3">
        <v>33</v>
      </c>
      <c r="B39" s="25"/>
      <c r="C39" s="27"/>
      <c r="D39" s="25"/>
      <c r="E39" s="27"/>
      <c r="F39" s="25"/>
      <c r="G39" s="27"/>
      <c r="H39" s="25"/>
      <c r="I39" s="23"/>
    </row>
    <row r="40" spans="1:9" x14ac:dyDescent="0.3">
      <c r="A40" s="3">
        <v>34</v>
      </c>
      <c r="B40" s="25"/>
      <c r="C40" s="27"/>
      <c r="D40" s="25"/>
      <c r="E40" s="27"/>
      <c r="F40" s="25"/>
      <c r="G40" s="27"/>
      <c r="H40" s="25"/>
      <c r="I40" s="23"/>
    </row>
    <row r="41" spans="1:9" x14ac:dyDescent="0.3">
      <c r="A41" s="303">
        <v>35</v>
      </c>
      <c r="B41" s="32"/>
      <c r="C41" s="33"/>
      <c r="D41" s="32"/>
      <c r="E41" s="33"/>
      <c r="F41" s="32"/>
      <c r="G41" s="33"/>
      <c r="H41" s="32"/>
      <c r="I41" s="34"/>
    </row>
    <row r="42" spans="1:9" x14ac:dyDescent="0.3">
      <c r="A42" s="3">
        <v>36</v>
      </c>
      <c r="B42" s="25"/>
      <c r="C42" s="27"/>
      <c r="D42" s="25"/>
      <c r="E42" s="27"/>
      <c r="F42" s="25"/>
      <c r="G42" s="27"/>
      <c r="H42" s="25"/>
      <c r="I42" s="23"/>
    </row>
    <row r="43" spans="1:9" x14ac:dyDescent="0.3">
      <c r="A43" s="3">
        <v>37</v>
      </c>
      <c r="B43" s="25"/>
      <c r="C43" s="27"/>
      <c r="D43" s="25"/>
      <c r="E43" s="27"/>
      <c r="F43" s="25"/>
      <c r="G43" s="27"/>
      <c r="H43" s="25"/>
      <c r="I43" s="23"/>
    </row>
    <row r="44" spans="1:9" x14ac:dyDescent="0.3">
      <c r="A44" s="3">
        <v>38</v>
      </c>
      <c r="B44" s="25"/>
      <c r="C44" s="27"/>
      <c r="D44" s="25"/>
      <c r="E44" s="27"/>
      <c r="F44" s="25"/>
      <c r="G44" s="27"/>
      <c r="H44" s="25"/>
      <c r="I44" s="23"/>
    </row>
    <row r="45" spans="1:9" x14ac:dyDescent="0.3">
      <c r="A45" s="3">
        <v>39</v>
      </c>
      <c r="B45" s="25"/>
      <c r="C45" s="27"/>
      <c r="D45" s="25"/>
      <c r="E45" s="27"/>
      <c r="F45" s="25"/>
      <c r="G45" s="27"/>
      <c r="H45" s="25"/>
      <c r="I45" s="23"/>
    </row>
    <row r="46" spans="1:9" x14ac:dyDescent="0.3">
      <c r="A46" s="303">
        <v>40</v>
      </c>
      <c r="B46" s="32"/>
      <c r="C46" s="33"/>
      <c r="D46" s="32"/>
      <c r="E46" s="33"/>
      <c r="F46" s="32"/>
      <c r="G46" s="33"/>
      <c r="H46" s="32"/>
      <c r="I46" s="34"/>
    </row>
    <row r="47" spans="1:9" x14ac:dyDescent="0.3">
      <c r="A47" s="3">
        <v>41</v>
      </c>
      <c r="B47" s="25"/>
      <c r="C47" s="27"/>
      <c r="D47" s="25"/>
      <c r="E47" s="27"/>
      <c r="F47" s="25"/>
      <c r="G47" s="27"/>
      <c r="H47" s="25"/>
      <c r="I47" s="23"/>
    </row>
    <row r="48" spans="1:9" x14ac:dyDescent="0.3">
      <c r="A48" s="3">
        <v>42</v>
      </c>
      <c r="B48" s="25"/>
      <c r="C48" s="27"/>
      <c r="D48" s="25"/>
      <c r="E48" s="27"/>
      <c r="F48" s="25"/>
      <c r="G48" s="27"/>
      <c r="H48" s="25"/>
      <c r="I48" s="23"/>
    </row>
    <row r="49" spans="1:9" x14ac:dyDescent="0.3">
      <c r="A49" s="3">
        <v>43</v>
      </c>
      <c r="B49" s="25"/>
      <c r="C49" s="27"/>
      <c r="D49" s="25"/>
      <c r="E49" s="27"/>
      <c r="F49" s="25"/>
      <c r="G49" s="27"/>
      <c r="H49" s="25"/>
      <c r="I49" s="23"/>
    </row>
    <row r="50" spans="1:9" x14ac:dyDescent="0.3">
      <c r="A50" s="3">
        <v>44</v>
      </c>
      <c r="B50" s="25"/>
      <c r="C50" s="27"/>
      <c r="D50" s="25"/>
      <c r="E50" s="27"/>
      <c r="F50" s="25"/>
      <c r="G50" s="27"/>
      <c r="H50" s="25"/>
      <c r="I50" s="23"/>
    </row>
    <row r="51" spans="1:9" x14ac:dyDescent="0.3">
      <c r="A51" s="303">
        <v>45</v>
      </c>
      <c r="B51" s="32"/>
      <c r="C51" s="33"/>
      <c r="D51" s="32"/>
      <c r="E51" s="33"/>
      <c r="F51" s="32"/>
      <c r="G51" s="33"/>
      <c r="H51" s="32"/>
      <c r="I51" s="34"/>
    </row>
    <row r="52" spans="1:9" x14ac:dyDescent="0.3">
      <c r="A52" s="3">
        <v>46</v>
      </c>
      <c r="B52" s="25"/>
      <c r="C52" s="27"/>
      <c r="D52" s="25"/>
      <c r="E52" s="27"/>
      <c r="F52" s="25"/>
      <c r="G52" s="27"/>
      <c r="H52" s="25"/>
      <c r="I52" s="23"/>
    </row>
    <row r="53" spans="1:9" x14ac:dyDescent="0.3">
      <c r="A53" s="3">
        <v>47</v>
      </c>
      <c r="B53" s="25"/>
      <c r="C53" s="27"/>
      <c r="D53" s="25"/>
      <c r="E53" s="27"/>
      <c r="F53" s="25"/>
      <c r="G53" s="27"/>
      <c r="H53" s="25"/>
      <c r="I53" s="23"/>
    </row>
    <row r="54" spans="1:9" x14ac:dyDescent="0.3">
      <c r="A54" s="3">
        <v>48</v>
      </c>
      <c r="B54" s="25"/>
      <c r="C54" s="27"/>
      <c r="D54" s="25"/>
      <c r="E54" s="27"/>
      <c r="F54" s="25"/>
      <c r="G54" s="27"/>
      <c r="H54" s="25"/>
      <c r="I54" s="23"/>
    </row>
    <row r="55" spans="1:9" x14ac:dyDescent="0.3">
      <c r="A55" s="3">
        <v>49</v>
      </c>
      <c r="B55" s="25"/>
      <c r="C55" s="27"/>
      <c r="D55" s="25"/>
      <c r="E55" s="27"/>
      <c r="F55" s="25"/>
      <c r="G55" s="27"/>
      <c r="H55" s="25"/>
      <c r="I55" s="23"/>
    </row>
    <row r="56" spans="1:9" x14ac:dyDescent="0.3">
      <c r="A56" s="303">
        <v>50</v>
      </c>
      <c r="B56" s="32"/>
      <c r="C56" s="33"/>
      <c r="D56" s="32"/>
      <c r="E56" s="33"/>
      <c r="F56" s="32"/>
      <c r="G56" s="33"/>
      <c r="H56" s="32"/>
      <c r="I56" s="34"/>
    </row>
    <row r="57" spans="1:9" x14ac:dyDescent="0.3">
      <c r="A57" s="3">
        <v>51</v>
      </c>
      <c r="B57" s="25"/>
      <c r="C57" s="27"/>
      <c r="D57" s="25"/>
      <c r="E57" s="27"/>
      <c r="F57" s="25"/>
      <c r="G57" s="27"/>
      <c r="H57" s="25"/>
      <c r="I57" s="23"/>
    </row>
    <row r="58" spans="1:9" x14ac:dyDescent="0.3">
      <c r="A58" s="3">
        <v>52</v>
      </c>
      <c r="B58" s="25"/>
      <c r="C58" s="27"/>
      <c r="D58" s="25"/>
      <c r="E58" s="27"/>
      <c r="F58" s="25"/>
      <c r="G58" s="27"/>
      <c r="H58" s="25"/>
      <c r="I58" s="23"/>
    </row>
    <row r="59" spans="1:9" x14ac:dyDescent="0.3">
      <c r="A59" s="3">
        <v>53</v>
      </c>
      <c r="B59" s="25"/>
      <c r="C59" s="27"/>
      <c r="D59" s="25"/>
      <c r="E59" s="27"/>
      <c r="F59" s="25"/>
      <c r="G59" s="27"/>
      <c r="H59" s="25"/>
      <c r="I59" s="23"/>
    </row>
    <row r="60" spans="1:9" x14ac:dyDescent="0.3">
      <c r="A60" s="3">
        <v>54</v>
      </c>
      <c r="B60" s="25"/>
      <c r="C60" s="27"/>
      <c r="D60" s="25"/>
      <c r="E60" s="27"/>
      <c r="F60" s="25"/>
      <c r="G60" s="27"/>
      <c r="H60" s="25"/>
      <c r="I60" s="23"/>
    </row>
    <row r="61" spans="1:9" x14ac:dyDescent="0.3">
      <c r="A61" s="303">
        <v>55</v>
      </c>
      <c r="B61" s="32"/>
      <c r="C61" s="33"/>
      <c r="D61" s="32"/>
      <c r="E61" s="33"/>
      <c r="F61" s="32"/>
      <c r="G61" s="33"/>
      <c r="H61" s="32"/>
      <c r="I61" s="34"/>
    </row>
    <row r="62" spans="1:9" x14ac:dyDescent="0.3">
      <c r="A62" s="3">
        <v>56</v>
      </c>
      <c r="B62" s="25"/>
      <c r="C62" s="27"/>
      <c r="D62" s="25"/>
      <c r="E62" s="27"/>
      <c r="F62" s="25"/>
      <c r="G62" s="27"/>
      <c r="H62" s="25"/>
      <c r="I62" s="23"/>
    </row>
    <row r="63" spans="1:9" x14ac:dyDescent="0.3">
      <c r="A63" s="3">
        <v>57</v>
      </c>
      <c r="B63" s="25"/>
      <c r="C63" s="27"/>
      <c r="D63" s="25"/>
      <c r="E63" s="27"/>
      <c r="F63" s="25"/>
      <c r="G63" s="27"/>
      <c r="H63" s="25"/>
      <c r="I63" s="23"/>
    </row>
    <row r="64" spans="1:9" x14ac:dyDescent="0.3">
      <c r="A64" s="3">
        <v>58</v>
      </c>
      <c r="B64" s="25"/>
      <c r="C64" s="27"/>
      <c r="D64" s="25"/>
      <c r="E64" s="27"/>
      <c r="F64" s="25"/>
      <c r="G64" s="27"/>
      <c r="H64" s="25"/>
      <c r="I64" s="23"/>
    </row>
    <row r="65" spans="1:9" x14ac:dyDescent="0.3">
      <c r="A65" s="3">
        <v>59</v>
      </c>
      <c r="B65" s="25"/>
      <c r="C65" s="27"/>
      <c r="D65" s="25"/>
      <c r="E65" s="27"/>
      <c r="F65" s="25"/>
      <c r="G65" s="27"/>
      <c r="H65" s="25"/>
      <c r="I65" s="23"/>
    </row>
    <row r="66" spans="1:9" x14ac:dyDescent="0.3">
      <c r="A66" s="303">
        <v>60</v>
      </c>
      <c r="B66" s="32"/>
      <c r="C66" s="33"/>
      <c r="D66" s="32"/>
      <c r="E66" s="33"/>
      <c r="F66" s="32"/>
      <c r="G66" s="33"/>
      <c r="H66" s="32"/>
      <c r="I66" s="34"/>
    </row>
    <row r="67" spans="1:9" x14ac:dyDescent="0.3">
      <c r="A67" s="3">
        <v>61</v>
      </c>
      <c r="B67" s="25"/>
      <c r="C67" s="27"/>
      <c r="D67" s="25"/>
      <c r="E67" s="27"/>
      <c r="F67" s="25"/>
      <c r="G67" s="27"/>
      <c r="H67" s="25"/>
      <c r="I67" s="23"/>
    </row>
    <row r="68" spans="1:9" x14ac:dyDescent="0.3">
      <c r="A68" s="3">
        <v>62</v>
      </c>
      <c r="B68" s="25"/>
      <c r="C68" s="27"/>
      <c r="D68" s="25"/>
      <c r="E68" s="27"/>
      <c r="F68" s="25"/>
      <c r="G68" s="27"/>
      <c r="H68" s="25"/>
      <c r="I68" s="23"/>
    </row>
    <row r="69" spans="1:9" x14ac:dyDescent="0.3">
      <c r="A69" s="3">
        <v>63</v>
      </c>
      <c r="B69" s="25"/>
      <c r="C69" s="27"/>
      <c r="D69" s="25"/>
      <c r="E69" s="27"/>
      <c r="F69" s="25"/>
      <c r="G69" s="27"/>
      <c r="H69" s="25"/>
      <c r="I69" s="23"/>
    </row>
    <row r="70" spans="1:9" x14ac:dyDescent="0.3">
      <c r="A70" s="3">
        <v>64</v>
      </c>
      <c r="B70" s="25"/>
      <c r="C70" s="27"/>
      <c r="D70" s="25"/>
      <c r="E70" s="27"/>
      <c r="F70" s="25"/>
      <c r="G70" s="27"/>
      <c r="H70" s="25"/>
      <c r="I70" s="23"/>
    </row>
    <row r="71" spans="1:9" x14ac:dyDescent="0.3">
      <c r="A71" s="303">
        <v>65</v>
      </c>
      <c r="B71" s="32"/>
      <c r="C71" s="33"/>
      <c r="D71" s="32"/>
      <c r="E71" s="33"/>
      <c r="F71" s="32"/>
      <c r="G71" s="33"/>
      <c r="H71" s="32"/>
      <c r="I71" s="34"/>
    </row>
    <row r="72" spans="1:9" x14ac:dyDescent="0.3">
      <c r="A72" s="3">
        <v>66</v>
      </c>
      <c r="B72" s="25"/>
      <c r="C72" s="27"/>
      <c r="D72" s="25"/>
      <c r="E72" s="27"/>
      <c r="F72" s="25"/>
      <c r="G72" s="27"/>
      <c r="H72" s="25"/>
      <c r="I72" s="23"/>
    </row>
    <row r="73" spans="1:9" x14ac:dyDescent="0.3">
      <c r="A73" s="3">
        <v>67</v>
      </c>
      <c r="B73" s="25"/>
      <c r="C73" s="27"/>
      <c r="D73" s="25"/>
      <c r="E73" s="27"/>
      <c r="F73" s="25"/>
      <c r="G73" s="27"/>
      <c r="H73" s="25"/>
      <c r="I73" s="23"/>
    </row>
    <row r="74" spans="1:9" x14ac:dyDescent="0.3">
      <c r="A74" s="3">
        <v>68</v>
      </c>
      <c r="B74" s="25"/>
      <c r="C74" s="27"/>
      <c r="D74" s="25"/>
      <c r="E74" s="27"/>
      <c r="F74" s="25"/>
      <c r="G74" s="27"/>
      <c r="H74" s="25"/>
      <c r="I74" s="23"/>
    </row>
    <row r="75" spans="1:9" x14ac:dyDescent="0.3">
      <c r="A75" s="3">
        <v>69</v>
      </c>
      <c r="B75" s="25"/>
      <c r="C75" s="27"/>
      <c r="D75" s="25"/>
      <c r="E75" s="27"/>
      <c r="F75" s="25"/>
      <c r="G75" s="27"/>
      <c r="H75" s="25"/>
      <c r="I75" s="23"/>
    </row>
    <row r="76" spans="1:9" x14ac:dyDescent="0.3">
      <c r="A76" s="303">
        <v>70</v>
      </c>
      <c r="B76" s="32"/>
      <c r="C76" s="33"/>
      <c r="D76" s="32"/>
      <c r="E76" s="33"/>
      <c r="F76" s="32"/>
      <c r="G76" s="33"/>
      <c r="H76" s="32"/>
      <c r="I76" s="34"/>
    </row>
    <row r="77" spans="1:9" x14ac:dyDescent="0.3">
      <c r="A77" s="3">
        <v>71</v>
      </c>
      <c r="B77" s="25"/>
      <c r="C77" s="27"/>
      <c r="D77" s="25"/>
      <c r="E77" s="27"/>
      <c r="F77" s="25"/>
      <c r="G77" s="27"/>
      <c r="H77" s="25"/>
      <c r="I77" s="23"/>
    </row>
    <row r="78" spans="1:9" x14ac:dyDescent="0.3">
      <c r="A78" s="3">
        <v>72</v>
      </c>
      <c r="B78" s="25"/>
      <c r="C78" s="27"/>
      <c r="D78" s="25"/>
      <c r="E78" s="27"/>
      <c r="F78" s="25"/>
      <c r="G78" s="27"/>
      <c r="H78" s="25"/>
      <c r="I78" s="23"/>
    </row>
    <row r="79" spans="1:9" x14ac:dyDescent="0.3">
      <c r="A79" s="3">
        <v>73</v>
      </c>
      <c r="B79" s="25"/>
      <c r="C79" s="27"/>
      <c r="D79" s="25"/>
      <c r="E79" s="27"/>
      <c r="F79" s="25"/>
      <c r="G79" s="27"/>
      <c r="H79" s="25"/>
      <c r="I79" s="23"/>
    </row>
    <row r="80" spans="1:9" x14ac:dyDescent="0.3">
      <c r="A80" s="3">
        <v>74</v>
      </c>
      <c r="B80" s="25"/>
      <c r="C80" s="27"/>
      <c r="D80" s="25"/>
      <c r="E80" s="27"/>
      <c r="F80" s="25"/>
      <c r="G80" s="27"/>
      <c r="H80" s="25"/>
      <c r="I80" s="23"/>
    </row>
    <row r="81" spans="1:9" x14ac:dyDescent="0.3">
      <c r="A81" s="303">
        <v>75</v>
      </c>
      <c r="B81" s="32"/>
      <c r="C81" s="33"/>
      <c r="D81" s="32"/>
      <c r="E81" s="33"/>
      <c r="F81" s="32"/>
      <c r="G81" s="33"/>
      <c r="H81" s="32"/>
      <c r="I81" s="34"/>
    </row>
    <row r="82" spans="1:9" x14ac:dyDescent="0.3">
      <c r="A82" s="3">
        <v>76</v>
      </c>
      <c r="B82" s="25"/>
      <c r="C82" s="27"/>
      <c r="D82" s="25"/>
      <c r="E82" s="27"/>
      <c r="F82" s="25"/>
      <c r="G82" s="27"/>
      <c r="H82" s="25"/>
      <c r="I82" s="23"/>
    </row>
    <row r="83" spans="1:9" x14ac:dyDescent="0.3">
      <c r="A83" s="3">
        <v>77</v>
      </c>
      <c r="B83" s="25"/>
      <c r="C83" s="27"/>
      <c r="D83" s="25"/>
      <c r="E83" s="27"/>
      <c r="F83" s="25"/>
      <c r="G83" s="27"/>
      <c r="H83" s="25"/>
      <c r="I83" s="23"/>
    </row>
    <row r="84" spans="1:9" x14ac:dyDescent="0.3">
      <c r="A84" s="3">
        <v>78</v>
      </c>
      <c r="B84" s="25"/>
      <c r="C84" s="27"/>
      <c r="D84" s="25"/>
      <c r="E84" s="27"/>
      <c r="F84" s="25"/>
      <c r="G84" s="27"/>
      <c r="H84" s="25"/>
      <c r="I84" s="23"/>
    </row>
    <row r="85" spans="1:9" ht="16.8" thickBot="1" x14ac:dyDescent="0.35">
      <c r="A85" s="4">
        <v>79</v>
      </c>
      <c r="B85" s="26"/>
      <c r="C85" s="28"/>
      <c r="D85" s="26"/>
      <c r="E85" s="28"/>
      <c r="F85" s="26"/>
      <c r="G85" s="28"/>
      <c r="H85" s="26"/>
      <c r="I85" s="24"/>
    </row>
  </sheetData>
  <mergeCells count="6">
    <mergeCell ref="A1:I1"/>
    <mergeCell ref="A2:I2"/>
    <mergeCell ref="B4:C4"/>
    <mergeCell ref="D4:E4"/>
    <mergeCell ref="F4:G4"/>
    <mergeCell ref="H4:I4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85"/>
  <sheetViews>
    <sheetView showGridLines="0" zoomScale="80" zoomScaleNormal="80" workbookViewId="0">
      <selection sqref="A1:I1"/>
    </sheetView>
  </sheetViews>
  <sheetFormatPr defaultColWidth="11.109375" defaultRowHeight="16.2" x14ac:dyDescent="0.3"/>
  <cols>
    <col min="1" max="16384" width="11.109375" style="1"/>
  </cols>
  <sheetData>
    <row r="1" spans="1:9" ht="28.2" x14ac:dyDescent="0.3">
      <c r="A1" s="495" t="s">
        <v>0</v>
      </c>
      <c r="B1" s="495"/>
      <c r="C1" s="495"/>
      <c r="D1" s="495"/>
      <c r="E1" s="495"/>
      <c r="F1" s="495"/>
      <c r="G1" s="495"/>
      <c r="H1" s="495"/>
      <c r="I1" s="495"/>
    </row>
    <row r="2" spans="1:9" ht="22.2" x14ac:dyDescent="0.3">
      <c r="A2" s="496" t="s">
        <v>390</v>
      </c>
      <c r="B2" s="496"/>
      <c r="C2" s="496"/>
      <c r="D2" s="496"/>
      <c r="E2" s="496"/>
      <c r="F2" s="496"/>
      <c r="G2" s="496"/>
      <c r="H2" s="496"/>
      <c r="I2" s="496"/>
    </row>
    <row r="3" spans="1:9" ht="16.8" thickBot="1" x14ac:dyDescent="0.35">
      <c r="I3" s="2"/>
    </row>
    <row r="4" spans="1:9" x14ac:dyDescent="0.3">
      <c r="A4" s="11" t="s">
        <v>3</v>
      </c>
      <c r="B4" s="461" t="s">
        <v>4</v>
      </c>
      <c r="C4" s="497"/>
      <c r="D4" s="461" t="s">
        <v>5</v>
      </c>
      <c r="E4" s="497"/>
      <c r="F4" s="461" t="s">
        <v>6</v>
      </c>
      <c r="G4" s="497"/>
      <c r="H4" s="461" t="s">
        <v>7</v>
      </c>
      <c r="I4" s="498"/>
    </row>
    <row r="5" spans="1:9" ht="16.8" thickBot="1" x14ac:dyDescent="0.35">
      <c r="A5" s="12" t="s">
        <v>8</v>
      </c>
      <c r="B5" s="8" t="s">
        <v>9</v>
      </c>
      <c r="C5" s="13" t="s">
        <v>10</v>
      </c>
      <c r="D5" s="8" t="s">
        <v>9</v>
      </c>
      <c r="E5" s="13" t="s">
        <v>10</v>
      </c>
      <c r="F5" s="8" t="s">
        <v>9</v>
      </c>
      <c r="G5" s="13" t="s">
        <v>10</v>
      </c>
      <c r="H5" s="8" t="s">
        <v>9</v>
      </c>
      <c r="I5" s="7" t="s">
        <v>10</v>
      </c>
    </row>
    <row r="6" spans="1:9" ht="16.8" thickTop="1" x14ac:dyDescent="0.3">
      <c r="A6" s="16">
        <v>0</v>
      </c>
      <c r="B6" s="29"/>
      <c r="C6" s="30"/>
      <c r="D6" s="29"/>
      <c r="E6" s="30"/>
      <c r="F6" s="29"/>
      <c r="G6" s="30"/>
      <c r="H6" s="29"/>
      <c r="I6" s="31"/>
    </row>
    <row r="7" spans="1:9" x14ac:dyDescent="0.3">
      <c r="A7" s="3">
        <v>1</v>
      </c>
      <c r="B7" s="25"/>
      <c r="C7" s="27"/>
      <c r="D7" s="25"/>
      <c r="E7" s="27"/>
      <c r="F7" s="25"/>
      <c r="G7" s="27"/>
      <c r="H7" s="25"/>
      <c r="I7" s="23"/>
    </row>
    <row r="8" spans="1:9" x14ac:dyDescent="0.3">
      <c r="A8" s="3">
        <v>2</v>
      </c>
      <c r="B8" s="25"/>
      <c r="C8" s="27"/>
      <c r="D8" s="25"/>
      <c r="E8" s="27"/>
      <c r="F8" s="25"/>
      <c r="G8" s="27"/>
      <c r="H8" s="25"/>
      <c r="I8" s="23"/>
    </row>
    <row r="9" spans="1:9" x14ac:dyDescent="0.3">
      <c r="A9" s="3">
        <v>3</v>
      </c>
      <c r="B9" s="25"/>
      <c r="C9" s="27"/>
      <c r="D9" s="25"/>
      <c r="E9" s="27"/>
      <c r="F9" s="25"/>
      <c r="G9" s="27"/>
      <c r="H9" s="25"/>
      <c r="I9" s="23"/>
    </row>
    <row r="10" spans="1:9" x14ac:dyDescent="0.3">
      <c r="A10" s="3">
        <v>4</v>
      </c>
      <c r="B10" s="25"/>
      <c r="C10" s="27"/>
      <c r="D10" s="25"/>
      <c r="E10" s="27"/>
      <c r="F10" s="25"/>
      <c r="G10" s="27"/>
      <c r="H10" s="25"/>
      <c r="I10" s="23"/>
    </row>
    <row r="11" spans="1:9" x14ac:dyDescent="0.3">
      <c r="A11" s="303">
        <v>5</v>
      </c>
      <c r="B11" s="32"/>
      <c r="C11" s="33"/>
      <c r="D11" s="32"/>
      <c r="E11" s="33"/>
      <c r="F11" s="32"/>
      <c r="G11" s="33"/>
      <c r="H11" s="32"/>
      <c r="I11" s="34"/>
    </row>
    <row r="12" spans="1:9" x14ac:dyDescent="0.3">
      <c r="A12" s="3">
        <v>6</v>
      </c>
      <c r="B12" s="25"/>
      <c r="C12" s="27"/>
      <c r="D12" s="25"/>
      <c r="E12" s="27"/>
      <c r="F12" s="25"/>
      <c r="G12" s="27"/>
      <c r="H12" s="25"/>
      <c r="I12" s="23"/>
    </row>
    <row r="13" spans="1:9" x14ac:dyDescent="0.3">
      <c r="A13" s="3">
        <v>7</v>
      </c>
      <c r="B13" s="25"/>
      <c r="C13" s="27"/>
      <c r="D13" s="25"/>
      <c r="E13" s="27"/>
      <c r="F13" s="25"/>
      <c r="G13" s="27"/>
      <c r="H13" s="25"/>
      <c r="I13" s="23"/>
    </row>
    <row r="14" spans="1:9" x14ac:dyDescent="0.3">
      <c r="A14" s="3">
        <v>8</v>
      </c>
      <c r="B14" s="25"/>
      <c r="C14" s="27"/>
      <c r="D14" s="25"/>
      <c r="E14" s="27"/>
      <c r="F14" s="25"/>
      <c r="G14" s="27"/>
      <c r="H14" s="25"/>
      <c r="I14" s="23"/>
    </row>
    <row r="15" spans="1:9" x14ac:dyDescent="0.3">
      <c r="A15" s="3">
        <v>9</v>
      </c>
      <c r="B15" s="25"/>
      <c r="C15" s="27"/>
      <c r="D15" s="25"/>
      <c r="E15" s="27"/>
      <c r="F15" s="25"/>
      <c r="G15" s="27"/>
      <c r="H15" s="25"/>
      <c r="I15" s="23"/>
    </row>
    <row r="16" spans="1:9" x14ac:dyDescent="0.3">
      <c r="A16" s="303">
        <v>10</v>
      </c>
      <c r="B16" s="32"/>
      <c r="C16" s="33"/>
      <c r="D16" s="32"/>
      <c r="E16" s="33"/>
      <c r="F16" s="32"/>
      <c r="G16" s="33"/>
      <c r="H16" s="32"/>
      <c r="I16" s="34"/>
    </row>
    <row r="17" spans="1:9" x14ac:dyDescent="0.3">
      <c r="A17" s="3">
        <v>11</v>
      </c>
      <c r="B17" s="25"/>
      <c r="C17" s="27"/>
      <c r="D17" s="25"/>
      <c r="E17" s="27"/>
      <c r="F17" s="25"/>
      <c r="G17" s="27"/>
      <c r="H17" s="25"/>
      <c r="I17" s="23"/>
    </row>
    <row r="18" spans="1:9" x14ac:dyDescent="0.3">
      <c r="A18" s="3">
        <v>12</v>
      </c>
      <c r="B18" s="25"/>
      <c r="C18" s="27"/>
      <c r="D18" s="25"/>
      <c r="E18" s="27"/>
      <c r="F18" s="25"/>
      <c r="G18" s="27"/>
      <c r="H18" s="25"/>
      <c r="I18" s="23"/>
    </row>
    <row r="19" spans="1:9" x14ac:dyDescent="0.3">
      <c r="A19" s="3">
        <v>13</v>
      </c>
      <c r="B19" s="25"/>
      <c r="C19" s="27"/>
      <c r="D19" s="25"/>
      <c r="E19" s="27"/>
      <c r="F19" s="25"/>
      <c r="G19" s="27"/>
      <c r="H19" s="25"/>
      <c r="I19" s="23"/>
    </row>
    <row r="20" spans="1:9" x14ac:dyDescent="0.3">
      <c r="A20" s="3">
        <v>14</v>
      </c>
      <c r="B20" s="25"/>
      <c r="C20" s="27"/>
      <c r="D20" s="25"/>
      <c r="E20" s="27"/>
      <c r="F20" s="25"/>
      <c r="G20" s="27"/>
      <c r="H20" s="25"/>
      <c r="I20" s="23"/>
    </row>
    <row r="21" spans="1:9" x14ac:dyDescent="0.3">
      <c r="A21" s="303">
        <v>15</v>
      </c>
      <c r="B21" s="32"/>
      <c r="C21" s="33"/>
      <c r="D21" s="32"/>
      <c r="E21" s="33"/>
      <c r="F21" s="32"/>
      <c r="G21" s="33"/>
      <c r="H21" s="32"/>
      <c r="I21" s="34"/>
    </row>
    <row r="22" spans="1:9" x14ac:dyDescent="0.3">
      <c r="A22" s="3">
        <v>16</v>
      </c>
      <c r="B22" s="25"/>
      <c r="C22" s="27"/>
      <c r="D22" s="25"/>
      <c r="E22" s="27"/>
      <c r="F22" s="25"/>
      <c r="G22" s="27"/>
      <c r="H22" s="25"/>
      <c r="I22" s="23"/>
    </row>
    <row r="23" spans="1:9" x14ac:dyDescent="0.3">
      <c r="A23" s="3">
        <v>17</v>
      </c>
      <c r="B23" s="25"/>
      <c r="C23" s="27"/>
      <c r="D23" s="25"/>
      <c r="E23" s="27"/>
      <c r="F23" s="25"/>
      <c r="G23" s="27"/>
      <c r="H23" s="25"/>
      <c r="I23" s="23"/>
    </row>
    <row r="24" spans="1:9" x14ac:dyDescent="0.3">
      <c r="A24" s="3">
        <v>18</v>
      </c>
      <c r="B24" s="25"/>
      <c r="C24" s="27"/>
      <c r="D24" s="25"/>
      <c r="E24" s="27"/>
      <c r="F24" s="25"/>
      <c r="G24" s="27"/>
      <c r="H24" s="25"/>
      <c r="I24" s="23"/>
    </row>
    <row r="25" spans="1:9" x14ac:dyDescent="0.3">
      <c r="A25" s="3">
        <v>19</v>
      </c>
      <c r="B25" s="25"/>
      <c r="C25" s="27"/>
      <c r="D25" s="25"/>
      <c r="E25" s="27"/>
      <c r="F25" s="25"/>
      <c r="G25" s="27"/>
      <c r="H25" s="25"/>
      <c r="I25" s="23"/>
    </row>
    <row r="26" spans="1:9" x14ac:dyDescent="0.3">
      <c r="A26" s="303">
        <v>20</v>
      </c>
      <c r="B26" s="32"/>
      <c r="C26" s="33"/>
      <c r="D26" s="32"/>
      <c r="E26" s="33"/>
      <c r="F26" s="32"/>
      <c r="G26" s="33"/>
      <c r="H26" s="32"/>
      <c r="I26" s="34"/>
    </row>
    <row r="27" spans="1:9" x14ac:dyDescent="0.3">
      <c r="A27" s="3">
        <v>21</v>
      </c>
      <c r="B27" s="25"/>
      <c r="C27" s="27"/>
      <c r="D27" s="25"/>
      <c r="E27" s="27"/>
      <c r="F27" s="25"/>
      <c r="G27" s="27"/>
      <c r="H27" s="25"/>
      <c r="I27" s="23"/>
    </row>
    <row r="28" spans="1:9" x14ac:dyDescent="0.3">
      <c r="A28" s="3">
        <v>22</v>
      </c>
      <c r="B28" s="25"/>
      <c r="C28" s="27"/>
      <c r="D28" s="25"/>
      <c r="E28" s="27"/>
      <c r="F28" s="25"/>
      <c r="G28" s="27"/>
      <c r="H28" s="25"/>
      <c r="I28" s="23"/>
    </row>
    <row r="29" spans="1:9" x14ac:dyDescent="0.3">
      <c r="A29" s="3">
        <v>23</v>
      </c>
      <c r="B29" s="25"/>
      <c r="C29" s="27"/>
      <c r="D29" s="25"/>
      <c r="E29" s="27"/>
      <c r="F29" s="25"/>
      <c r="G29" s="27"/>
      <c r="H29" s="25"/>
      <c r="I29" s="23"/>
    </row>
    <row r="30" spans="1:9" x14ac:dyDescent="0.3">
      <c r="A30" s="3">
        <v>24</v>
      </c>
      <c r="B30" s="25"/>
      <c r="C30" s="27"/>
      <c r="D30" s="25"/>
      <c r="E30" s="27"/>
      <c r="F30" s="25"/>
      <c r="G30" s="27"/>
      <c r="H30" s="25"/>
      <c r="I30" s="23"/>
    </row>
    <row r="31" spans="1:9" x14ac:dyDescent="0.3">
      <c r="A31" s="303">
        <v>25</v>
      </c>
      <c r="B31" s="32"/>
      <c r="C31" s="33"/>
      <c r="D31" s="32"/>
      <c r="E31" s="33"/>
      <c r="F31" s="32"/>
      <c r="G31" s="33"/>
      <c r="H31" s="32"/>
      <c r="I31" s="34"/>
    </row>
    <row r="32" spans="1:9" x14ac:dyDescent="0.3">
      <c r="A32" s="3">
        <v>26</v>
      </c>
      <c r="B32" s="25"/>
      <c r="C32" s="27"/>
      <c r="D32" s="25"/>
      <c r="E32" s="27"/>
      <c r="F32" s="25"/>
      <c r="G32" s="27"/>
      <c r="H32" s="25"/>
      <c r="I32" s="23"/>
    </row>
    <row r="33" spans="1:9" x14ac:dyDescent="0.3">
      <c r="A33" s="3">
        <v>27</v>
      </c>
      <c r="B33" s="25"/>
      <c r="C33" s="27"/>
      <c r="D33" s="25"/>
      <c r="E33" s="27"/>
      <c r="F33" s="25"/>
      <c r="G33" s="27"/>
      <c r="H33" s="25"/>
      <c r="I33" s="23"/>
    </row>
    <row r="34" spans="1:9" x14ac:dyDescent="0.3">
      <c r="A34" s="3">
        <v>28</v>
      </c>
      <c r="B34" s="25"/>
      <c r="C34" s="27"/>
      <c r="D34" s="25"/>
      <c r="E34" s="27"/>
      <c r="F34" s="25"/>
      <c r="G34" s="27"/>
      <c r="H34" s="25"/>
      <c r="I34" s="23"/>
    </row>
    <row r="35" spans="1:9" x14ac:dyDescent="0.3">
      <c r="A35" s="3">
        <v>29</v>
      </c>
      <c r="B35" s="25"/>
      <c r="C35" s="27"/>
      <c r="D35" s="25"/>
      <c r="E35" s="27"/>
      <c r="F35" s="25"/>
      <c r="G35" s="27"/>
      <c r="H35" s="25"/>
      <c r="I35" s="23"/>
    </row>
    <row r="36" spans="1:9" x14ac:dyDescent="0.3">
      <c r="A36" s="303">
        <v>30</v>
      </c>
      <c r="B36" s="32"/>
      <c r="C36" s="33"/>
      <c r="D36" s="32"/>
      <c r="E36" s="33"/>
      <c r="F36" s="32"/>
      <c r="G36" s="33"/>
      <c r="H36" s="32"/>
      <c r="I36" s="34"/>
    </row>
    <row r="37" spans="1:9" x14ac:dyDescent="0.3">
      <c r="A37" s="3">
        <v>31</v>
      </c>
      <c r="B37" s="25"/>
      <c r="C37" s="27"/>
      <c r="D37" s="25"/>
      <c r="E37" s="27"/>
      <c r="F37" s="25"/>
      <c r="G37" s="27"/>
      <c r="H37" s="25"/>
      <c r="I37" s="23"/>
    </row>
    <row r="38" spans="1:9" x14ac:dyDescent="0.3">
      <c r="A38" s="3">
        <v>32</v>
      </c>
      <c r="B38" s="25"/>
      <c r="C38" s="27"/>
      <c r="D38" s="25"/>
      <c r="E38" s="27"/>
      <c r="F38" s="25"/>
      <c r="G38" s="27"/>
      <c r="H38" s="25"/>
      <c r="I38" s="23"/>
    </row>
    <row r="39" spans="1:9" x14ac:dyDescent="0.3">
      <c r="A39" s="3">
        <v>33</v>
      </c>
      <c r="B39" s="25"/>
      <c r="C39" s="27"/>
      <c r="D39" s="25"/>
      <c r="E39" s="27"/>
      <c r="F39" s="25"/>
      <c r="G39" s="27"/>
      <c r="H39" s="25"/>
      <c r="I39" s="23"/>
    </row>
    <row r="40" spans="1:9" x14ac:dyDescent="0.3">
      <c r="A40" s="3">
        <v>34</v>
      </c>
      <c r="B40" s="25"/>
      <c r="C40" s="27"/>
      <c r="D40" s="25"/>
      <c r="E40" s="27"/>
      <c r="F40" s="25"/>
      <c r="G40" s="27"/>
      <c r="H40" s="25"/>
      <c r="I40" s="23"/>
    </row>
    <row r="41" spans="1:9" x14ac:dyDescent="0.3">
      <c r="A41" s="303">
        <v>35</v>
      </c>
      <c r="B41" s="32"/>
      <c r="C41" s="33"/>
      <c r="D41" s="32"/>
      <c r="E41" s="33"/>
      <c r="F41" s="32"/>
      <c r="G41" s="33"/>
      <c r="H41" s="32"/>
      <c r="I41" s="34"/>
    </row>
    <row r="42" spans="1:9" x14ac:dyDescent="0.3">
      <c r="A42" s="3">
        <v>36</v>
      </c>
      <c r="B42" s="25"/>
      <c r="C42" s="27"/>
      <c r="D42" s="25"/>
      <c r="E42" s="27"/>
      <c r="F42" s="25"/>
      <c r="G42" s="27"/>
      <c r="H42" s="25"/>
      <c r="I42" s="23"/>
    </row>
    <row r="43" spans="1:9" x14ac:dyDescent="0.3">
      <c r="A43" s="3">
        <v>37</v>
      </c>
      <c r="B43" s="25"/>
      <c r="C43" s="27"/>
      <c r="D43" s="25"/>
      <c r="E43" s="27"/>
      <c r="F43" s="25"/>
      <c r="G43" s="27"/>
      <c r="H43" s="25"/>
      <c r="I43" s="23"/>
    </row>
    <row r="44" spans="1:9" x14ac:dyDescent="0.3">
      <c r="A44" s="3">
        <v>38</v>
      </c>
      <c r="B44" s="25"/>
      <c r="C44" s="27"/>
      <c r="D44" s="25"/>
      <c r="E44" s="27"/>
      <c r="F44" s="25"/>
      <c r="G44" s="27"/>
      <c r="H44" s="25"/>
      <c r="I44" s="23"/>
    </row>
    <row r="45" spans="1:9" x14ac:dyDescent="0.3">
      <c r="A45" s="3">
        <v>39</v>
      </c>
      <c r="B45" s="25"/>
      <c r="C45" s="27"/>
      <c r="D45" s="25"/>
      <c r="E45" s="27"/>
      <c r="F45" s="25"/>
      <c r="G45" s="27"/>
      <c r="H45" s="25"/>
      <c r="I45" s="23"/>
    </row>
    <row r="46" spans="1:9" x14ac:dyDescent="0.3">
      <c r="A46" s="303">
        <v>40</v>
      </c>
      <c r="B46" s="32"/>
      <c r="C46" s="33"/>
      <c r="D46" s="32"/>
      <c r="E46" s="33"/>
      <c r="F46" s="32"/>
      <c r="G46" s="33"/>
      <c r="H46" s="32"/>
      <c r="I46" s="34"/>
    </row>
    <row r="47" spans="1:9" x14ac:dyDescent="0.3">
      <c r="A47" s="3">
        <v>41</v>
      </c>
      <c r="B47" s="25"/>
      <c r="C47" s="27"/>
      <c r="D47" s="25"/>
      <c r="E47" s="27"/>
      <c r="F47" s="25"/>
      <c r="G47" s="27"/>
      <c r="H47" s="25"/>
      <c r="I47" s="23"/>
    </row>
    <row r="48" spans="1:9" x14ac:dyDescent="0.3">
      <c r="A48" s="3">
        <v>42</v>
      </c>
      <c r="B48" s="25"/>
      <c r="C48" s="27"/>
      <c r="D48" s="25"/>
      <c r="E48" s="27"/>
      <c r="F48" s="25"/>
      <c r="G48" s="27"/>
      <c r="H48" s="25"/>
      <c r="I48" s="23"/>
    </row>
    <row r="49" spans="1:9" x14ac:dyDescent="0.3">
      <c r="A49" s="3">
        <v>43</v>
      </c>
      <c r="B49" s="25"/>
      <c r="C49" s="27"/>
      <c r="D49" s="25"/>
      <c r="E49" s="27"/>
      <c r="F49" s="25"/>
      <c r="G49" s="27"/>
      <c r="H49" s="25"/>
      <c r="I49" s="23"/>
    </row>
    <row r="50" spans="1:9" x14ac:dyDescent="0.3">
      <c r="A50" s="3">
        <v>44</v>
      </c>
      <c r="B50" s="25"/>
      <c r="C50" s="27"/>
      <c r="D50" s="25"/>
      <c r="E50" s="27"/>
      <c r="F50" s="25"/>
      <c r="G50" s="27"/>
      <c r="H50" s="25"/>
      <c r="I50" s="23"/>
    </row>
    <row r="51" spans="1:9" x14ac:dyDescent="0.3">
      <c r="A51" s="303">
        <v>45</v>
      </c>
      <c r="B51" s="32"/>
      <c r="C51" s="33"/>
      <c r="D51" s="32"/>
      <c r="E51" s="33"/>
      <c r="F51" s="32"/>
      <c r="G51" s="33"/>
      <c r="H51" s="32"/>
      <c r="I51" s="34"/>
    </row>
    <row r="52" spans="1:9" x14ac:dyDescent="0.3">
      <c r="A52" s="3">
        <v>46</v>
      </c>
      <c r="B52" s="25"/>
      <c r="C52" s="27"/>
      <c r="D52" s="25"/>
      <c r="E52" s="27"/>
      <c r="F52" s="25"/>
      <c r="G52" s="27"/>
      <c r="H52" s="25"/>
      <c r="I52" s="23"/>
    </row>
    <row r="53" spans="1:9" x14ac:dyDescent="0.3">
      <c r="A53" s="3">
        <v>47</v>
      </c>
      <c r="B53" s="25"/>
      <c r="C53" s="27"/>
      <c r="D53" s="25"/>
      <c r="E53" s="27"/>
      <c r="F53" s="25"/>
      <c r="G53" s="27"/>
      <c r="H53" s="25"/>
      <c r="I53" s="23"/>
    </row>
    <row r="54" spans="1:9" x14ac:dyDescent="0.3">
      <c r="A54" s="3">
        <v>48</v>
      </c>
      <c r="B54" s="25"/>
      <c r="C54" s="27"/>
      <c r="D54" s="25"/>
      <c r="E54" s="27"/>
      <c r="F54" s="25"/>
      <c r="G54" s="27"/>
      <c r="H54" s="25"/>
      <c r="I54" s="23"/>
    </row>
    <row r="55" spans="1:9" x14ac:dyDescent="0.3">
      <c r="A55" s="3">
        <v>49</v>
      </c>
      <c r="B55" s="25"/>
      <c r="C55" s="27"/>
      <c r="D55" s="25"/>
      <c r="E55" s="27"/>
      <c r="F55" s="25"/>
      <c r="G55" s="27"/>
      <c r="H55" s="25"/>
      <c r="I55" s="23"/>
    </row>
    <row r="56" spans="1:9" x14ac:dyDescent="0.3">
      <c r="A56" s="303">
        <v>50</v>
      </c>
      <c r="B56" s="32"/>
      <c r="C56" s="33"/>
      <c r="D56" s="32"/>
      <c r="E56" s="33"/>
      <c r="F56" s="32"/>
      <c r="G56" s="33"/>
      <c r="H56" s="32"/>
      <c r="I56" s="34"/>
    </row>
    <row r="57" spans="1:9" x14ac:dyDescent="0.3">
      <c r="A57" s="3">
        <v>51</v>
      </c>
      <c r="B57" s="25"/>
      <c r="C57" s="27"/>
      <c r="D57" s="25"/>
      <c r="E57" s="27"/>
      <c r="F57" s="25"/>
      <c r="G57" s="27"/>
      <c r="H57" s="25"/>
      <c r="I57" s="23"/>
    </row>
    <row r="58" spans="1:9" x14ac:dyDescent="0.3">
      <c r="A58" s="3">
        <v>52</v>
      </c>
      <c r="B58" s="25"/>
      <c r="C58" s="27"/>
      <c r="D58" s="25"/>
      <c r="E58" s="27"/>
      <c r="F58" s="25"/>
      <c r="G58" s="27"/>
      <c r="H58" s="25"/>
      <c r="I58" s="23"/>
    </row>
    <row r="59" spans="1:9" x14ac:dyDescent="0.3">
      <c r="A59" s="3">
        <v>53</v>
      </c>
      <c r="B59" s="25"/>
      <c r="C59" s="27"/>
      <c r="D59" s="25"/>
      <c r="E59" s="27"/>
      <c r="F59" s="25"/>
      <c r="G59" s="27"/>
      <c r="H59" s="25"/>
      <c r="I59" s="23"/>
    </row>
    <row r="60" spans="1:9" x14ac:dyDescent="0.3">
      <c r="A60" s="3">
        <v>54</v>
      </c>
      <c r="B60" s="25"/>
      <c r="C60" s="27"/>
      <c r="D60" s="25"/>
      <c r="E60" s="27"/>
      <c r="F60" s="25"/>
      <c r="G60" s="27"/>
      <c r="H60" s="25"/>
      <c r="I60" s="23"/>
    </row>
    <row r="61" spans="1:9" x14ac:dyDescent="0.3">
      <c r="A61" s="303">
        <v>55</v>
      </c>
      <c r="B61" s="32"/>
      <c r="C61" s="33"/>
      <c r="D61" s="32"/>
      <c r="E61" s="33"/>
      <c r="F61" s="32"/>
      <c r="G61" s="33"/>
      <c r="H61" s="32"/>
      <c r="I61" s="34"/>
    </row>
    <row r="62" spans="1:9" x14ac:dyDescent="0.3">
      <c r="A62" s="3">
        <v>56</v>
      </c>
      <c r="B62" s="25"/>
      <c r="C62" s="27"/>
      <c r="D62" s="25"/>
      <c r="E62" s="27"/>
      <c r="F62" s="25"/>
      <c r="G62" s="27"/>
      <c r="H62" s="25"/>
      <c r="I62" s="23"/>
    </row>
    <row r="63" spans="1:9" x14ac:dyDescent="0.3">
      <c r="A63" s="3">
        <v>57</v>
      </c>
      <c r="B63" s="25"/>
      <c r="C63" s="27"/>
      <c r="D63" s="25"/>
      <c r="E63" s="27"/>
      <c r="F63" s="25"/>
      <c r="G63" s="27"/>
      <c r="H63" s="25"/>
      <c r="I63" s="23"/>
    </row>
    <row r="64" spans="1:9" x14ac:dyDescent="0.3">
      <c r="A64" s="3">
        <v>58</v>
      </c>
      <c r="B64" s="25"/>
      <c r="C64" s="27"/>
      <c r="D64" s="25"/>
      <c r="E64" s="27"/>
      <c r="F64" s="25"/>
      <c r="G64" s="27"/>
      <c r="H64" s="25"/>
      <c r="I64" s="23"/>
    </row>
    <row r="65" spans="1:9" x14ac:dyDescent="0.3">
      <c r="A65" s="3">
        <v>59</v>
      </c>
      <c r="B65" s="25"/>
      <c r="C65" s="27"/>
      <c r="D65" s="25"/>
      <c r="E65" s="27"/>
      <c r="F65" s="25"/>
      <c r="G65" s="27"/>
      <c r="H65" s="25"/>
      <c r="I65" s="23"/>
    </row>
    <row r="66" spans="1:9" x14ac:dyDescent="0.3">
      <c r="A66" s="303">
        <v>60</v>
      </c>
      <c r="B66" s="32"/>
      <c r="C66" s="33"/>
      <c r="D66" s="32"/>
      <c r="E66" s="33"/>
      <c r="F66" s="32"/>
      <c r="G66" s="33"/>
      <c r="H66" s="32"/>
      <c r="I66" s="34"/>
    </row>
    <row r="67" spans="1:9" x14ac:dyDescent="0.3">
      <c r="A67" s="3">
        <v>61</v>
      </c>
      <c r="B67" s="25"/>
      <c r="C67" s="27"/>
      <c r="D67" s="25"/>
      <c r="E67" s="27"/>
      <c r="F67" s="25"/>
      <c r="G67" s="27"/>
      <c r="H67" s="25"/>
      <c r="I67" s="23"/>
    </row>
    <row r="68" spans="1:9" x14ac:dyDescent="0.3">
      <c r="A68" s="3">
        <v>62</v>
      </c>
      <c r="B68" s="25"/>
      <c r="C68" s="27"/>
      <c r="D68" s="25"/>
      <c r="E68" s="27"/>
      <c r="F68" s="25"/>
      <c r="G68" s="27"/>
      <c r="H68" s="25"/>
      <c r="I68" s="23"/>
    </row>
    <row r="69" spans="1:9" x14ac:dyDescent="0.3">
      <c r="A69" s="3">
        <v>63</v>
      </c>
      <c r="B69" s="25"/>
      <c r="C69" s="27"/>
      <c r="D69" s="25"/>
      <c r="E69" s="27"/>
      <c r="F69" s="25"/>
      <c r="G69" s="27"/>
      <c r="H69" s="25"/>
      <c r="I69" s="23"/>
    </row>
    <row r="70" spans="1:9" x14ac:dyDescent="0.3">
      <c r="A70" s="3">
        <v>64</v>
      </c>
      <c r="B70" s="25"/>
      <c r="C70" s="27"/>
      <c r="D70" s="25"/>
      <c r="E70" s="27"/>
      <c r="F70" s="25"/>
      <c r="G70" s="27"/>
      <c r="H70" s="25"/>
      <c r="I70" s="23"/>
    </row>
    <row r="71" spans="1:9" x14ac:dyDescent="0.3">
      <c r="A71" s="303">
        <v>65</v>
      </c>
      <c r="B71" s="32"/>
      <c r="C71" s="33"/>
      <c r="D71" s="32"/>
      <c r="E71" s="33"/>
      <c r="F71" s="32"/>
      <c r="G71" s="33"/>
      <c r="H71" s="32"/>
      <c r="I71" s="34"/>
    </row>
    <row r="72" spans="1:9" x14ac:dyDescent="0.3">
      <c r="A72" s="3">
        <v>66</v>
      </c>
      <c r="B72" s="25"/>
      <c r="C72" s="27"/>
      <c r="D72" s="25"/>
      <c r="E72" s="27"/>
      <c r="F72" s="25"/>
      <c r="G72" s="27"/>
      <c r="H72" s="25"/>
      <c r="I72" s="23"/>
    </row>
    <row r="73" spans="1:9" x14ac:dyDescent="0.3">
      <c r="A73" s="3">
        <v>67</v>
      </c>
      <c r="B73" s="25"/>
      <c r="C73" s="27"/>
      <c r="D73" s="25"/>
      <c r="E73" s="27"/>
      <c r="F73" s="25"/>
      <c r="G73" s="27"/>
      <c r="H73" s="25"/>
      <c r="I73" s="23"/>
    </row>
    <row r="74" spans="1:9" x14ac:dyDescent="0.3">
      <c r="A74" s="3">
        <v>68</v>
      </c>
      <c r="B74" s="25"/>
      <c r="C74" s="27"/>
      <c r="D74" s="25"/>
      <c r="E74" s="27"/>
      <c r="F74" s="25"/>
      <c r="G74" s="27"/>
      <c r="H74" s="25"/>
      <c r="I74" s="23"/>
    </row>
    <row r="75" spans="1:9" x14ac:dyDescent="0.3">
      <c r="A75" s="3">
        <v>69</v>
      </c>
      <c r="B75" s="25"/>
      <c r="C75" s="27"/>
      <c r="D75" s="25"/>
      <c r="E75" s="27"/>
      <c r="F75" s="25"/>
      <c r="G75" s="27"/>
      <c r="H75" s="25"/>
      <c r="I75" s="23"/>
    </row>
    <row r="76" spans="1:9" x14ac:dyDescent="0.3">
      <c r="A76" s="303">
        <v>70</v>
      </c>
      <c r="B76" s="32"/>
      <c r="C76" s="33"/>
      <c r="D76" s="32"/>
      <c r="E76" s="33"/>
      <c r="F76" s="32"/>
      <c r="G76" s="33"/>
      <c r="H76" s="32"/>
      <c r="I76" s="34"/>
    </row>
    <row r="77" spans="1:9" x14ac:dyDescent="0.3">
      <c r="A77" s="3">
        <v>71</v>
      </c>
      <c r="B77" s="25"/>
      <c r="C77" s="27"/>
      <c r="D77" s="25"/>
      <c r="E77" s="27"/>
      <c r="F77" s="25"/>
      <c r="G77" s="27"/>
      <c r="H77" s="25"/>
      <c r="I77" s="23"/>
    </row>
    <row r="78" spans="1:9" x14ac:dyDescent="0.3">
      <c r="A78" s="3">
        <v>72</v>
      </c>
      <c r="B78" s="25"/>
      <c r="C78" s="27"/>
      <c r="D78" s="25"/>
      <c r="E78" s="27"/>
      <c r="F78" s="25"/>
      <c r="G78" s="27"/>
      <c r="H78" s="25"/>
      <c r="I78" s="23"/>
    </row>
    <row r="79" spans="1:9" x14ac:dyDescent="0.3">
      <c r="A79" s="3">
        <v>73</v>
      </c>
      <c r="B79" s="25"/>
      <c r="C79" s="27"/>
      <c r="D79" s="25"/>
      <c r="E79" s="27"/>
      <c r="F79" s="25"/>
      <c r="G79" s="27"/>
      <c r="H79" s="25"/>
      <c r="I79" s="23"/>
    </row>
    <row r="80" spans="1:9" x14ac:dyDescent="0.3">
      <c r="A80" s="3">
        <v>74</v>
      </c>
      <c r="B80" s="25"/>
      <c r="C80" s="27"/>
      <c r="D80" s="25"/>
      <c r="E80" s="27"/>
      <c r="F80" s="25"/>
      <c r="G80" s="27"/>
      <c r="H80" s="25"/>
      <c r="I80" s="23"/>
    </row>
    <row r="81" spans="1:9" x14ac:dyDescent="0.3">
      <c r="A81" s="303">
        <v>75</v>
      </c>
      <c r="B81" s="32"/>
      <c r="C81" s="33"/>
      <c r="D81" s="32"/>
      <c r="E81" s="33"/>
      <c r="F81" s="32"/>
      <c r="G81" s="33"/>
      <c r="H81" s="32"/>
      <c r="I81" s="34"/>
    </row>
    <row r="82" spans="1:9" x14ac:dyDescent="0.3">
      <c r="A82" s="3">
        <v>76</v>
      </c>
      <c r="B82" s="25"/>
      <c r="C82" s="27"/>
      <c r="D82" s="25"/>
      <c r="E82" s="27"/>
      <c r="F82" s="25"/>
      <c r="G82" s="27"/>
      <c r="H82" s="25"/>
      <c r="I82" s="23"/>
    </row>
    <row r="83" spans="1:9" x14ac:dyDescent="0.3">
      <c r="A83" s="3">
        <v>77</v>
      </c>
      <c r="B83" s="25"/>
      <c r="C83" s="27"/>
      <c r="D83" s="25"/>
      <c r="E83" s="27"/>
      <c r="F83" s="25"/>
      <c r="G83" s="27"/>
      <c r="H83" s="25"/>
      <c r="I83" s="23"/>
    </row>
    <row r="84" spans="1:9" x14ac:dyDescent="0.3">
      <c r="A84" s="3">
        <v>78</v>
      </c>
      <c r="B84" s="25"/>
      <c r="C84" s="27"/>
      <c r="D84" s="25"/>
      <c r="E84" s="27"/>
      <c r="F84" s="25"/>
      <c r="G84" s="27"/>
      <c r="H84" s="25"/>
      <c r="I84" s="23"/>
    </row>
    <row r="85" spans="1:9" ht="16.8" thickBot="1" x14ac:dyDescent="0.35">
      <c r="A85" s="4">
        <v>79</v>
      </c>
      <c r="B85" s="26"/>
      <c r="C85" s="28"/>
      <c r="D85" s="26"/>
      <c r="E85" s="28"/>
      <c r="F85" s="26"/>
      <c r="G85" s="28"/>
      <c r="H85" s="26"/>
      <c r="I85" s="24"/>
    </row>
  </sheetData>
  <mergeCells count="6">
    <mergeCell ref="A1:I1"/>
    <mergeCell ref="A2:I2"/>
    <mergeCell ref="B4:C4"/>
    <mergeCell ref="D4:E4"/>
    <mergeCell ref="F4:G4"/>
    <mergeCell ref="H4:I4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85"/>
  <sheetViews>
    <sheetView showGridLines="0" zoomScale="80" zoomScaleNormal="80" workbookViewId="0">
      <selection sqref="A1:I1"/>
    </sheetView>
  </sheetViews>
  <sheetFormatPr defaultColWidth="11.109375" defaultRowHeight="16.2" x14ac:dyDescent="0.3"/>
  <cols>
    <col min="1" max="16384" width="11.109375" style="1"/>
  </cols>
  <sheetData>
    <row r="1" spans="1:9" ht="28.2" x14ac:dyDescent="0.3">
      <c r="A1" s="495" t="s">
        <v>0</v>
      </c>
      <c r="B1" s="495"/>
      <c r="C1" s="495"/>
      <c r="D1" s="495"/>
      <c r="E1" s="495"/>
      <c r="F1" s="495"/>
      <c r="G1" s="495"/>
      <c r="H1" s="495"/>
      <c r="I1" s="495"/>
    </row>
    <row r="2" spans="1:9" ht="22.2" x14ac:dyDescent="0.3">
      <c r="A2" s="496" t="s">
        <v>389</v>
      </c>
      <c r="B2" s="496"/>
      <c r="C2" s="496"/>
      <c r="D2" s="496"/>
      <c r="E2" s="496"/>
      <c r="F2" s="496"/>
      <c r="G2" s="496"/>
      <c r="H2" s="496"/>
      <c r="I2" s="496"/>
    </row>
    <row r="3" spans="1:9" ht="16.8" thickBot="1" x14ac:dyDescent="0.35">
      <c r="I3" s="2"/>
    </row>
    <row r="4" spans="1:9" x14ac:dyDescent="0.3">
      <c r="A4" s="11" t="s">
        <v>3</v>
      </c>
      <c r="B4" s="461" t="s">
        <v>4</v>
      </c>
      <c r="C4" s="497"/>
      <c r="D4" s="461" t="s">
        <v>5</v>
      </c>
      <c r="E4" s="497"/>
      <c r="F4" s="461" t="s">
        <v>6</v>
      </c>
      <c r="G4" s="497"/>
      <c r="H4" s="461" t="s">
        <v>7</v>
      </c>
      <c r="I4" s="498"/>
    </row>
    <row r="5" spans="1:9" ht="16.8" thickBot="1" x14ac:dyDescent="0.35">
      <c r="A5" s="12" t="s">
        <v>8</v>
      </c>
      <c r="B5" s="8" t="s">
        <v>9</v>
      </c>
      <c r="C5" s="13" t="s">
        <v>10</v>
      </c>
      <c r="D5" s="8" t="s">
        <v>9</v>
      </c>
      <c r="E5" s="13" t="s">
        <v>10</v>
      </c>
      <c r="F5" s="8" t="s">
        <v>9</v>
      </c>
      <c r="G5" s="13" t="s">
        <v>10</v>
      </c>
      <c r="H5" s="8" t="s">
        <v>9</v>
      </c>
      <c r="I5" s="7" t="s">
        <v>10</v>
      </c>
    </row>
    <row r="6" spans="1:9" ht="16.8" thickTop="1" x14ac:dyDescent="0.3">
      <c r="A6" s="16">
        <v>0</v>
      </c>
      <c r="B6" s="29"/>
      <c r="C6" s="30"/>
      <c r="D6" s="29"/>
      <c r="E6" s="30"/>
      <c r="F6" s="29"/>
      <c r="G6" s="30"/>
      <c r="H6" s="29"/>
      <c r="I6" s="31"/>
    </row>
    <row r="7" spans="1:9" x14ac:dyDescent="0.3">
      <c r="A7" s="3">
        <v>1</v>
      </c>
      <c r="B7" s="25"/>
      <c r="C7" s="27"/>
      <c r="D7" s="25"/>
      <c r="E7" s="27"/>
      <c r="F7" s="25"/>
      <c r="G7" s="27"/>
      <c r="H7" s="25"/>
      <c r="I7" s="23"/>
    </row>
    <row r="8" spans="1:9" x14ac:dyDescent="0.3">
      <c r="A8" s="3">
        <v>2</v>
      </c>
      <c r="B8" s="25"/>
      <c r="C8" s="27"/>
      <c r="D8" s="25"/>
      <c r="E8" s="27"/>
      <c r="F8" s="25"/>
      <c r="G8" s="27"/>
      <c r="H8" s="25"/>
      <c r="I8" s="23"/>
    </row>
    <row r="9" spans="1:9" x14ac:dyDescent="0.3">
      <c r="A9" s="3">
        <v>3</v>
      </c>
      <c r="B9" s="25"/>
      <c r="C9" s="27"/>
      <c r="D9" s="25"/>
      <c r="E9" s="27"/>
      <c r="F9" s="25"/>
      <c r="G9" s="27"/>
      <c r="H9" s="25"/>
      <c r="I9" s="23"/>
    </row>
    <row r="10" spans="1:9" x14ac:dyDescent="0.3">
      <c r="A10" s="3">
        <v>4</v>
      </c>
      <c r="B10" s="25"/>
      <c r="C10" s="27"/>
      <c r="D10" s="25"/>
      <c r="E10" s="27"/>
      <c r="F10" s="25"/>
      <c r="G10" s="27"/>
      <c r="H10" s="25"/>
      <c r="I10" s="23"/>
    </row>
    <row r="11" spans="1:9" x14ac:dyDescent="0.3">
      <c r="A11" s="303">
        <v>5</v>
      </c>
      <c r="B11" s="32"/>
      <c r="C11" s="33"/>
      <c r="D11" s="32"/>
      <c r="E11" s="33"/>
      <c r="F11" s="32"/>
      <c r="G11" s="33"/>
      <c r="H11" s="32"/>
      <c r="I11" s="34"/>
    </row>
    <row r="12" spans="1:9" x14ac:dyDescent="0.3">
      <c r="A12" s="3">
        <v>6</v>
      </c>
      <c r="B12" s="25"/>
      <c r="C12" s="27"/>
      <c r="D12" s="25"/>
      <c r="E12" s="27"/>
      <c r="F12" s="25"/>
      <c r="G12" s="27"/>
      <c r="H12" s="25"/>
      <c r="I12" s="23"/>
    </row>
    <row r="13" spans="1:9" x14ac:dyDescent="0.3">
      <c r="A13" s="3">
        <v>7</v>
      </c>
      <c r="B13" s="25"/>
      <c r="C13" s="27"/>
      <c r="D13" s="25"/>
      <c r="E13" s="27"/>
      <c r="F13" s="25"/>
      <c r="G13" s="27"/>
      <c r="H13" s="25"/>
      <c r="I13" s="23"/>
    </row>
    <row r="14" spans="1:9" x14ac:dyDescent="0.3">
      <c r="A14" s="3">
        <v>8</v>
      </c>
      <c r="B14" s="25"/>
      <c r="C14" s="27"/>
      <c r="D14" s="25"/>
      <c r="E14" s="27"/>
      <c r="F14" s="25"/>
      <c r="G14" s="27"/>
      <c r="H14" s="25"/>
      <c r="I14" s="23"/>
    </row>
    <row r="15" spans="1:9" x14ac:dyDescent="0.3">
      <c r="A15" s="3">
        <v>9</v>
      </c>
      <c r="B15" s="25"/>
      <c r="C15" s="27"/>
      <c r="D15" s="25"/>
      <c r="E15" s="27"/>
      <c r="F15" s="25"/>
      <c r="G15" s="27"/>
      <c r="H15" s="25"/>
      <c r="I15" s="23"/>
    </row>
    <row r="16" spans="1:9" x14ac:dyDescent="0.3">
      <c r="A16" s="303">
        <v>10</v>
      </c>
      <c r="B16" s="32"/>
      <c r="C16" s="33"/>
      <c r="D16" s="32"/>
      <c r="E16" s="33"/>
      <c r="F16" s="32"/>
      <c r="G16" s="33"/>
      <c r="H16" s="32"/>
      <c r="I16" s="34"/>
    </row>
    <row r="17" spans="1:9" x14ac:dyDescent="0.3">
      <c r="A17" s="3">
        <v>11</v>
      </c>
      <c r="B17" s="25"/>
      <c r="C17" s="27"/>
      <c r="D17" s="25"/>
      <c r="E17" s="27"/>
      <c r="F17" s="25"/>
      <c r="G17" s="27"/>
      <c r="H17" s="25"/>
      <c r="I17" s="23"/>
    </row>
    <row r="18" spans="1:9" x14ac:dyDescent="0.3">
      <c r="A18" s="3">
        <v>12</v>
      </c>
      <c r="B18" s="25"/>
      <c r="C18" s="27"/>
      <c r="D18" s="25"/>
      <c r="E18" s="27"/>
      <c r="F18" s="25"/>
      <c r="G18" s="27"/>
      <c r="H18" s="25"/>
      <c r="I18" s="23"/>
    </row>
    <row r="19" spans="1:9" x14ac:dyDescent="0.3">
      <c r="A19" s="3">
        <v>13</v>
      </c>
      <c r="B19" s="25"/>
      <c r="C19" s="27"/>
      <c r="D19" s="25"/>
      <c r="E19" s="27"/>
      <c r="F19" s="25"/>
      <c r="G19" s="27"/>
      <c r="H19" s="25"/>
      <c r="I19" s="23"/>
    </row>
    <row r="20" spans="1:9" x14ac:dyDescent="0.3">
      <c r="A20" s="3">
        <v>14</v>
      </c>
      <c r="B20" s="25"/>
      <c r="C20" s="27"/>
      <c r="D20" s="25"/>
      <c r="E20" s="27"/>
      <c r="F20" s="25"/>
      <c r="G20" s="27"/>
      <c r="H20" s="25"/>
      <c r="I20" s="23"/>
    </row>
    <row r="21" spans="1:9" x14ac:dyDescent="0.3">
      <c r="A21" s="303">
        <v>15</v>
      </c>
      <c r="B21" s="32"/>
      <c r="C21" s="33"/>
      <c r="D21" s="32"/>
      <c r="E21" s="33"/>
      <c r="F21" s="32"/>
      <c r="G21" s="33"/>
      <c r="H21" s="32"/>
      <c r="I21" s="34"/>
    </row>
    <row r="22" spans="1:9" x14ac:dyDescent="0.3">
      <c r="A22" s="3">
        <v>16</v>
      </c>
      <c r="B22" s="25"/>
      <c r="C22" s="27"/>
      <c r="D22" s="25"/>
      <c r="E22" s="27"/>
      <c r="F22" s="25"/>
      <c r="G22" s="27"/>
      <c r="H22" s="25"/>
      <c r="I22" s="23"/>
    </row>
    <row r="23" spans="1:9" x14ac:dyDescent="0.3">
      <c r="A23" s="3">
        <v>17</v>
      </c>
      <c r="B23" s="25"/>
      <c r="C23" s="27"/>
      <c r="D23" s="25"/>
      <c r="E23" s="27"/>
      <c r="F23" s="25"/>
      <c r="G23" s="27"/>
      <c r="H23" s="25"/>
      <c r="I23" s="23"/>
    </row>
    <row r="24" spans="1:9" x14ac:dyDescent="0.3">
      <c r="A24" s="3">
        <v>18</v>
      </c>
      <c r="B24" s="25"/>
      <c r="C24" s="27"/>
      <c r="D24" s="25"/>
      <c r="E24" s="27"/>
      <c r="F24" s="25"/>
      <c r="G24" s="27"/>
      <c r="H24" s="25"/>
      <c r="I24" s="23"/>
    </row>
    <row r="25" spans="1:9" x14ac:dyDescent="0.3">
      <c r="A25" s="3">
        <v>19</v>
      </c>
      <c r="B25" s="25"/>
      <c r="C25" s="27"/>
      <c r="D25" s="25"/>
      <c r="E25" s="27"/>
      <c r="F25" s="25"/>
      <c r="G25" s="27"/>
      <c r="H25" s="25"/>
      <c r="I25" s="23"/>
    </row>
    <row r="26" spans="1:9" x14ac:dyDescent="0.3">
      <c r="A26" s="303">
        <v>20</v>
      </c>
      <c r="B26" s="32"/>
      <c r="C26" s="33"/>
      <c r="D26" s="32"/>
      <c r="E26" s="33"/>
      <c r="F26" s="32"/>
      <c r="G26" s="33"/>
      <c r="H26" s="32"/>
      <c r="I26" s="34"/>
    </row>
    <row r="27" spans="1:9" x14ac:dyDescent="0.3">
      <c r="A27" s="3">
        <v>21</v>
      </c>
      <c r="B27" s="25"/>
      <c r="C27" s="27"/>
      <c r="D27" s="25"/>
      <c r="E27" s="27"/>
      <c r="F27" s="25"/>
      <c r="G27" s="27"/>
      <c r="H27" s="25"/>
      <c r="I27" s="23"/>
    </row>
    <row r="28" spans="1:9" x14ac:dyDescent="0.3">
      <c r="A28" s="3">
        <v>22</v>
      </c>
      <c r="B28" s="25"/>
      <c r="C28" s="27"/>
      <c r="D28" s="25"/>
      <c r="E28" s="27"/>
      <c r="F28" s="25"/>
      <c r="G28" s="27"/>
      <c r="H28" s="25"/>
      <c r="I28" s="23"/>
    </row>
    <row r="29" spans="1:9" x14ac:dyDescent="0.3">
      <c r="A29" s="3">
        <v>23</v>
      </c>
      <c r="B29" s="25"/>
      <c r="C29" s="27"/>
      <c r="D29" s="25"/>
      <c r="E29" s="27"/>
      <c r="F29" s="25"/>
      <c r="G29" s="27"/>
      <c r="H29" s="25"/>
      <c r="I29" s="23"/>
    </row>
    <row r="30" spans="1:9" x14ac:dyDescent="0.3">
      <c r="A30" s="3">
        <v>24</v>
      </c>
      <c r="B30" s="25"/>
      <c r="C30" s="27"/>
      <c r="D30" s="25"/>
      <c r="E30" s="27"/>
      <c r="F30" s="25"/>
      <c r="G30" s="27"/>
      <c r="H30" s="25"/>
      <c r="I30" s="23"/>
    </row>
    <row r="31" spans="1:9" x14ac:dyDescent="0.3">
      <c r="A31" s="303">
        <v>25</v>
      </c>
      <c r="B31" s="32"/>
      <c r="C31" s="33"/>
      <c r="D31" s="32"/>
      <c r="E31" s="33"/>
      <c r="F31" s="32"/>
      <c r="G31" s="33"/>
      <c r="H31" s="32"/>
      <c r="I31" s="34"/>
    </row>
    <row r="32" spans="1:9" x14ac:dyDescent="0.3">
      <c r="A32" s="3">
        <v>26</v>
      </c>
      <c r="B32" s="25"/>
      <c r="C32" s="27"/>
      <c r="D32" s="25"/>
      <c r="E32" s="27"/>
      <c r="F32" s="25"/>
      <c r="G32" s="27"/>
      <c r="H32" s="25"/>
      <c r="I32" s="23"/>
    </row>
    <row r="33" spans="1:9" x14ac:dyDescent="0.3">
      <c r="A33" s="3">
        <v>27</v>
      </c>
      <c r="B33" s="25"/>
      <c r="C33" s="27"/>
      <c r="D33" s="25"/>
      <c r="E33" s="27"/>
      <c r="F33" s="25"/>
      <c r="G33" s="27"/>
      <c r="H33" s="25"/>
      <c r="I33" s="23"/>
    </row>
    <row r="34" spans="1:9" x14ac:dyDescent="0.3">
      <c r="A34" s="3">
        <v>28</v>
      </c>
      <c r="B34" s="25"/>
      <c r="C34" s="27"/>
      <c r="D34" s="25"/>
      <c r="E34" s="27"/>
      <c r="F34" s="25"/>
      <c r="G34" s="27"/>
      <c r="H34" s="25"/>
      <c r="I34" s="23"/>
    </row>
    <row r="35" spans="1:9" x14ac:dyDescent="0.3">
      <c r="A35" s="3">
        <v>29</v>
      </c>
      <c r="B35" s="25"/>
      <c r="C35" s="27"/>
      <c r="D35" s="25"/>
      <c r="E35" s="27"/>
      <c r="F35" s="25"/>
      <c r="G35" s="27"/>
      <c r="H35" s="25"/>
      <c r="I35" s="23"/>
    </row>
    <row r="36" spans="1:9" x14ac:dyDescent="0.3">
      <c r="A36" s="303">
        <v>30</v>
      </c>
      <c r="B36" s="32"/>
      <c r="C36" s="33"/>
      <c r="D36" s="32"/>
      <c r="E36" s="33"/>
      <c r="F36" s="32"/>
      <c r="G36" s="33"/>
      <c r="H36" s="32"/>
      <c r="I36" s="34"/>
    </row>
    <row r="37" spans="1:9" x14ac:dyDescent="0.3">
      <c r="A37" s="3">
        <v>31</v>
      </c>
      <c r="B37" s="25"/>
      <c r="C37" s="27"/>
      <c r="D37" s="25"/>
      <c r="E37" s="27"/>
      <c r="F37" s="25"/>
      <c r="G37" s="27"/>
      <c r="H37" s="25"/>
      <c r="I37" s="23"/>
    </row>
    <row r="38" spans="1:9" x14ac:dyDescent="0.3">
      <c r="A38" s="3">
        <v>32</v>
      </c>
      <c r="B38" s="25"/>
      <c r="C38" s="27"/>
      <c r="D38" s="25"/>
      <c r="E38" s="27"/>
      <c r="F38" s="25"/>
      <c r="G38" s="27"/>
      <c r="H38" s="25"/>
      <c r="I38" s="23"/>
    </row>
    <row r="39" spans="1:9" x14ac:dyDescent="0.3">
      <c r="A39" s="3">
        <v>33</v>
      </c>
      <c r="B39" s="25"/>
      <c r="C39" s="27"/>
      <c r="D39" s="25"/>
      <c r="E39" s="27"/>
      <c r="F39" s="25"/>
      <c r="G39" s="27"/>
      <c r="H39" s="25"/>
      <c r="I39" s="23"/>
    </row>
    <row r="40" spans="1:9" x14ac:dyDescent="0.3">
      <c r="A40" s="3">
        <v>34</v>
      </c>
      <c r="B40" s="25"/>
      <c r="C40" s="27"/>
      <c r="D40" s="25"/>
      <c r="E40" s="27"/>
      <c r="F40" s="25"/>
      <c r="G40" s="27"/>
      <c r="H40" s="25"/>
      <c r="I40" s="23"/>
    </row>
    <row r="41" spans="1:9" x14ac:dyDescent="0.3">
      <c r="A41" s="303">
        <v>35</v>
      </c>
      <c r="B41" s="32"/>
      <c r="C41" s="33"/>
      <c r="D41" s="32"/>
      <c r="E41" s="33"/>
      <c r="F41" s="32"/>
      <c r="G41" s="33"/>
      <c r="H41" s="32"/>
      <c r="I41" s="34"/>
    </row>
    <row r="42" spans="1:9" x14ac:dyDescent="0.3">
      <c r="A42" s="3">
        <v>36</v>
      </c>
      <c r="B42" s="25"/>
      <c r="C42" s="27"/>
      <c r="D42" s="25"/>
      <c r="E42" s="27"/>
      <c r="F42" s="25"/>
      <c r="G42" s="27"/>
      <c r="H42" s="25"/>
      <c r="I42" s="23"/>
    </row>
    <row r="43" spans="1:9" x14ac:dyDescent="0.3">
      <c r="A43" s="3">
        <v>37</v>
      </c>
      <c r="B43" s="25"/>
      <c r="C43" s="27"/>
      <c r="D43" s="25"/>
      <c r="E43" s="27"/>
      <c r="F43" s="25"/>
      <c r="G43" s="27"/>
      <c r="H43" s="25"/>
      <c r="I43" s="23"/>
    </row>
    <row r="44" spans="1:9" x14ac:dyDescent="0.3">
      <c r="A44" s="3">
        <v>38</v>
      </c>
      <c r="B44" s="25"/>
      <c r="C44" s="27"/>
      <c r="D44" s="25"/>
      <c r="E44" s="27"/>
      <c r="F44" s="25"/>
      <c r="G44" s="27"/>
      <c r="H44" s="25"/>
      <c r="I44" s="23"/>
    </row>
    <row r="45" spans="1:9" x14ac:dyDescent="0.3">
      <c r="A45" s="3">
        <v>39</v>
      </c>
      <c r="B45" s="25"/>
      <c r="C45" s="27"/>
      <c r="D45" s="25"/>
      <c r="E45" s="27"/>
      <c r="F45" s="25"/>
      <c r="G45" s="27"/>
      <c r="H45" s="25"/>
      <c r="I45" s="23"/>
    </row>
    <row r="46" spans="1:9" x14ac:dyDescent="0.3">
      <c r="A46" s="303">
        <v>40</v>
      </c>
      <c r="B46" s="32"/>
      <c r="C46" s="33"/>
      <c r="D46" s="32"/>
      <c r="E46" s="33"/>
      <c r="F46" s="32"/>
      <c r="G46" s="33"/>
      <c r="H46" s="32"/>
      <c r="I46" s="34"/>
    </row>
    <row r="47" spans="1:9" x14ac:dyDescent="0.3">
      <c r="A47" s="3">
        <v>41</v>
      </c>
      <c r="B47" s="25"/>
      <c r="C47" s="27"/>
      <c r="D47" s="25"/>
      <c r="E47" s="27"/>
      <c r="F47" s="25"/>
      <c r="G47" s="27"/>
      <c r="H47" s="25"/>
      <c r="I47" s="23"/>
    </row>
    <row r="48" spans="1:9" x14ac:dyDescent="0.3">
      <c r="A48" s="3">
        <v>42</v>
      </c>
      <c r="B48" s="25"/>
      <c r="C48" s="27"/>
      <c r="D48" s="25"/>
      <c r="E48" s="27"/>
      <c r="F48" s="25"/>
      <c r="G48" s="27"/>
      <c r="H48" s="25"/>
      <c r="I48" s="23"/>
    </row>
    <row r="49" spans="1:9" x14ac:dyDescent="0.3">
      <c r="A49" s="3">
        <v>43</v>
      </c>
      <c r="B49" s="25"/>
      <c r="C49" s="27"/>
      <c r="D49" s="25"/>
      <c r="E49" s="27"/>
      <c r="F49" s="25"/>
      <c r="G49" s="27"/>
      <c r="H49" s="25"/>
      <c r="I49" s="23"/>
    </row>
    <row r="50" spans="1:9" x14ac:dyDescent="0.3">
      <c r="A50" s="3">
        <v>44</v>
      </c>
      <c r="B50" s="25"/>
      <c r="C50" s="27"/>
      <c r="D50" s="25"/>
      <c r="E50" s="27"/>
      <c r="F50" s="25"/>
      <c r="G50" s="27"/>
      <c r="H50" s="25"/>
      <c r="I50" s="23"/>
    </row>
    <row r="51" spans="1:9" x14ac:dyDescent="0.3">
      <c r="A51" s="303">
        <v>45</v>
      </c>
      <c r="B51" s="32"/>
      <c r="C51" s="33"/>
      <c r="D51" s="32"/>
      <c r="E51" s="33"/>
      <c r="F51" s="32"/>
      <c r="G51" s="33"/>
      <c r="H51" s="32"/>
      <c r="I51" s="34"/>
    </row>
    <row r="52" spans="1:9" x14ac:dyDescent="0.3">
      <c r="A52" s="3">
        <v>46</v>
      </c>
      <c r="B52" s="25"/>
      <c r="C52" s="27"/>
      <c r="D52" s="25"/>
      <c r="E52" s="27"/>
      <c r="F52" s="25"/>
      <c r="G52" s="27"/>
      <c r="H52" s="25"/>
      <c r="I52" s="23"/>
    </row>
    <row r="53" spans="1:9" x14ac:dyDescent="0.3">
      <c r="A53" s="3">
        <v>47</v>
      </c>
      <c r="B53" s="25"/>
      <c r="C53" s="27"/>
      <c r="D53" s="25"/>
      <c r="E53" s="27"/>
      <c r="F53" s="25"/>
      <c r="G53" s="27"/>
      <c r="H53" s="25"/>
      <c r="I53" s="23"/>
    </row>
    <row r="54" spans="1:9" x14ac:dyDescent="0.3">
      <c r="A54" s="3">
        <v>48</v>
      </c>
      <c r="B54" s="25"/>
      <c r="C54" s="27"/>
      <c r="D54" s="25"/>
      <c r="E54" s="27"/>
      <c r="F54" s="25"/>
      <c r="G54" s="27"/>
      <c r="H54" s="25"/>
      <c r="I54" s="23"/>
    </row>
    <row r="55" spans="1:9" x14ac:dyDescent="0.3">
      <c r="A55" s="3">
        <v>49</v>
      </c>
      <c r="B55" s="25"/>
      <c r="C55" s="27"/>
      <c r="D55" s="25"/>
      <c r="E55" s="27"/>
      <c r="F55" s="25"/>
      <c r="G55" s="27"/>
      <c r="H55" s="25"/>
      <c r="I55" s="23"/>
    </row>
    <row r="56" spans="1:9" x14ac:dyDescent="0.3">
      <c r="A56" s="303">
        <v>50</v>
      </c>
      <c r="B56" s="32"/>
      <c r="C56" s="33"/>
      <c r="D56" s="32"/>
      <c r="E56" s="33"/>
      <c r="F56" s="32"/>
      <c r="G56" s="33"/>
      <c r="H56" s="32"/>
      <c r="I56" s="34"/>
    </row>
    <row r="57" spans="1:9" x14ac:dyDescent="0.3">
      <c r="A57" s="3">
        <v>51</v>
      </c>
      <c r="B57" s="25"/>
      <c r="C57" s="27"/>
      <c r="D57" s="25"/>
      <c r="E57" s="27"/>
      <c r="F57" s="25"/>
      <c r="G57" s="27"/>
      <c r="H57" s="25"/>
      <c r="I57" s="23"/>
    </row>
    <row r="58" spans="1:9" x14ac:dyDescent="0.3">
      <c r="A58" s="3">
        <v>52</v>
      </c>
      <c r="B58" s="25"/>
      <c r="C58" s="27"/>
      <c r="D58" s="25"/>
      <c r="E58" s="27"/>
      <c r="F58" s="25"/>
      <c r="G58" s="27"/>
      <c r="H58" s="25"/>
      <c r="I58" s="23"/>
    </row>
    <row r="59" spans="1:9" x14ac:dyDescent="0.3">
      <c r="A59" s="3">
        <v>53</v>
      </c>
      <c r="B59" s="25"/>
      <c r="C59" s="27"/>
      <c r="D59" s="25"/>
      <c r="E59" s="27"/>
      <c r="F59" s="25"/>
      <c r="G59" s="27"/>
      <c r="H59" s="25"/>
      <c r="I59" s="23"/>
    </row>
    <row r="60" spans="1:9" x14ac:dyDescent="0.3">
      <c r="A60" s="3">
        <v>54</v>
      </c>
      <c r="B60" s="25"/>
      <c r="C60" s="27"/>
      <c r="D60" s="25"/>
      <c r="E60" s="27"/>
      <c r="F60" s="25"/>
      <c r="G60" s="27"/>
      <c r="H60" s="25"/>
      <c r="I60" s="23"/>
    </row>
    <row r="61" spans="1:9" x14ac:dyDescent="0.3">
      <c r="A61" s="303">
        <v>55</v>
      </c>
      <c r="B61" s="32"/>
      <c r="C61" s="33"/>
      <c r="D61" s="32"/>
      <c r="E61" s="33"/>
      <c r="F61" s="32"/>
      <c r="G61" s="33"/>
      <c r="H61" s="32"/>
      <c r="I61" s="34"/>
    </row>
    <row r="62" spans="1:9" x14ac:dyDescent="0.3">
      <c r="A62" s="3">
        <v>56</v>
      </c>
      <c r="B62" s="25"/>
      <c r="C62" s="27"/>
      <c r="D62" s="25"/>
      <c r="E62" s="27"/>
      <c r="F62" s="25"/>
      <c r="G62" s="27"/>
      <c r="H62" s="25"/>
      <c r="I62" s="23"/>
    </row>
    <row r="63" spans="1:9" x14ac:dyDescent="0.3">
      <c r="A63" s="3">
        <v>57</v>
      </c>
      <c r="B63" s="25"/>
      <c r="C63" s="27"/>
      <c r="D63" s="25"/>
      <c r="E63" s="27"/>
      <c r="F63" s="25"/>
      <c r="G63" s="27"/>
      <c r="H63" s="25"/>
      <c r="I63" s="23"/>
    </row>
    <row r="64" spans="1:9" x14ac:dyDescent="0.3">
      <c r="A64" s="3">
        <v>58</v>
      </c>
      <c r="B64" s="25"/>
      <c r="C64" s="27"/>
      <c r="D64" s="25"/>
      <c r="E64" s="27"/>
      <c r="F64" s="25"/>
      <c r="G64" s="27"/>
      <c r="H64" s="25"/>
      <c r="I64" s="23"/>
    </row>
    <row r="65" spans="1:9" x14ac:dyDescent="0.3">
      <c r="A65" s="3">
        <v>59</v>
      </c>
      <c r="B65" s="25"/>
      <c r="C65" s="27"/>
      <c r="D65" s="25"/>
      <c r="E65" s="27"/>
      <c r="F65" s="25"/>
      <c r="G65" s="27"/>
      <c r="H65" s="25"/>
      <c r="I65" s="23"/>
    </row>
    <row r="66" spans="1:9" x14ac:dyDescent="0.3">
      <c r="A66" s="303">
        <v>60</v>
      </c>
      <c r="B66" s="32"/>
      <c r="C66" s="33"/>
      <c r="D66" s="32"/>
      <c r="E66" s="33"/>
      <c r="F66" s="32"/>
      <c r="G66" s="33"/>
      <c r="H66" s="32"/>
      <c r="I66" s="34"/>
    </row>
    <row r="67" spans="1:9" x14ac:dyDescent="0.3">
      <c r="A67" s="3">
        <v>61</v>
      </c>
      <c r="B67" s="25"/>
      <c r="C67" s="27"/>
      <c r="D67" s="25"/>
      <c r="E67" s="27"/>
      <c r="F67" s="25"/>
      <c r="G67" s="27"/>
      <c r="H67" s="25"/>
      <c r="I67" s="23"/>
    </row>
    <row r="68" spans="1:9" x14ac:dyDescent="0.3">
      <c r="A68" s="3">
        <v>62</v>
      </c>
      <c r="B68" s="25"/>
      <c r="C68" s="27"/>
      <c r="D68" s="25"/>
      <c r="E68" s="27"/>
      <c r="F68" s="25"/>
      <c r="G68" s="27"/>
      <c r="H68" s="25"/>
      <c r="I68" s="23"/>
    </row>
    <row r="69" spans="1:9" x14ac:dyDescent="0.3">
      <c r="A69" s="3">
        <v>63</v>
      </c>
      <c r="B69" s="25"/>
      <c r="C69" s="27"/>
      <c r="D69" s="25"/>
      <c r="E69" s="27"/>
      <c r="F69" s="25"/>
      <c r="G69" s="27"/>
      <c r="H69" s="25"/>
      <c r="I69" s="23"/>
    </row>
    <row r="70" spans="1:9" x14ac:dyDescent="0.3">
      <c r="A70" s="3">
        <v>64</v>
      </c>
      <c r="B70" s="25"/>
      <c r="C70" s="27"/>
      <c r="D70" s="25"/>
      <c r="E70" s="27"/>
      <c r="F70" s="25"/>
      <c r="G70" s="27"/>
      <c r="H70" s="25"/>
      <c r="I70" s="23"/>
    </row>
    <row r="71" spans="1:9" x14ac:dyDescent="0.3">
      <c r="A71" s="303">
        <v>65</v>
      </c>
      <c r="B71" s="32"/>
      <c r="C71" s="33"/>
      <c r="D71" s="32"/>
      <c r="E71" s="33"/>
      <c r="F71" s="32"/>
      <c r="G71" s="33"/>
      <c r="H71" s="32"/>
      <c r="I71" s="34"/>
    </row>
    <row r="72" spans="1:9" x14ac:dyDescent="0.3">
      <c r="A72" s="3">
        <v>66</v>
      </c>
      <c r="B72" s="25"/>
      <c r="C72" s="27"/>
      <c r="D72" s="25"/>
      <c r="E72" s="27"/>
      <c r="F72" s="25"/>
      <c r="G72" s="27"/>
      <c r="H72" s="25"/>
      <c r="I72" s="23"/>
    </row>
    <row r="73" spans="1:9" x14ac:dyDescent="0.3">
      <c r="A73" s="3">
        <v>67</v>
      </c>
      <c r="B73" s="25"/>
      <c r="C73" s="27"/>
      <c r="D73" s="25"/>
      <c r="E73" s="27"/>
      <c r="F73" s="25"/>
      <c r="G73" s="27"/>
      <c r="H73" s="25"/>
      <c r="I73" s="23"/>
    </row>
    <row r="74" spans="1:9" x14ac:dyDescent="0.3">
      <c r="A74" s="3">
        <v>68</v>
      </c>
      <c r="B74" s="25"/>
      <c r="C74" s="27"/>
      <c r="D74" s="25"/>
      <c r="E74" s="27"/>
      <c r="F74" s="25"/>
      <c r="G74" s="27"/>
      <c r="H74" s="25"/>
      <c r="I74" s="23"/>
    </row>
    <row r="75" spans="1:9" x14ac:dyDescent="0.3">
      <c r="A75" s="3">
        <v>69</v>
      </c>
      <c r="B75" s="25"/>
      <c r="C75" s="27"/>
      <c r="D75" s="25"/>
      <c r="E75" s="27"/>
      <c r="F75" s="25"/>
      <c r="G75" s="27"/>
      <c r="H75" s="25"/>
      <c r="I75" s="23"/>
    </row>
    <row r="76" spans="1:9" x14ac:dyDescent="0.3">
      <c r="A76" s="303">
        <v>70</v>
      </c>
      <c r="B76" s="32"/>
      <c r="C76" s="33"/>
      <c r="D76" s="32"/>
      <c r="E76" s="33"/>
      <c r="F76" s="32"/>
      <c r="G76" s="33"/>
      <c r="H76" s="32"/>
      <c r="I76" s="34"/>
    </row>
    <row r="77" spans="1:9" x14ac:dyDescent="0.3">
      <c r="A77" s="3">
        <v>71</v>
      </c>
      <c r="B77" s="25"/>
      <c r="C77" s="27"/>
      <c r="D77" s="25"/>
      <c r="E77" s="27"/>
      <c r="F77" s="25"/>
      <c r="G77" s="27"/>
      <c r="H77" s="25"/>
      <c r="I77" s="23"/>
    </row>
    <row r="78" spans="1:9" x14ac:dyDescent="0.3">
      <c r="A78" s="3">
        <v>72</v>
      </c>
      <c r="B78" s="25"/>
      <c r="C78" s="27"/>
      <c r="D78" s="25"/>
      <c r="E78" s="27"/>
      <c r="F78" s="25"/>
      <c r="G78" s="27"/>
      <c r="H78" s="25"/>
      <c r="I78" s="23"/>
    </row>
    <row r="79" spans="1:9" x14ac:dyDescent="0.3">
      <c r="A79" s="3">
        <v>73</v>
      </c>
      <c r="B79" s="25"/>
      <c r="C79" s="27"/>
      <c r="D79" s="25"/>
      <c r="E79" s="27"/>
      <c r="F79" s="25"/>
      <c r="G79" s="27"/>
      <c r="H79" s="25"/>
      <c r="I79" s="23"/>
    </row>
    <row r="80" spans="1:9" x14ac:dyDescent="0.3">
      <c r="A80" s="3">
        <v>74</v>
      </c>
      <c r="B80" s="25"/>
      <c r="C80" s="27"/>
      <c r="D80" s="25"/>
      <c r="E80" s="27"/>
      <c r="F80" s="25"/>
      <c r="G80" s="27"/>
      <c r="H80" s="25"/>
      <c r="I80" s="23"/>
    </row>
    <row r="81" spans="1:9" x14ac:dyDescent="0.3">
      <c r="A81" s="303">
        <v>75</v>
      </c>
      <c r="B81" s="32"/>
      <c r="C81" s="33"/>
      <c r="D81" s="32"/>
      <c r="E81" s="33"/>
      <c r="F81" s="32"/>
      <c r="G81" s="33"/>
      <c r="H81" s="32"/>
      <c r="I81" s="34"/>
    </row>
    <row r="82" spans="1:9" x14ac:dyDescent="0.3">
      <c r="A82" s="3">
        <v>76</v>
      </c>
      <c r="B82" s="25"/>
      <c r="C82" s="27"/>
      <c r="D82" s="25"/>
      <c r="E82" s="27"/>
      <c r="F82" s="25"/>
      <c r="G82" s="27"/>
      <c r="H82" s="25"/>
      <c r="I82" s="23"/>
    </row>
    <row r="83" spans="1:9" x14ac:dyDescent="0.3">
      <c r="A83" s="3">
        <v>77</v>
      </c>
      <c r="B83" s="25"/>
      <c r="C83" s="27"/>
      <c r="D83" s="25"/>
      <c r="E83" s="27"/>
      <c r="F83" s="25"/>
      <c r="G83" s="27"/>
      <c r="H83" s="25"/>
      <c r="I83" s="23"/>
    </row>
    <row r="84" spans="1:9" x14ac:dyDescent="0.3">
      <c r="A84" s="3">
        <v>78</v>
      </c>
      <c r="B84" s="25"/>
      <c r="C84" s="27"/>
      <c r="D84" s="25"/>
      <c r="E84" s="27"/>
      <c r="F84" s="25"/>
      <c r="G84" s="27"/>
      <c r="H84" s="25"/>
      <c r="I84" s="23"/>
    </row>
    <row r="85" spans="1:9" ht="16.8" thickBot="1" x14ac:dyDescent="0.35">
      <c r="A85" s="4">
        <v>79</v>
      </c>
      <c r="B85" s="26"/>
      <c r="C85" s="28"/>
      <c r="D85" s="26"/>
      <c r="E85" s="28"/>
      <c r="F85" s="26"/>
      <c r="G85" s="28"/>
      <c r="H85" s="26"/>
      <c r="I85" s="24"/>
    </row>
  </sheetData>
  <mergeCells count="6">
    <mergeCell ref="A1:I1"/>
    <mergeCell ref="A2:I2"/>
    <mergeCell ref="B4:C4"/>
    <mergeCell ref="D4:E4"/>
    <mergeCell ref="F4:G4"/>
    <mergeCell ref="H4:I4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85"/>
  <sheetViews>
    <sheetView showGridLines="0" zoomScale="80" zoomScaleNormal="80" workbookViewId="0">
      <selection sqref="A1:I1"/>
    </sheetView>
  </sheetViews>
  <sheetFormatPr defaultColWidth="11.109375" defaultRowHeight="16.2" x14ac:dyDescent="0.3"/>
  <cols>
    <col min="1" max="16384" width="11.109375" style="1"/>
  </cols>
  <sheetData>
    <row r="1" spans="1:9" ht="28.2" x14ac:dyDescent="0.3">
      <c r="A1" s="495" t="s">
        <v>0</v>
      </c>
      <c r="B1" s="495"/>
      <c r="C1" s="495"/>
      <c r="D1" s="495"/>
      <c r="E1" s="495"/>
      <c r="F1" s="495"/>
      <c r="G1" s="495"/>
      <c r="H1" s="495"/>
      <c r="I1" s="495"/>
    </row>
    <row r="2" spans="1:9" ht="22.2" x14ac:dyDescent="0.3">
      <c r="A2" s="496" t="s">
        <v>396</v>
      </c>
      <c r="B2" s="496"/>
      <c r="C2" s="496"/>
      <c r="D2" s="496"/>
      <c r="E2" s="496"/>
      <c r="F2" s="496"/>
      <c r="G2" s="496"/>
      <c r="H2" s="496"/>
      <c r="I2" s="496"/>
    </row>
    <row r="3" spans="1:9" ht="16.8" thickBot="1" x14ac:dyDescent="0.35">
      <c r="I3" s="2"/>
    </row>
    <row r="4" spans="1:9" x14ac:dyDescent="0.3">
      <c r="A4" s="11" t="s">
        <v>3</v>
      </c>
      <c r="B4" s="461" t="s">
        <v>4</v>
      </c>
      <c r="C4" s="497"/>
      <c r="D4" s="461" t="s">
        <v>5</v>
      </c>
      <c r="E4" s="497"/>
      <c r="F4" s="461" t="s">
        <v>6</v>
      </c>
      <c r="G4" s="497"/>
      <c r="H4" s="461" t="s">
        <v>7</v>
      </c>
      <c r="I4" s="498"/>
    </row>
    <row r="5" spans="1:9" ht="16.8" thickBot="1" x14ac:dyDescent="0.35">
      <c r="A5" s="12" t="s">
        <v>8</v>
      </c>
      <c r="B5" s="8" t="s">
        <v>9</v>
      </c>
      <c r="C5" s="13" t="s">
        <v>10</v>
      </c>
      <c r="D5" s="8" t="s">
        <v>9</v>
      </c>
      <c r="E5" s="13" t="s">
        <v>10</v>
      </c>
      <c r="F5" s="8" t="s">
        <v>9</v>
      </c>
      <c r="G5" s="13" t="s">
        <v>10</v>
      </c>
      <c r="H5" s="8" t="s">
        <v>9</v>
      </c>
      <c r="I5" s="7" t="s">
        <v>10</v>
      </c>
    </row>
    <row r="6" spans="1:9" ht="16.8" thickTop="1" x14ac:dyDescent="0.3">
      <c r="A6" s="16">
        <v>0</v>
      </c>
      <c r="B6" s="29"/>
      <c r="C6" s="30"/>
      <c r="D6" s="29"/>
      <c r="E6" s="30"/>
      <c r="F6" s="29"/>
      <c r="G6" s="30"/>
      <c r="H6" s="29"/>
      <c r="I6" s="31"/>
    </row>
    <row r="7" spans="1:9" x14ac:dyDescent="0.3">
      <c r="A7" s="3">
        <v>1</v>
      </c>
      <c r="B7" s="25"/>
      <c r="C7" s="27"/>
      <c r="D7" s="25"/>
      <c r="E7" s="27"/>
      <c r="F7" s="25"/>
      <c r="G7" s="27"/>
      <c r="H7" s="25"/>
      <c r="I7" s="23"/>
    </row>
    <row r="8" spans="1:9" x14ac:dyDescent="0.3">
      <c r="A8" s="3">
        <v>2</v>
      </c>
      <c r="B8" s="25"/>
      <c r="C8" s="27"/>
      <c r="D8" s="25"/>
      <c r="E8" s="27"/>
      <c r="F8" s="25"/>
      <c r="G8" s="27"/>
      <c r="H8" s="25"/>
      <c r="I8" s="23"/>
    </row>
    <row r="9" spans="1:9" x14ac:dyDescent="0.3">
      <c r="A9" s="3">
        <v>3</v>
      </c>
      <c r="B9" s="25"/>
      <c r="C9" s="27"/>
      <c r="D9" s="25"/>
      <c r="E9" s="27"/>
      <c r="F9" s="25"/>
      <c r="G9" s="27"/>
      <c r="H9" s="25"/>
      <c r="I9" s="23"/>
    </row>
    <row r="10" spans="1:9" x14ac:dyDescent="0.3">
      <c r="A10" s="3">
        <v>4</v>
      </c>
      <c r="B10" s="25"/>
      <c r="C10" s="27"/>
      <c r="D10" s="25"/>
      <c r="E10" s="27"/>
      <c r="F10" s="25"/>
      <c r="G10" s="27"/>
      <c r="H10" s="25"/>
      <c r="I10" s="23"/>
    </row>
    <row r="11" spans="1:9" x14ac:dyDescent="0.3">
      <c r="A11" s="303">
        <v>5</v>
      </c>
      <c r="B11" s="32"/>
      <c r="C11" s="33"/>
      <c r="D11" s="32"/>
      <c r="E11" s="33"/>
      <c r="F11" s="32"/>
      <c r="G11" s="33"/>
      <c r="H11" s="32"/>
      <c r="I11" s="34"/>
    </row>
    <row r="12" spans="1:9" x14ac:dyDescent="0.3">
      <c r="A12" s="3">
        <v>6</v>
      </c>
      <c r="B12" s="25"/>
      <c r="C12" s="27"/>
      <c r="D12" s="25"/>
      <c r="E12" s="27"/>
      <c r="F12" s="25"/>
      <c r="G12" s="27"/>
      <c r="H12" s="25"/>
      <c r="I12" s="23"/>
    </row>
    <row r="13" spans="1:9" x14ac:dyDescent="0.3">
      <c r="A13" s="3">
        <v>7</v>
      </c>
      <c r="B13" s="25"/>
      <c r="C13" s="27"/>
      <c r="D13" s="25"/>
      <c r="E13" s="27"/>
      <c r="F13" s="25"/>
      <c r="G13" s="27"/>
      <c r="H13" s="25"/>
      <c r="I13" s="23"/>
    </row>
    <row r="14" spans="1:9" x14ac:dyDescent="0.3">
      <c r="A14" s="3">
        <v>8</v>
      </c>
      <c r="B14" s="25"/>
      <c r="C14" s="27"/>
      <c r="D14" s="25"/>
      <c r="E14" s="27"/>
      <c r="F14" s="25"/>
      <c r="G14" s="27"/>
      <c r="H14" s="25"/>
      <c r="I14" s="23"/>
    </row>
    <row r="15" spans="1:9" x14ac:dyDescent="0.3">
      <c r="A15" s="3">
        <v>9</v>
      </c>
      <c r="B15" s="25"/>
      <c r="C15" s="27"/>
      <c r="D15" s="25"/>
      <c r="E15" s="27"/>
      <c r="F15" s="25"/>
      <c r="G15" s="27"/>
      <c r="H15" s="25"/>
      <c r="I15" s="23"/>
    </row>
    <row r="16" spans="1:9" x14ac:dyDescent="0.3">
      <c r="A16" s="303">
        <v>10</v>
      </c>
      <c r="B16" s="32"/>
      <c r="C16" s="33"/>
      <c r="D16" s="32"/>
      <c r="E16" s="33"/>
      <c r="F16" s="32"/>
      <c r="G16" s="33"/>
      <c r="H16" s="32"/>
      <c r="I16" s="34"/>
    </row>
    <row r="17" spans="1:9" x14ac:dyDescent="0.3">
      <c r="A17" s="3">
        <v>11</v>
      </c>
      <c r="B17" s="25"/>
      <c r="C17" s="27"/>
      <c r="D17" s="25"/>
      <c r="E17" s="27"/>
      <c r="F17" s="25"/>
      <c r="G17" s="27"/>
      <c r="H17" s="25"/>
      <c r="I17" s="23"/>
    </row>
    <row r="18" spans="1:9" x14ac:dyDescent="0.3">
      <c r="A18" s="3">
        <v>12</v>
      </c>
      <c r="B18" s="25"/>
      <c r="C18" s="27"/>
      <c r="D18" s="25"/>
      <c r="E18" s="27"/>
      <c r="F18" s="25"/>
      <c r="G18" s="27"/>
      <c r="H18" s="25"/>
      <c r="I18" s="23"/>
    </row>
    <row r="19" spans="1:9" x14ac:dyDescent="0.3">
      <c r="A19" s="3">
        <v>13</v>
      </c>
      <c r="B19" s="25"/>
      <c r="C19" s="27"/>
      <c r="D19" s="25"/>
      <c r="E19" s="27"/>
      <c r="F19" s="25"/>
      <c r="G19" s="27"/>
      <c r="H19" s="25"/>
      <c r="I19" s="23"/>
    </row>
    <row r="20" spans="1:9" x14ac:dyDescent="0.3">
      <c r="A20" s="3">
        <v>14</v>
      </c>
      <c r="B20" s="25"/>
      <c r="C20" s="27"/>
      <c r="D20" s="25"/>
      <c r="E20" s="27"/>
      <c r="F20" s="25"/>
      <c r="G20" s="27"/>
      <c r="H20" s="25"/>
      <c r="I20" s="23"/>
    </row>
    <row r="21" spans="1:9" x14ac:dyDescent="0.3">
      <c r="A21" s="303">
        <v>15</v>
      </c>
      <c r="B21" s="32"/>
      <c r="C21" s="33"/>
      <c r="D21" s="32"/>
      <c r="E21" s="33"/>
      <c r="F21" s="32"/>
      <c r="G21" s="33"/>
      <c r="H21" s="32"/>
      <c r="I21" s="34"/>
    </row>
    <row r="22" spans="1:9" x14ac:dyDescent="0.3">
      <c r="A22" s="3">
        <v>16</v>
      </c>
      <c r="B22" s="25"/>
      <c r="C22" s="27"/>
      <c r="D22" s="25"/>
      <c r="E22" s="27"/>
      <c r="F22" s="25"/>
      <c r="G22" s="27"/>
      <c r="H22" s="25"/>
      <c r="I22" s="23"/>
    </row>
    <row r="23" spans="1:9" x14ac:dyDescent="0.3">
      <c r="A23" s="3">
        <v>17</v>
      </c>
      <c r="B23" s="25"/>
      <c r="C23" s="27"/>
      <c r="D23" s="25"/>
      <c r="E23" s="27"/>
      <c r="F23" s="25"/>
      <c r="G23" s="27"/>
      <c r="H23" s="25"/>
      <c r="I23" s="23"/>
    </row>
    <row r="24" spans="1:9" x14ac:dyDescent="0.3">
      <c r="A24" s="3">
        <v>18</v>
      </c>
      <c r="B24" s="25"/>
      <c r="C24" s="27"/>
      <c r="D24" s="25"/>
      <c r="E24" s="27"/>
      <c r="F24" s="25"/>
      <c r="G24" s="27"/>
      <c r="H24" s="25"/>
      <c r="I24" s="23"/>
    </row>
    <row r="25" spans="1:9" x14ac:dyDescent="0.3">
      <c r="A25" s="3">
        <v>19</v>
      </c>
      <c r="B25" s="25"/>
      <c r="C25" s="27"/>
      <c r="D25" s="25"/>
      <c r="E25" s="27"/>
      <c r="F25" s="25"/>
      <c r="G25" s="27"/>
      <c r="H25" s="25"/>
      <c r="I25" s="23"/>
    </row>
    <row r="26" spans="1:9" x14ac:dyDescent="0.3">
      <c r="A26" s="303">
        <v>20</v>
      </c>
      <c r="B26" s="32"/>
      <c r="C26" s="33"/>
      <c r="D26" s="32"/>
      <c r="E26" s="33"/>
      <c r="F26" s="32"/>
      <c r="G26" s="33"/>
      <c r="H26" s="32"/>
      <c r="I26" s="34"/>
    </row>
    <row r="27" spans="1:9" x14ac:dyDescent="0.3">
      <c r="A27" s="3">
        <v>21</v>
      </c>
      <c r="B27" s="25"/>
      <c r="C27" s="27"/>
      <c r="D27" s="25"/>
      <c r="E27" s="27"/>
      <c r="F27" s="25"/>
      <c r="G27" s="27"/>
      <c r="H27" s="25"/>
      <c r="I27" s="23"/>
    </row>
    <row r="28" spans="1:9" x14ac:dyDescent="0.3">
      <c r="A28" s="3">
        <v>22</v>
      </c>
      <c r="B28" s="25"/>
      <c r="C28" s="27"/>
      <c r="D28" s="25"/>
      <c r="E28" s="27"/>
      <c r="F28" s="25"/>
      <c r="G28" s="27"/>
      <c r="H28" s="25"/>
      <c r="I28" s="23"/>
    </row>
    <row r="29" spans="1:9" x14ac:dyDescent="0.3">
      <c r="A29" s="3">
        <v>23</v>
      </c>
      <c r="B29" s="25"/>
      <c r="C29" s="27"/>
      <c r="D29" s="25"/>
      <c r="E29" s="27"/>
      <c r="F29" s="25"/>
      <c r="G29" s="27"/>
      <c r="H29" s="25"/>
      <c r="I29" s="23"/>
    </row>
    <row r="30" spans="1:9" x14ac:dyDescent="0.3">
      <c r="A30" s="3">
        <v>24</v>
      </c>
      <c r="B30" s="25"/>
      <c r="C30" s="27"/>
      <c r="D30" s="25"/>
      <c r="E30" s="27"/>
      <c r="F30" s="25"/>
      <c r="G30" s="27"/>
      <c r="H30" s="25"/>
      <c r="I30" s="23"/>
    </row>
    <row r="31" spans="1:9" x14ac:dyDescent="0.3">
      <c r="A31" s="303">
        <v>25</v>
      </c>
      <c r="B31" s="32"/>
      <c r="C31" s="33"/>
      <c r="D31" s="32"/>
      <c r="E31" s="33"/>
      <c r="F31" s="32"/>
      <c r="G31" s="33"/>
      <c r="H31" s="32"/>
      <c r="I31" s="34"/>
    </row>
    <row r="32" spans="1:9" x14ac:dyDescent="0.3">
      <c r="A32" s="3">
        <v>26</v>
      </c>
      <c r="B32" s="25"/>
      <c r="C32" s="27"/>
      <c r="D32" s="25"/>
      <c r="E32" s="27"/>
      <c r="F32" s="25"/>
      <c r="G32" s="27"/>
      <c r="H32" s="25"/>
      <c r="I32" s="23"/>
    </row>
    <row r="33" spans="1:9" x14ac:dyDescent="0.3">
      <c r="A33" s="3">
        <v>27</v>
      </c>
      <c r="B33" s="25"/>
      <c r="C33" s="27"/>
      <c r="D33" s="25"/>
      <c r="E33" s="27"/>
      <c r="F33" s="25"/>
      <c r="G33" s="27"/>
      <c r="H33" s="25"/>
      <c r="I33" s="23"/>
    </row>
    <row r="34" spans="1:9" x14ac:dyDescent="0.3">
      <c r="A34" s="3">
        <v>28</v>
      </c>
      <c r="B34" s="25"/>
      <c r="C34" s="27"/>
      <c r="D34" s="25"/>
      <c r="E34" s="27"/>
      <c r="F34" s="25"/>
      <c r="G34" s="27"/>
      <c r="H34" s="25"/>
      <c r="I34" s="23"/>
    </row>
    <row r="35" spans="1:9" x14ac:dyDescent="0.3">
      <c r="A35" s="3">
        <v>29</v>
      </c>
      <c r="B35" s="25"/>
      <c r="C35" s="27"/>
      <c r="D35" s="25"/>
      <c r="E35" s="27"/>
      <c r="F35" s="25"/>
      <c r="G35" s="27"/>
      <c r="H35" s="25"/>
      <c r="I35" s="23"/>
    </row>
    <row r="36" spans="1:9" x14ac:dyDescent="0.3">
      <c r="A36" s="303">
        <v>30</v>
      </c>
      <c r="B36" s="32"/>
      <c r="C36" s="33"/>
      <c r="D36" s="32"/>
      <c r="E36" s="33"/>
      <c r="F36" s="32"/>
      <c r="G36" s="33"/>
      <c r="H36" s="32"/>
      <c r="I36" s="34"/>
    </row>
    <row r="37" spans="1:9" x14ac:dyDescent="0.3">
      <c r="A37" s="3">
        <v>31</v>
      </c>
      <c r="B37" s="25"/>
      <c r="C37" s="27"/>
      <c r="D37" s="25"/>
      <c r="E37" s="27"/>
      <c r="F37" s="25"/>
      <c r="G37" s="27"/>
      <c r="H37" s="25"/>
      <c r="I37" s="23"/>
    </row>
    <row r="38" spans="1:9" x14ac:dyDescent="0.3">
      <c r="A38" s="3">
        <v>32</v>
      </c>
      <c r="B38" s="25"/>
      <c r="C38" s="27"/>
      <c r="D38" s="25"/>
      <c r="E38" s="27"/>
      <c r="F38" s="25"/>
      <c r="G38" s="27"/>
      <c r="H38" s="25"/>
      <c r="I38" s="23"/>
    </row>
    <row r="39" spans="1:9" x14ac:dyDescent="0.3">
      <c r="A39" s="3">
        <v>33</v>
      </c>
      <c r="B39" s="25"/>
      <c r="C39" s="27"/>
      <c r="D39" s="25"/>
      <c r="E39" s="27"/>
      <c r="F39" s="25"/>
      <c r="G39" s="27"/>
      <c r="H39" s="25"/>
      <c r="I39" s="23"/>
    </row>
    <row r="40" spans="1:9" x14ac:dyDescent="0.3">
      <c r="A40" s="3">
        <v>34</v>
      </c>
      <c r="B40" s="25"/>
      <c r="C40" s="27"/>
      <c r="D40" s="25"/>
      <c r="E40" s="27"/>
      <c r="F40" s="25"/>
      <c r="G40" s="27"/>
      <c r="H40" s="25"/>
      <c r="I40" s="23"/>
    </row>
    <row r="41" spans="1:9" x14ac:dyDescent="0.3">
      <c r="A41" s="303">
        <v>35</v>
      </c>
      <c r="B41" s="32"/>
      <c r="C41" s="33"/>
      <c r="D41" s="32"/>
      <c r="E41" s="33"/>
      <c r="F41" s="32"/>
      <c r="G41" s="33"/>
      <c r="H41" s="32"/>
      <c r="I41" s="34"/>
    </row>
    <row r="42" spans="1:9" x14ac:dyDescent="0.3">
      <c r="A42" s="3">
        <v>36</v>
      </c>
      <c r="B42" s="25"/>
      <c r="C42" s="27"/>
      <c r="D42" s="25"/>
      <c r="E42" s="27"/>
      <c r="F42" s="25"/>
      <c r="G42" s="27"/>
      <c r="H42" s="25"/>
      <c r="I42" s="23"/>
    </row>
    <row r="43" spans="1:9" x14ac:dyDescent="0.3">
      <c r="A43" s="3">
        <v>37</v>
      </c>
      <c r="B43" s="25"/>
      <c r="C43" s="27"/>
      <c r="D43" s="25"/>
      <c r="E43" s="27"/>
      <c r="F43" s="25"/>
      <c r="G43" s="27"/>
      <c r="H43" s="25"/>
      <c r="I43" s="23"/>
    </row>
    <row r="44" spans="1:9" x14ac:dyDescent="0.3">
      <c r="A44" s="3">
        <v>38</v>
      </c>
      <c r="B44" s="25"/>
      <c r="C44" s="27"/>
      <c r="D44" s="25"/>
      <c r="E44" s="27"/>
      <c r="F44" s="25"/>
      <c r="G44" s="27"/>
      <c r="H44" s="25"/>
      <c r="I44" s="23"/>
    </row>
    <row r="45" spans="1:9" x14ac:dyDescent="0.3">
      <c r="A45" s="3">
        <v>39</v>
      </c>
      <c r="B45" s="25"/>
      <c r="C45" s="27"/>
      <c r="D45" s="25"/>
      <c r="E45" s="27"/>
      <c r="F45" s="25"/>
      <c r="G45" s="27"/>
      <c r="H45" s="25"/>
      <c r="I45" s="23"/>
    </row>
    <row r="46" spans="1:9" x14ac:dyDescent="0.3">
      <c r="A46" s="303">
        <v>40</v>
      </c>
      <c r="B46" s="32"/>
      <c r="C46" s="33"/>
      <c r="D46" s="32"/>
      <c r="E46" s="33"/>
      <c r="F46" s="32"/>
      <c r="G46" s="33"/>
      <c r="H46" s="32"/>
      <c r="I46" s="34"/>
    </row>
    <row r="47" spans="1:9" x14ac:dyDescent="0.3">
      <c r="A47" s="3">
        <v>41</v>
      </c>
      <c r="B47" s="25"/>
      <c r="C47" s="27"/>
      <c r="D47" s="25"/>
      <c r="E47" s="27"/>
      <c r="F47" s="25"/>
      <c r="G47" s="27"/>
      <c r="H47" s="25"/>
      <c r="I47" s="23"/>
    </row>
    <row r="48" spans="1:9" x14ac:dyDescent="0.3">
      <c r="A48" s="3">
        <v>42</v>
      </c>
      <c r="B48" s="25"/>
      <c r="C48" s="27"/>
      <c r="D48" s="25"/>
      <c r="E48" s="27"/>
      <c r="F48" s="25"/>
      <c r="G48" s="27"/>
      <c r="H48" s="25"/>
      <c r="I48" s="23"/>
    </row>
    <row r="49" spans="1:9" x14ac:dyDescent="0.3">
      <c r="A49" s="3">
        <v>43</v>
      </c>
      <c r="B49" s="25"/>
      <c r="C49" s="27"/>
      <c r="D49" s="25"/>
      <c r="E49" s="27"/>
      <c r="F49" s="25"/>
      <c r="G49" s="27"/>
      <c r="H49" s="25"/>
      <c r="I49" s="23"/>
    </row>
    <row r="50" spans="1:9" x14ac:dyDescent="0.3">
      <c r="A50" s="3">
        <v>44</v>
      </c>
      <c r="B50" s="25"/>
      <c r="C50" s="27"/>
      <c r="D50" s="25"/>
      <c r="E50" s="27"/>
      <c r="F50" s="25"/>
      <c r="G50" s="27"/>
      <c r="H50" s="25"/>
      <c r="I50" s="23"/>
    </row>
    <row r="51" spans="1:9" x14ac:dyDescent="0.3">
      <c r="A51" s="303">
        <v>45</v>
      </c>
      <c r="B51" s="32"/>
      <c r="C51" s="33"/>
      <c r="D51" s="32"/>
      <c r="E51" s="33"/>
      <c r="F51" s="32"/>
      <c r="G51" s="33"/>
      <c r="H51" s="32"/>
      <c r="I51" s="34"/>
    </row>
    <row r="52" spans="1:9" x14ac:dyDescent="0.3">
      <c r="A52" s="3">
        <v>46</v>
      </c>
      <c r="B52" s="25"/>
      <c r="C52" s="27"/>
      <c r="D52" s="25"/>
      <c r="E52" s="27"/>
      <c r="F52" s="25"/>
      <c r="G52" s="27"/>
      <c r="H52" s="25"/>
      <c r="I52" s="23"/>
    </row>
    <row r="53" spans="1:9" x14ac:dyDescent="0.3">
      <c r="A53" s="3">
        <v>47</v>
      </c>
      <c r="B53" s="25"/>
      <c r="C53" s="27"/>
      <c r="D53" s="25"/>
      <c r="E53" s="27"/>
      <c r="F53" s="25"/>
      <c r="G53" s="27"/>
      <c r="H53" s="25"/>
      <c r="I53" s="23"/>
    </row>
    <row r="54" spans="1:9" x14ac:dyDescent="0.3">
      <c r="A54" s="3">
        <v>48</v>
      </c>
      <c r="B54" s="25"/>
      <c r="C54" s="27"/>
      <c r="D54" s="25"/>
      <c r="E54" s="27"/>
      <c r="F54" s="25"/>
      <c r="G54" s="27"/>
      <c r="H54" s="25"/>
      <c r="I54" s="23"/>
    </row>
    <row r="55" spans="1:9" x14ac:dyDescent="0.3">
      <c r="A55" s="3">
        <v>49</v>
      </c>
      <c r="B55" s="25"/>
      <c r="C55" s="27"/>
      <c r="D55" s="25"/>
      <c r="E55" s="27"/>
      <c r="F55" s="25"/>
      <c r="G55" s="27"/>
      <c r="H55" s="25"/>
      <c r="I55" s="23"/>
    </row>
    <row r="56" spans="1:9" x14ac:dyDescent="0.3">
      <c r="A56" s="303">
        <v>50</v>
      </c>
      <c r="B56" s="32"/>
      <c r="C56" s="33"/>
      <c r="D56" s="32"/>
      <c r="E56" s="33"/>
      <c r="F56" s="32"/>
      <c r="G56" s="33"/>
      <c r="H56" s="32"/>
      <c r="I56" s="34"/>
    </row>
    <row r="57" spans="1:9" x14ac:dyDescent="0.3">
      <c r="A57" s="3">
        <v>51</v>
      </c>
      <c r="B57" s="25"/>
      <c r="C57" s="27"/>
      <c r="D57" s="25"/>
      <c r="E57" s="27"/>
      <c r="F57" s="25"/>
      <c r="G57" s="27"/>
      <c r="H57" s="25"/>
      <c r="I57" s="23"/>
    </row>
    <row r="58" spans="1:9" x14ac:dyDescent="0.3">
      <c r="A58" s="3">
        <v>52</v>
      </c>
      <c r="B58" s="25"/>
      <c r="C58" s="27"/>
      <c r="D58" s="25"/>
      <c r="E58" s="27"/>
      <c r="F58" s="25"/>
      <c r="G58" s="27"/>
      <c r="H58" s="25"/>
      <c r="I58" s="23"/>
    </row>
    <row r="59" spans="1:9" x14ac:dyDescent="0.3">
      <c r="A59" s="3">
        <v>53</v>
      </c>
      <c r="B59" s="25"/>
      <c r="C59" s="27"/>
      <c r="D59" s="25"/>
      <c r="E59" s="27"/>
      <c r="F59" s="25"/>
      <c r="G59" s="27"/>
      <c r="H59" s="25"/>
      <c r="I59" s="23"/>
    </row>
    <row r="60" spans="1:9" x14ac:dyDescent="0.3">
      <c r="A60" s="3">
        <v>54</v>
      </c>
      <c r="B60" s="25"/>
      <c r="C60" s="27"/>
      <c r="D60" s="25"/>
      <c r="E60" s="27"/>
      <c r="F60" s="25"/>
      <c r="G60" s="27"/>
      <c r="H60" s="25"/>
      <c r="I60" s="23"/>
    </row>
    <row r="61" spans="1:9" x14ac:dyDescent="0.3">
      <c r="A61" s="303">
        <v>55</v>
      </c>
      <c r="B61" s="32"/>
      <c r="C61" s="33"/>
      <c r="D61" s="32"/>
      <c r="E61" s="33"/>
      <c r="F61" s="32"/>
      <c r="G61" s="33"/>
      <c r="H61" s="32"/>
      <c r="I61" s="34"/>
    </row>
    <row r="62" spans="1:9" x14ac:dyDescent="0.3">
      <c r="A62" s="3">
        <v>56</v>
      </c>
      <c r="B62" s="25"/>
      <c r="C62" s="27"/>
      <c r="D62" s="25"/>
      <c r="E62" s="27"/>
      <c r="F62" s="25"/>
      <c r="G62" s="27"/>
      <c r="H62" s="25"/>
      <c r="I62" s="23"/>
    </row>
    <row r="63" spans="1:9" x14ac:dyDescent="0.3">
      <c r="A63" s="3">
        <v>57</v>
      </c>
      <c r="B63" s="25"/>
      <c r="C63" s="27"/>
      <c r="D63" s="25"/>
      <c r="E63" s="27"/>
      <c r="F63" s="25"/>
      <c r="G63" s="27"/>
      <c r="H63" s="25"/>
      <c r="I63" s="23"/>
    </row>
    <row r="64" spans="1:9" x14ac:dyDescent="0.3">
      <c r="A64" s="3">
        <v>58</v>
      </c>
      <c r="B64" s="25"/>
      <c r="C64" s="27"/>
      <c r="D64" s="25"/>
      <c r="E64" s="27"/>
      <c r="F64" s="25"/>
      <c r="G64" s="27"/>
      <c r="H64" s="25"/>
      <c r="I64" s="23"/>
    </row>
    <row r="65" spans="1:9" x14ac:dyDescent="0.3">
      <c r="A65" s="3">
        <v>59</v>
      </c>
      <c r="B65" s="25"/>
      <c r="C65" s="27"/>
      <c r="D65" s="25"/>
      <c r="E65" s="27"/>
      <c r="F65" s="25"/>
      <c r="G65" s="27"/>
      <c r="H65" s="25"/>
      <c r="I65" s="23"/>
    </row>
    <row r="66" spans="1:9" x14ac:dyDescent="0.3">
      <c r="A66" s="303">
        <v>60</v>
      </c>
      <c r="B66" s="32"/>
      <c r="C66" s="33"/>
      <c r="D66" s="32"/>
      <c r="E66" s="33"/>
      <c r="F66" s="32"/>
      <c r="G66" s="33"/>
      <c r="H66" s="32"/>
      <c r="I66" s="34"/>
    </row>
    <row r="67" spans="1:9" x14ac:dyDescent="0.3">
      <c r="A67" s="3">
        <v>61</v>
      </c>
      <c r="B67" s="25"/>
      <c r="C67" s="27"/>
      <c r="D67" s="25"/>
      <c r="E67" s="27"/>
      <c r="F67" s="25"/>
      <c r="G67" s="27"/>
      <c r="H67" s="25"/>
      <c r="I67" s="23"/>
    </row>
    <row r="68" spans="1:9" x14ac:dyDescent="0.3">
      <c r="A68" s="3">
        <v>62</v>
      </c>
      <c r="B68" s="25"/>
      <c r="C68" s="27"/>
      <c r="D68" s="25"/>
      <c r="E68" s="27"/>
      <c r="F68" s="25"/>
      <c r="G68" s="27"/>
      <c r="H68" s="25"/>
      <c r="I68" s="23"/>
    </row>
    <row r="69" spans="1:9" x14ac:dyDescent="0.3">
      <c r="A69" s="3">
        <v>63</v>
      </c>
      <c r="B69" s="25"/>
      <c r="C69" s="27"/>
      <c r="D69" s="25"/>
      <c r="E69" s="27"/>
      <c r="F69" s="25"/>
      <c r="G69" s="27"/>
      <c r="H69" s="25"/>
      <c r="I69" s="23"/>
    </row>
    <row r="70" spans="1:9" x14ac:dyDescent="0.3">
      <c r="A70" s="3">
        <v>64</v>
      </c>
      <c r="B70" s="25"/>
      <c r="C70" s="27"/>
      <c r="D70" s="25"/>
      <c r="E70" s="27"/>
      <c r="F70" s="25"/>
      <c r="G70" s="27"/>
      <c r="H70" s="25"/>
      <c r="I70" s="23"/>
    </row>
    <row r="71" spans="1:9" x14ac:dyDescent="0.3">
      <c r="A71" s="303">
        <v>65</v>
      </c>
      <c r="B71" s="32"/>
      <c r="C71" s="33"/>
      <c r="D71" s="32"/>
      <c r="E71" s="33"/>
      <c r="F71" s="32"/>
      <c r="G71" s="33"/>
      <c r="H71" s="32"/>
      <c r="I71" s="34"/>
    </row>
    <row r="72" spans="1:9" x14ac:dyDescent="0.3">
      <c r="A72" s="3">
        <v>66</v>
      </c>
      <c r="B72" s="25"/>
      <c r="C72" s="27"/>
      <c r="D72" s="25"/>
      <c r="E72" s="27"/>
      <c r="F72" s="25"/>
      <c r="G72" s="27"/>
      <c r="H72" s="25"/>
      <c r="I72" s="23"/>
    </row>
    <row r="73" spans="1:9" x14ac:dyDescent="0.3">
      <c r="A73" s="3">
        <v>67</v>
      </c>
      <c r="B73" s="25"/>
      <c r="C73" s="27"/>
      <c r="D73" s="25"/>
      <c r="E73" s="27"/>
      <c r="F73" s="25"/>
      <c r="G73" s="27"/>
      <c r="H73" s="25"/>
      <c r="I73" s="23"/>
    </row>
    <row r="74" spans="1:9" x14ac:dyDescent="0.3">
      <c r="A74" s="3">
        <v>68</v>
      </c>
      <c r="B74" s="25"/>
      <c r="C74" s="27"/>
      <c r="D74" s="25"/>
      <c r="E74" s="27"/>
      <c r="F74" s="25"/>
      <c r="G74" s="27"/>
      <c r="H74" s="25"/>
      <c r="I74" s="23"/>
    </row>
    <row r="75" spans="1:9" x14ac:dyDescent="0.3">
      <c r="A75" s="3">
        <v>69</v>
      </c>
      <c r="B75" s="25"/>
      <c r="C75" s="27"/>
      <c r="D75" s="25"/>
      <c r="E75" s="27"/>
      <c r="F75" s="25"/>
      <c r="G75" s="27"/>
      <c r="H75" s="25"/>
      <c r="I75" s="23"/>
    </row>
    <row r="76" spans="1:9" x14ac:dyDescent="0.3">
      <c r="A76" s="303">
        <v>70</v>
      </c>
      <c r="B76" s="32"/>
      <c r="C76" s="33"/>
      <c r="D76" s="32"/>
      <c r="E76" s="33"/>
      <c r="F76" s="32"/>
      <c r="G76" s="33"/>
      <c r="H76" s="32"/>
      <c r="I76" s="34"/>
    </row>
    <row r="77" spans="1:9" x14ac:dyDescent="0.3">
      <c r="A77" s="3">
        <v>71</v>
      </c>
      <c r="B77" s="25"/>
      <c r="C77" s="27"/>
      <c r="D77" s="25"/>
      <c r="E77" s="27"/>
      <c r="F77" s="25"/>
      <c r="G77" s="27"/>
      <c r="H77" s="25"/>
      <c r="I77" s="23"/>
    </row>
    <row r="78" spans="1:9" x14ac:dyDescent="0.3">
      <c r="A78" s="3">
        <v>72</v>
      </c>
      <c r="B78" s="25"/>
      <c r="C78" s="27"/>
      <c r="D78" s="25"/>
      <c r="E78" s="27"/>
      <c r="F78" s="25"/>
      <c r="G78" s="27"/>
      <c r="H78" s="25"/>
      <c r="I78" s="23"/>
    </row>
    <row r="79" spans="1:9" x14ac:dyDescent="0.3">
      <c r="A79" s="3">
        <v>73</v>
      </c>
      <c r="B79" s="25"/>
      <c r="C79" s="27"/>
      <c r="D79" s="25"/>
      <c r="E79" s="27"/>
      <c r="F79" s="25"/>
      <c r="G79" s="27"/>
      <c r="H79" s="25"/>
      <c r="I79" s="23"/>
    </row>
    <row r="80" spans="1:9" x14ac:dyDescent="0.3">
      <c r="A80" s="3">
        <v>74</v>
      </c>
      <c r="B80" s="25"/>
      <c r="C80" s="27"/>
      <c r="D80" s="25"/>
      <c r="E80" s="27"/>
      <c r="F80" s="25"/>
      <c r="G80" s="27"/>
      <c r="H80" s="25"/>
      <c r="I80" s="23"/>
    </row>
    <row r="81" spans="1:9" x14ac:dyDescent="0.3">
      <c r="A81" s="303">
        <v>75</v>
      </c>
      <c r="B81" s="32"/>
      <c r="C81" s="33"/>
      <c r="D81" s="32"/>
      <c r="E81" s="33"/>
      <c r="F81" s="32"/>
      <c r="G81" s="33"/>
      <c r="H81" s="32"/>
      <c r="I81" s="34"/>
    </row>
    <row r="82" spans="1:9" x14ac:dyDescent="0.3">
      <c r="A82" s="3">
        <v>76</v>
      </c>
      <c r="B82" s="25"/>
      <c r="C82" s="27"/>
      <c r="D82" s="25"/>
      <c r="E82" s="27"/>
      <c r="F82" s="25"/>
      <c r="G82" s="27"/>
      <c r="H82" s="25"/>
      <c r="I82" s="23"/>
    </row>
    <row r="83" spans="1:9" x14ac:dyDescent="0.3">
      <c r="A83" s="3">
        <v>77</v>
      </c>
      <c r="B83" s="25"/>
      <c r="C83" s="27"/>
      <c r="D83" s="25"/>
      <c r="E83" s="27"/>
      <c r="F83" s="25"/>
      <c r="G83" s="27"/>
      <c r="H83" s="25"/>
      <c r="I83" s="23"/>
    </row>
    <row r="84" spans="1:9" x14ac:dyDescent="0.3">
      <c r="A84" s="3">
        <v>78</v>
      </c>
      <c r="B84" s="25"/>
      <c r="C84" s="27"/>
      <c r="D84" s="25"/>
      <c r="E84" s="27"/>
      <c r="F84" s="25"/>
      <c r="G84" s="27"/>
      <c r="H84" s="25"/>
      <c r="I84" s="23"/>
    </row>
    <row r="85" spans="1:9" ht="16.8" thickBot="1" x14ac:dyDescent="0.35">
      <c r="A85" s="4">
        <v>79</v>
      </c>
      <c r="B85" s="26"/>
      <c r="C85" s="28"/>
      <c r="D85" s="26"/>
      <c r="E85" s="28"/>
      <c r="F85" s="26"/>
      <c r="G85" s="28"/>
      <c r="H85" s="26"/>
      <c r="I85" s="24"/>
    </row>
  </sheetData>
  <mergeCells count="6">
    <mergeCell ref="A1:I1"/>
    <mergeCell ref="A2:I2"/>
    <mergeCell ref="B4:C4"/>
    <mergeCell ref="D4:E4"/>
    <mergeCell ref="F4:G4"/>
    <mergeCell ref="H4:I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Set</vt:lpstr>
      <vt:lpstr>Code</vt:lpstr>
      <vt:lpstr>Life</vt:lpstr>
      <vt:lpstr>Pricing</vt:lpstr>
      <vt:lpstr>Reserve</vt:lpstr>
      <vt:lpstr>Change</vt:lpstr>
      <vt:lpstr>AssetShare_Table</vt:lpstr>
      <vt:lpstr>AssetShare_Cal</vt:lpstr>
      <vt:lpstr>GP</vt:lpstr>
      <vt:lpstr>EL</vt:lpstr>
      <vt:lpstr>IRR</vt:lpstr>
      <vt:lpstr>DU</vt:lpstr>
      <vt:lpstr>PM</vt:lpstr>
      <vt:lpstr>FC</vt:lpstr>
    </vt:vector>
  </TitlesOfParts>
  <Company>Cathay Life Insurance.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江志祥</dc:creator>
  <cp:lastModifiedBy>shih</cp:lastModifiedBy>
  <dcterms:created xsi:type="dcterms:W3CDTF">2011-02-08T05:08:11Z</dcterms:created>
  <dcterms:modified xsi:type="dcterms:W3CDTF">2022-11-25T09:10:14Z</dcterms:modified>
</cp:coreProperties>
</file>